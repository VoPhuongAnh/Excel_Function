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4.xml" ContentType="application/vnd.openxmlformats-officedocument.spreadsheetml.comments+xml"/>
  <Override PartName="/xl/namedSheetViews/namedSheetView1.xml" ContentType="application/vnd.ms-excel.namedsheetviews+xml"/>
  <Override PartName="/xl/tables/table3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eppelgroup.sharepoint.com/sites/VN-KLOUD/Shared Documents/VNMarketingDrive/FINANCE/FINANCE SHARED/KLOUD BILLING/03. Master file/"/>
    </mc:Choice>
  </mc:AlternateContent>
  <xr:revisionPtr revIDLastSave="3108" documentId="8_{53DF6F3D-98F1-4A02-8DDE-0FF9020F104C}" xr6:coauthVersionLast="47" xr6:coauthVersionMax="47" xr10:uidLastSave="{08F6AD9A-0C67-4CA8-A198-7101ABC07615}"/>
  <bookViews>
    <workbookView xWindow="28680" yWindow="-120" windowWidth="29040" windowHeight="15840" firstSheet="18" activeTab="20" xr2:uid="{00000000-000D-0000-FFFF-FFFF00000000}"/>
  </bookViews>
  <sheets>
    <sheet name="MAR 23" sheetId="75" state="hidden" r:id="rId1"/>
    <sheet name="FEB 23 " sheetId="74" state="hidden" r:id="rId2"/>
    <sheet name="JAN 23" sheetId="71" state="hidden" r:id="rId3"/>
    <sheet name="Jan 2023" sheetId="69" state="hidden" r:id="rId4"/>
    <sheet name="Feb 2023 Ngan" sheetId="72" state="hidden" r:id="rId5"/>
    <sheet name="march 2023 ngan" sheetId="73" state="hidden" r:id="rId6"/>
    <sheet name="Apr 23 Ngan" sheetId="77" state="hidden" r:id="rId7"/>
    <sheet name="APR'23" sheetId="78" state="hidden" r:id="rId8"/>
    <sheet name="APR 23" sheetId="76" state="hidden" r:id="rId9"/>
    <sheet name="May Ngan 23" sheetId="79" state="hidden" r:id="rId10"/>
    <sheet name="JUN 23 NGAN" sheetId="80" state="hidden" r:id="rId11"/>
    <sheet name="MAY'23" sheetId="81" state="hidden" r:id="rId12"/>
    <sheet name="JUN'23" sheetId="82" state="hidden" r:id="rId13"/>
    <sheet name="AUG'23 CHECKING" sheetId="85" state="hidden" r:id="rId14"/>
    <sheet name="JUL'23" sheetId="83" state="hidden" r:id="rId15"/>
    <sheet name="AUG'23 " sheetId="84" state="hidden" r:id="rId16"/>
    <sheet name="Sep 23 Ngan" sheetId="87" state="hidden" r:id="rId17"/>
    <sheet name="Oct 23 Ngan" sheetId="86" state="hidden" r:id="rId18"/>
    <sheet name="JULY 2024" sheetId="101" r:id="rId19"/>
    <sheet name="JUN24 - GG" sheetId="100" r:id="rId20"/>
    <sheet name="JUN24" sheetId="99" r:id="rId21"/>
    <sheet name="MAY'24" sheetId="98" r:id="rId22"/>
    <sheet name="JAN'24" sheetId="94" state="hidden" r:id="rId23"/>
    <sheet name="FEB'24" sheetId="95" state="hidden" r:id="rId24"/>
    <sheet name="DEC'23" sheetId="93" state="hidden" r:id="rId25"/>
    <sheet name="NOV'23 " sheetId="92" state="hidden" r:id="rId26"/>
    <sheet name="Nov 23 Ngan" sheetId="89" state="hidden" r:id="rId27"/>
    <sheet name="OCT'23 " sheetId="90" state="hidden" r:id="rId28"/>
    <sheet name="Dec 23 Ngan" sheetId="91" state="hidden" r:id="rId29"/>
    <sheet name="SEP'23 " sheetId="88" state="hidden" r:id="rId30"/>
    <sheet name="MAR'24" sheetId="96" state="hidden" r:id="rId31"/>
    <sheet name="Sheet3" sheetId="45" r:id="rId32"/>
    <sheet name="APR'24" sheetId="97" state="hidden" r:id="rId33"/>
  </sheets>
  <definedNames>
    <definedName name="_xlnm._FilterDatabase" localSheetId="8" hidden="1">'APR 23'!$A$6:$AE$72</definedName>
    <definedName name="_xlnm._FilterDatabase" localSheetId="7" hidden="1">'APR''23'!$A$6:$AE$72</definedName>
    <definedName name="_xlnm._FilterDatabase" localSheetId="32" hidden="1">'APR''24'!$A$6:$AF$87</definedName>
    <definedName name="_xlnm._FilterDatabase" localSheetId="15" hidden="1">'AUG''23 '!$A$6:$AE$64</definedName>
    <definedName name="_xlnm._FilterDatabase" localSheetId="13" hidden="1">'AUG''23 CHECKING'!$A$6:$AE$68</definedName>
    <definedName name="_xlnm._FilterDatabase" localSheetId="24" hidden="1">'DEC''23'!$A$6:$AE$88</definedName>
    <definedName name="_xlnm._FilterDatabase" localSheetId="1" hidden="1">'FEB 23 '!$A$6:$AE$71</definedName>
    <definedName name="_xlnm._FilterDatabase" localSheetId="23" hidden="1">'FEB''24'!$A$6:$AF$87</definedName>
    <definedName name="_xlnm._FilterDatabase" localSheetId="2" hidden="1">'JAN 23'!$A$6:$AE$71</definedName>
    <definedName name="_xlnm._FilterDatabase" localSheetId="22" hidden="1">'JAN''24'!$A$6:$AE$87</definedName>
    <definedName name="_xlnm._FilterDatabase" localSheetId="14" hidden="1">'JUL''23'!$A$6:$AE$68</definedName>
    <definedName name="_xlnm._FilterDatabase" localSheetId="18" hidden="1">'JULY 2024'!$A$5:$AD$37</definedName>
    <definedName name="_xlnm._FilterDatabase" localSheetId="12" hidden="1">'JUN''23'!$A$6:$AE$68</definedName>
    <definedName name="_xlnm._FilterDatabase" localSheetId="20" hidden="1">'JUN24'!$A$6:$AF$87</definedName>
    <definedName name="_xlnm._FilterDatabase" localSheetId="19" hidden="1">'JUN24 - GG'!$A$6:$AR$97</definedName>
    <definedName name="_xlnm._FilterDatabase" localSheetId="0" hidden="1">'MAR 23'!$A$6:$AE$72</definedName>
    <definedName name="_xlnm._FilterDatabase" localSheetId="30" hidden="1">'MAR''24'!$A$6:$AF$87</definedName>
    <definedName name="_xlnm._FilterDatabase" localSheetId="11" hidden="1">'MAY''23'!$A$6:$AE$77</definedName>
    <definedName name="_xlnm._FilterDatabase" localSheetId="21" hidden="1">'MAY''24'!$A$5:$AD$36</definedName>
    <definedName name="_xlnm._FilterDatabase" localSheetId="25" hidden="1">'NOV''23 '!$A$6:$AE$87</definedName>
    <definedName name="_xlnm._FilterDatabase" localSheetId="27" hidden="1">'OCT''23 '!$A$6:$AE$84</definedName>
    <definedName name="_xlnm._FilterDatabase" localSheetId="29" hidden="1">'SEP''23 '!$A$6:$AE$64</definedName>
    <definedName name="ExternalData_1" localSheetId="15">'AUG''23 '!$A$4</definedName>
    <definedName name="ExternalData_2" localSheetId="15">'AUG''23 '!$A$2:$H$20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99" l="1"/>
  <c r="B12" i="99"/>
  <c r="B13" i="99"/>
  <c r="B14" i="99"/>
  <c r="B15" i="99"/>
  <c r="B16" i="99"/>
  <c r="B17" i="99"/>
  <c r="B18" i="99"/>
  <c r="B19" i="99"/>
  <c r="B20" i="99"/>
  <c r="B21" i="99"/>
  <c r="B22" i="99"/>
  <c r="B23" i="99"/>
  <c r="B8" i="99"/>
  <c r="B9" i="99"/>
  <c r="B10" i="99"/>
  <c r="B7" i="99"/>
  <c r="B8" i="101"/>
  <c r="X8" i="101"/>
  <c r="W8" i="101"/>
  <c r="T8" i="101"/>
  <c r="S17" i="99"/>
  <c r="S18" i="99"/>
  <c r="S19" i="99"/>
  <c r="S20" i="99"/>
  <c r="S21" i="99"/>
  <c r="S22" i="99"/>
  <c r="S23" i="99"/>
  <c r="S11" i="99"/>
  <c r="S12" i="99"/>
  <c r="Q12" i="99" s="1"/>
  <c r="W12" i="99" s="1"/>
  <c r="S13" i="99"/>
  <c r="V13" i="99" s="1"/>
  <c r="S14" i="99"/>
  <c r="S15" i="99"/>
  <c r="S16" i="99"/>
  <c r="S8" i="99"/>
  <c r="S9" i="99"/>
  <c r="S10" i="99"/>
  <c r="S7" i="99"/>
  <c r="S88" i="99"/>
  <c r="Q88" i="99" s="1"/>
  <c r="A23" i="99"/>
  <c r="A26" i="99"/>
  <c r="A24" i="99"/>
  <c r="A27" i="99"/>
  <c r="A14" i="99"/>
  <c r="A31" i="99"/>
  <c r="A29" i="99"/>
  <c r="A17" i="99"/>
  <c r="A19" i="99"/>
  <c r="A8" i="99"/>
  <c r="A9" i="99"/>
  <c r="A11" i="99"/>
  <c r="A7" i="99"/>
  <c r="A10" i="99"/>
  <c r="A12" i="99"/>
  <c r="F7" i="100"/>
  <c r="B6" i="101"/>
  <c r="B7" i="101"/>
  <c r="B9" i="101"/>
  <c r="B10" i="101"/>
  <c r="B11" i="101"/>
  <c r="B12" i="101"/>
  <c r="B13" i="101"/>
  <c r="B14" i="101"/>
  <c r="B15" i="101"/>
  <c r="B16" i="101"/>
  <c r="B17" i="101"/>
  <c r="B18" i="101"/>
  <c r="B19" i="101"/>
  <c r="B20" i="101"/>
  <c r="B21" i="101"/>
  <c r="B22" i="101"/>
  <c r="B23" i="101"/>
  <c r="B24" i="101"/>
  <c r="B25" i="101"/>
  <c r="B26" i="101"/>
  <c r="B27" i="101"/>
  <c r="B28" i="101"/>
  <c r="B29" i="101"/>
  <c r="B30" i="101"/>
  <c r="B31" i="101"/>
  <c r="B32" i="101"/>
  <c r="W38" i="101"/>
  <c r="S32" i="101"/>
  <c r="T32" i="101" s="1"/>
  <c r="Q32" i="101" s="1"/>
  <c r="X32" i="101" s="1"/>
  <c r="S31" i="101"/>
  <c r="T31" i="101" s="1"/>
  <c r="S30" i="101"/>
  <c r="T30" i="101" s="1"/>
  <c r="S29" i="101"/>
  <c r="T29" i="101" s="1"/>
  <c r="S28" i="101"/>
  <c r="T28" i="101" s="1"/>
  <c r="S27" i="101"/>
  <c r="T27" i="101" s="1"/>
  <c r="S26" i="101"/>
  <c r="T26" i="101" s="1"/>
  <c r="S25" i="101"/>
  <c r="T25" i="101" s="1"/>
  <c r="W25" i="101" s="1"/>
  <c r="S24" i="101"/>
  <c r="T24" i="101" s="1"/>
  <c r="S23" i="101"/>
  <c r="T23" i="101" s="1"/>
  <c r="S22" i="101"/>
  <c r="T22" i="101" s="1"/>
  <c r="W22" i="101" s="1"/>
  <c r="S21" i="101"/>
  <c r="T21" i="101" s="1"/>
  <c r="S20" i="101"/>
  <c r="S19" i="101"/>
  <c r="T19" i="101" s="1"/>
  <c r="S18" i="101"/>
  <c r="T18" i="101" s="1"/>
  <c r="S17" i="101"/>
  <c r="T17" i="101" s="1"/>
  <c r="W17" i="101" s="1"/>
  <c r="S16" i="101"/>
  <c r="T16" i="101" s="1"/>
  <c r="S15" i="101"/>
  <c r="T15" i="101" s="1"/>
  <c r="S14" i="101"/>
  <c r="T14" i="101" s="1"/>
  <c r="S13" i="101"/>
  <c r="T13" i="101" s="1"/>
  <c r="S12" i="101"/>
  <c r="T12" i="101" s="1"/>
  <c r="S11" i="101"/>
  <c r="T11" i="101" s="1"/>
  <c r="S10" i="101"/>
  <c r="T10" i="101" s="1"/>
  <c r="S9" i="101"/>
  <c r="T9" i="101" s="1"/>
  <c r="S7" i="101"/>
  <c r="T7" i="101" s="1"/>
  <c r="S6" i="101"/>
  <c r="T6" i="101" s="1"/>
  <c r="V12" i="99" l="1"/>
  <c r="V88" i="99"/>
  <c r="W9" i="101"/>
  <c r="Q9" i="101"/>
  <c r="X9" i="101" s="1"/>
  <c r="W13" i="101"/>
  <c r="Q13" i="101"/>
  <c r="X13" i="101" s="1"/>
  <c r="Q21" i="101"/>
  <c r="X21" i="101" s="1"/>
  <c r="W21" i="101"/>
  <c r="W10" i="101"/>
  <c r="Q10" i="101"/>
  <c r="X10" i="101" s="1"/>
  <c r="W14" i="101"/>
  <c r="Q14" i="101"/>
  <c r="X14" i="101" s="1"/>
  <c r="W30" i="101"/>
  <c r="Q30" i="101"/>
  <c r="X30" i="101" s="1"/>
  <c r="W18" i="101"/>
  <c r="Q18" i="101"/>
  <c r="X18" i="101" s="1"/>
  <c r="W26" i="101"/>
  <c r="Q26" i="101"/>
  <c r="X26" i="101" s="1"/>
  <c r="W6" i="101"/>
  <c r="Q6" i="101"/>
  <c r="X6" i="101" s="1"/>
  <c r="W11" i="101"/>
  <c r="Q11" i="101"/>
  <c r="X11" i="101" s="1"/>
  <c r="W15" i="101"/>
  <c r="Q15" i="101"/>
  <c r="X15" i="101" s="1"/>
  <c r="W19" i="101"/>
  <c r="Q19" i="101"/>
  <c r="X19" i="101" s="1"/>
  <c r="W23" i="101"/>
  <c r="Q23" i="101"/>
  <c r="X23" i="101" s="1"/>
  <c r="W27" i="101"/>
  <c r="Q27" i="101"/>
  <c r="X27" i="101" s="1"/>
  <c r="W31" i="101"/>
  <c r="Q31" i="101"/>
  <c r="X31" i="101" s="1"/>
  <c r="Q28" i="101"/>
  <c r="X28" i="101" s="1"/>
  <c r="W28" i="101"/>
  <c r="Q7" i="101"/>
  <c r="X7" i="101" s="1"/>
  <c r="W7" i="101"/>
  <c r="Q12" i="101"/>
  <c r="X12" i="101" s="1"/>
  <c r="W12" i="101"/>
  <c r="Q16" i="101"/>
  <c r="X16" i="101" s="1"/>
  <c r="W16" i="101"/>
  <c r="Q24" i="101"/>
  <c r="X24" i="101" s="1"/>
  <c r="W24" i="101"/>
  <c r="Q29" i="101"/>
  <c r="X29" i="101" s="1"/>
  <c r="W29" i="101"/>
  <c r="T20" i="101"/>
  <c r="W20" i="101" s="1"/>
  <c r="W32" i="101"/>
  <c r="Q22" i="101"/>
  <c r="X22" i="101" s="1"/>
  <c r="Q17" i="101"/>
  <c r="X17" i="101" s="1"/>
  <c r="Q25" i="101"/>
  <c r="X25" i="101" s="1"/>
  <c r="Q20" i="101" l="1"/>
  <c r="X20" i="101" s="1"/>
  <c r="X33" i="101" s="1"/>
  <c r="X35" i="101" l="1"/>
  <c r="X36" i="101" s="1"/>
  <c r="E3" i="100" l="1"/>
  <c r="N8" i="100"/>
  <c r="N9" i="100"/>
  <c r="N10" i="100"/>
  <c r="N11" i="100"/>
  <c r="N12" i="100"/>
  <c r="N13" i="100"/>
  <c r="N14" i="100"/>
  <c r="N15" i="100"/>
  <c r="N16" i="100"/>
  <c r="N17" i="100"/>
  <c r="N18" i="100"/>
  <c r="N19" i="100"/>
  <c r="N20" i="100"/>
  <c r="N21" i="100"/>
  <c r="N22" i="100"/>
  <c r="N23" i="100"/>
  <c r="N24" i="100"/>
  <c r="N25" i="100"/>
  <c r="N26" i="100"/>
  <c r="N27" i="100"/>
  <c r="N28" i="100"/>
  <c r="N29" i="100"/>
  <c r="N30" i="100"/>
  <c r="N31" i="100"/>
  <c r="N32" i="100"/>
  <c r="N33" i="100"/>
  <c r="N34" i="100"/>
  <c r="N35" i="100"/>
  <c r="N36" i="100"/>
  <c r="N37" i="100"/>
  <c r="N38" i="100"/>
  <c r="N39" i="100"/>
  <c r="N40" i="100"/>
  <c r="N41" i="100"/>
  <c r="N42" i="100"/>
  <c r="N43" i="100"/>
  <c r="N44" i="100"/>
  <c r="N45" i="100"/>
  <c r="N46" i="100"/>
  <c r="N47" i="100"/>
  <c r="N48" i="100"/>
  <c r="N49" i="100"/>
  <c r="N50" i="100"/>
  <c r="N51" i="100"/>
  <c r="N52" i="100"/>
  <c r="N53" i="100"/>
  <c r="N54" i="100"/>
  <c r="N55" i="100"/>
  <c r="N56" i="100"/>
  <c r="N57" i="100"/>
  <c r="N58" i="100"/>
  <c r="N59" i="100"/>
  <c r="N60" i="100"/>
  <c r="N61" i="100"/>
  <c r="N62" i="100"/>
  <c r="N63" i="100"/>
  <c r="N64" i="100"/>
  <c r="N65" i="100"/>
  <c r="N66" i="100"/>
  <c r="N67" i="100"/>
  <c r="N68" i="100"/>
  <c r="N69" i="100"/>
  <c r="N70" i="100"/>
  <c r="N71" i="100"/>
  <c r="N72" i="100"/>
  <c r="N73" i="100"/>
  <c r="N74" i="100"/>
  <c r="N75" i="100"/>
  <c r="N76" i="100"/>
  <c r="N77" i="100"/>
  <c r="N78" i="100"/>
  <c r="N79" i="100"/>
  <c r="N80" i="100"/>
  <c r="N81" i="100"/>
  <c r="N82" i="100"/>
  <c r="N83" i="100"/>
  <c r="N84" i="100"/>
  <c r="N85" i="100"/>
  <c r="N86" i="100"/>
  <c r="N87" i="100"/>
  <c r="N88" i="100"/>
  <c r="N89" i="100"/>
  <c r="N90" i="100"/>
  <c r="N91" i="100"/>
  <c r="N92" i="100"/>
  <c r="N93" i="100"/>
  <c r="N94" i="100"/>
  <c r="N95" i="100"/>
  <c r="N96" i="100"/>
  <c r="N97" i="100"/>
  <c r="C8" i="100"/>
  <c r="C9" i="100"/>
  <c r="C10" i="100"/>
  <c r="C11" i="100"/>
  <c r="C12" i="100"/>
  <c r="C13" i="100"/>
  <c r="C14" i="100"/>
  <c r="C15" i="100"/>
  <c r="C16" i="100"/>
  <c r="C17" i="100"/>
  <c r="C18" i="100"/>
  <c r="C19" i="100"/>
  <c r="C20" i="100"/>
  <c r="C21" i="100"/>
  <c r="C22" i="100"/>
  <c r="C23" i="100"/>
  <c r="C24" i="100"/>
  <c r="C25" i="100"/>
  <c r="C26" i="100"/>
  <c r="C27" i="100"/>
  <c r="C28" i="100"/>
  <c r="C29" i="100"/>
  <c r="C30" i="100"/>
  <c r="C31" i="100"/>
  <c r="C32" i="100"/>
  <c r="C33" i="100"/>
  <c r="C34" i="100"/>
  <c r="C35" i="100"/>
  <c r="C36" i="100"/>
  <c r="C37" i="100"/>
  <c r="C38" i="100"/>
  <c r="C39" i="100"/>
  <c r="C40" i="100"/>
  <c r="C41" i="100"/>
  <c r="C42" i="100"/>
  <c r="C43" i="100"/>
  <c r="C44" i="100"/>
  <c r="C45" i="100"/>
  <c r="C46" i="100"/>
  <c r="C47" i="100"/>
  <c r="C48" i="100"/>
  <c r="C49" i="100"/>
  <c r="C50" i="100"/>
  <c r="C51" i="100"/>
  <c r="C52" i="100"/>
  <c r="C53" i="100"/>
  <c r="C54" i="100"/>
  <c r="C55" i="100"/>
  <c r="C56" i="100"/>
  <c r="C57" i="100"/>
  <c r="C58" i="100"/>
  <c r="C59" i="100"/>
  <c r="C60" i="100"/>
  <c r="C61" i="100"/>
  <c r="C62" i="100"/>
  <c r="C63" i="100"/>
  <c r="C64" i="100"/>
  <c r="C65" i="100"/>
  <c r="C66" i="100"/>
  <c r="C67" i="100"/>
  <c r="C68" i="100"/>
  <c r="C69" i="100"/>
  <c r="C70" i="100"/>
  <c r="C71" i="100"/>
  <c r="C72" i="100"/>
  <c r="C73" i="100"/>
  <c r="C74" i="100"/>
  <c r="C75" i="100"/>
  <c r="C76" i="100"/>
  <c r="C77" i="100"/>
  <c r="C78" i="100"/>
  <c r="C79" i="100"/>
  <c r="C80" i="100"/>
  <c r="C81" i="100"/>
  <c r="C82" i="100"/>
  <c r="C83" i="100"/>
  <c r="C84" i="100"/>
  <c r="C85" i="100"/>
  <c r="C86" i="100"/>
  <c r="C87" i="100"/>
  <c r="C88" i="100"/>
  <c r="C89" i="100"/>
  <c r="C90" i="100"/>
  <c r="C91" i="100"/>
  <c r="C92" i="100"/>
  <c r="C93" i="100"/>
  <c r="C94" i="100"/>
  <c r="C95" i="100"/>
  <c r="C96" i="100"/>
  <c r="C97" i="100"/>
  <c r="C7" i="100"/>
  <c r="T88" i="100"/>
  <c r="T89" i="100"/>
  <c r="T90" i="100"/>
  <c r="T91" i="100"/>
  <c r="T92" i="100"/>
  <c r="T93" i="100"/>
  <c r="T94" i="100"/>
  <c r="T95" i="100"/>
  <c r="T96" i="100"/>
  <c r="T97" i="100"/>
  <c r="T8" i="100"/>
  <c r="W8" i="100" s="1"/>
  <c r="T9" i="100"/>
  <c r="T10" i="100"/>
  <c r="T11" i="100"/>
  <c r="W11" i="100" s="1"/>
  <c r="T12" i="100"/>
  <c r="W12" i="100" s="1"/>
  <c r="T13" i="100"/>
  <c r="W13" i="100" s="1"/>
  <c r="T14" i="100"/>
  <c r="W14" i="100" s="1"/>
  <c r="T15" i="100"/>
  <c r="T16" i="100"/>
  <c r="T17" i="100"/>
  <c r="W17" i="100" s="1"/>
  <c r="T18" i="100"/>
  <c r="T19" i="100"/>
  <c r="T20" i="100"/>
  <c r="W20" i="100" s="1"/>
  <c r="T21" i="100"/>
  <c r="W21" i="100" s="1"/>
  <c r="T22" i="100"/>
  <c r="T23" i="100"/>
  <c r="W23" i="100" s="1"/>
  <c r="T24" i="100"/>
  <c r="W24" i="100" s="1"/>
  <c r="T25" i="100"/>
  <c r="T26" i="100"/>
  <c r="T27" i="100"/>
  <c r="T28" i="100"/>
  <c r="T29" i="100"/>
  <c r="T30" i="100"/>
  <c r="W30" i="100" s="1"/>
  <c r="T31" i="100"/>
  <c r="W31" i="100" s="1"/>
  <c r="T32" i="100"/>
  <c r="W32" i="100" s="1"/>
  <c r="T33" i="100"/>
  <c r="W33" i="100" s="1"/>
  <c r="T34" i="100"/>
  <c r="T35" i="100"/>
  <c r="W35" i="100" s="1"/>
  <c r="T36" i="100"/>
  <c r="T37" i="100"/>
  <c r="W37" i="100" s="1"/>
  <c r="T38" i="100"/>
  <c r="T39" i="100"/>
  <c r="W39" i="100" s="1"/>
  <c r="T40" i="100"/>
  <c r="W40" i="100" s="1"/>
  <c r="T41" i="100"/>
  <c r="W41" i="100" s="1"/>
  <c r="T42" i="100"/>
  <c r="W42" i="100" s="1"/>
  <c r="T43" i="100"/>
  <c r="W43" i="100" s="1"/>
  <c r="T44" i="100"/>
  <c r="W44" i="100" s="1"/>
  <c r="X44" i="100" s="1"/>
  <c r="T45" i="100"/>
  <c r="W45" i="100" s="1"/>
  <c r="X45" i="100" s="1"/>
  <c r="T46" i="100"/>
  <c r="W46" i="100" s="1"/>
  <c r="T47" i="100"/>
  <c r="W47" i="100" s="1"/>
  <c r="T48" i="100"/>
  <c r="W48" i="100" s="1"/>
  <c r="T49" i="100"/>
  <c r="W49" i="100" s="1"/>
  <c r="T50" i="100"/>
  <c r="W50" i="100" s="1"/>
  <c r="T51" i="100"/>
  <c r="T52" i="100"/>
  <c r="W52" i="100" s="1"/>
  <c r="T53" i="100"/>
  <c r="T54" i="100"/>
  <c r="W54" i="100" s="1"/>
  <c r="T55" i="100"/>
  <c r="W55" i="100" s="1"/>
  <c r="T56" i="100"/>
  <c r="T57" i="100"/>
  <c r="T58" i="100"/>
  <c r="W58" i="100" s="1"/>
  <c r="T59" i="100"/>
  <c r="W59" i="100" s="1"/>
  <c r="T60" i="100"/>
  <c r="W60" i="100" s="1"/>
  <c r="T61" i="100"/>
  <c r="W61" i="100" s="1"/>
  <c r="T62" i="100"/>
  <c r="W62" i="100" s="1"/>
  <c r="T63" i="100"/>
  <c r="W63" i="100" s="1"/>
  <c r="T64" i="100"/>
  <c r="W64" i="100" s="1"/>
  <c r="T65" i="100"/>
  <c r="W65" i="100" s="1"/>
  <c r="T66" i="100"/>
  <c r="T67" i="100"/>
  <c r="W67" i="100" s="1"/>
  <c r="T68" i="100"/>
  <c r="T69" i="100"/>
  <c r="W69" i="100" s="1"/>
  <c r="X69" i="100" s="1"/>
  <c r="T70" i="100"/>
  <c r="W70" i="100" s="1"/>
  <c r="X70" i="100" s="1"/>
  <c r="T71" i="100"/>
  <c r="W71" i="100" s="1"/>
  <c r="T72" i="100"/>
  <c r="W72" i="100" s="1"/>
  <c r="T73" i="100"/>
  <c r="T74" i="100"/>
  <c r="W74" i="100" s="1"/>
  <c r="X74" i="100" s="1"/>
  <c r="T75" i="100"/>
  <c r="W75" i="100" s="1"/>
  <c r="T76" i="100"/>
  <c r="T77" i="100"/>
  <c r="W77" i="100" s="1"/>
  <c r="T78" i="100"/>
  <c r="W78" i="100" s="1"/>
  <c r="T79" i="100"/>
  <c r="W79" i="100" s="1"/>
  <c r="T80" i="100"/>
  <c r="W80" i="100" s="1"/>
  <c r="T81" i="100"/>
  <c r="W81" i="100" s="1"/>
  <c r="T82" i="100"/>
  <c r="T83" i="100"/>
  <c r="W83" i="100" s="1"/>
  <c r="T84" i="100"/>
  <c r="W84" i="100" s="1"/>
  <c r="T85" i="100"/>
  <c r="W85" i="100" s="1"/>
  <c r="T86" i="100"/>
  <c r="W86" i="100" s="1"/>
  <c r="T87" i="100"/>
  <c r="T7" i="100"/>
  <c r="W7" i="100" s="1"/>
  <c r="N3" i="100"/>
  <c r="B68" i="100" a="1"/>
  <c r="B68" i="100" s="1"/>
  <c r="A68" i="100" s="1"/>
  <c r="B38" i="100" a="1"/>
  <c r="B38" i="100" s="1"/>
  <c r="A38" i="100" s="1"/>
  <c r="B7" i="100" a="1"/>
  <c r="B7" i="100" s="1"/>
  <c r="A7" i="100" s="1"/>
  <c r="W56" i="100"/>
  <c r="W26" i="100"/>
  <c r="W22" i="100"/>
  <c r="W15" i="100"/>
  <c r="W9" i="100"/>
  <c r="S30" i="98"/>
  <c r="T30" i="98" s="1"/>
  <c r="S29" i="98"/>
  <c r="T29" i="98" s="1"/>
  <c r="S28" i="98"/>
  <c r="T28" i="98" s="1"/>
  <c r="S27" i="98"/>
  <c r="T27" i="98" s="1"/>
  <c r="S26" i="98"/>
  <c r="T26" i="98" s="1"/>
  <c r="S25" i="98"/>
  <c r="T25" i="98" s="1"/>
  <c r="S23" i="98"/>
  <c r="T23" i="98" s="1"/>
  <c r="S22" i="98"/>
  <c r="T22" i="98" s="1"/>
  <c r="S20" i="98"/>
  <c r="T20" i="98" s="1"/>
  <c r="W37" i="98"/>
  <c r="B20" i="98"/>
  <c r="B21" i="98"/>
  <c r="B22" i="98"/>
  <c r="B23" i="98"/>
  <c r="B24" i="98"/>
  <c r="B25" i="98"/>
  <c r="B26" i="98"/>
  <c r="B27" i="98"/>
  <c r="B28" i="98"/>
  <c r="B29" i="98"/>
  <c r="B30" i="98"/>
  <c r="B31" i="98"/>
  <c r="B7" i="98"/>
  <c r="B8" i="98"/>
  <c r="B9" i="98"/>
  <c r="B10" i="98"/>
  <c r="B11" i="98"/>
  <c r="B12" i="98"/>
  <c r="B13" i="98"/>
  <c r="B14" i="98"/>
  <c r="B15" i="98"/>
  <c r="B16" i="98"/>
  <c r="B17" i="98"/>
  <c r="B18" i="98"/>
  <c r="B19" i="98"/>
  <c r="B6" i="98"/>
  <c r="S17" i="98"/>
  <c r="T17" i="98" s="1"/>
  <c r="S19" i="98"/>
  <c r="T19" i="98" s="1"/>
  <c r="W19" i="98" s="1"/>
  <c r="S18" i="98"/>
  <c r="T18" i="98" s="1"/>
  <c r="S6" i="98"/>
  <c r="T6" i="98" s="1"/>
  <c r="W6" i="98" s="1"/>
  <c r="S7" i="98"/>
  <c r="T7" i="98" s="1"/>
  <c r="S8" i="98"/>
  <c r="T8" i="98" s="1"/>
  <c r="S9" i="98"/>
  <c r="T9" i="98" s="1"/>
  <c r="S10" i="98"/>
  <c r="T10" i="98" s="1"/>
  <c r="S11" i="98"/>
  <c r="T11" i="98" s="1"/>
  <c r="S12" i="98"/>
  <c r="T12" i="98" s="1"/>
  <c r="S13" i="98"/>
  <c r="T13" i="98" s="1"/>
  <c r="S14" i="98"/>
  <c r="T14" i="98" s="1"/>
  <c r="S16" i="98"/>
  <c r="T16" i="98" s="1"/>
  <c r="W16" i="98" s="1"/>
  <c r="S15" i="98"/>
  <c r="T15" i="98" s="1"/>
  <c r="S87" i="99"/>
  <c r="V87" i="99" s="1"/>
  <c r="S86" i="99"/>
  <c r="V86" i="99" s="1"/>
  <c r="S85" i="99"/>
  <c r="V85" i="99" s="1"/>
  <c r="S84" i="99"/>
  <c r="V84" i="99" s="1"/>
  <c r="S83" i="99"/>
  <c r="V83" i="99" s="1"/>
  <c r="S82" i="99"/>
  <c r="V82" i="99" s="1"/>
  <c r="S81" i="99"/>
  <c r="V81" i="99" s="1"/>
  <c r="S80" i="99"/>
  <c r="V80" i="99" s="1"/>
  <c r="S79" i="99"/>
  <c r="V79" i="99" s="1"/>
  <c r="S78" i="99"/>
  <c r="V78" i="99" s="1"/>
  <c r="S77" i="99"/>
  <c r="V77" i="99" s="1"/>
  <c r="S76" i="99"/>
  <c r="V76" i="99" s="1"/>
  <c r="S75" i="99"/>
  <c r="V75" i="99" s="1"/>
  <c r="S74" i="99"/>
  <c r="V74" i="99" s="1"/>
  <c r="W74" i="99" s="1"/>
  <c r="S73" i="99"/>
  <c r="V73" i="99" s="1"/>
  <c r="S72" i="99"/>
  <c r="V72" i="99" s="1"/>
  <c r="S71" i="99"/>
  <c r="V71" i="99" s="1"/>
  <c r="S70" i="99"/>
  <c r="V70" i="99" s="1"/>
  <c r="W70" i="99" s="1"/>
  <c r="S69" i="99"/>
  <c r="V69" i="99" s="1"/>
  <c r="W69" i="99" s="1"/>
  <c r="S68" i="99"/>
  <c r="V68" i="99" s="1"/>
  <c r="S67" i="99"/>
  <c r="V67" i="99" s="1"/>
  <c r="S66" i="99"/>
  <c r="V66" i="99" s="1"/>
  <c r="W66" i="99" s="1"/>
  <c r="S65" i="99"/>
  <c r="V65" i="99" s="1"/>
  <c r="S64" i="99"/>
  <c r="V64" i="99" s="1"/>
  <c r="S63" i="99"/>
  <c r="V63" i="99" s="1"/>
  <c r="S62" i="99"/>
  <c r="V62" i="99" s="1"/>
  <c r="S61" i="99"/>
  <c r="V61" i="99" s="1"/>
  <c r="S60" i="99"/>
  <c r="V60" i="99" s="1"/>
  <c r="S59" i="99"/>
  <c r="V59" i="99" s="1"/>
  <c r="S58" i="99"/>
  <c r="V58" i="99" s="1"/>
  <c r="S57" i="99"/>
  <c r="V57" i="99" s="1"/>
  <c r="S56" i="99"/>
  <c r="V56" i="99" s="1"/>
  <c r="S55" i="99"/>
  <c r="V55" i="99" s="1"/>
  <c r="S54" i="99"/>
  <c r="V54" i="99" s="1"/>
  <c r="S53" i="99"/>
  <c r="V53" i="99" s="1"/>
  <c r="S52" i="99"/>
  <c r="V52" i="99" s="1"/>
  <c r="S51" i="99"/>
  <c r="V51" i="99" s="1"/>
  <c r="S50" i="99"/>
  <c r="V50" i="99" s="1"/>
  <c r="S49" i="99"/>
  <c r="V49" i="99" s="1"/>
  <c r="S48" i="99"/>
  <c r="V48" i="99" s="1"/>
  <c r="S47" i="99"/>
  <c r="V47" i="99" s="1"/>
  <c r="S46" i="99"/>
  <c r="V46" i="99" s="1"/>
  <c r="S45" i="99"/>
  <c r="V45" i="99" s="1"/>
  <c r="W45" i="99" s="1"/>
  <c r="S44" i="99"/>
  <c r="V44" i="99" s="1"/>
  <c r="W44" i="99" s="1"/>
  <c r="S43" i="99"/>
  <c r="V43" i="99" s="1"/>
  <c r="S42" i="99"/>
  <c r="V42" i="99" s="1"/>
  <c r="S41" i="99"/>
  <c r="V41" i="99" s="1"/>
  <c r="S40" i="99"/>
  <c r="V40" i="99" s="1"/>
  <c r="S39" i="99"/>
  <c r="V39" i="99" s="1"/>
  <c r="S38" i="99"/>
  <c r="V38" i="99" s="1"/>
  <c r="S37" i="99"/>
  <c r="V37" i="99" s="1"/>
  <c r="S36" i="99"/>
  <c r="V36" i="99" s="1"/>
  <c r="S35" i="99"/>
  <c r="V35" i="99" s="1"/>
  <c r="S34" i="99"/>
  <c r="V34" i="99" s="1"/>
  <c r="S33" i="99"/>
  <c r="V33" i="99" s="1"/>
  <c r="S32" i="99"/>
  <c r="V32" i="99" s="1"/>
  <c r="S28" i="99"/>
  <c r="V28" i="99" s="1"/>
  <c r="S25" i="99"/>
  <c r="V25" i="99" s="1"/>
  <c r="V23" i="99"/>
  <c r="V18" i="99"/>
  <c r="S26" i="99"/>
  <c r="V26" i="99" s="1"/>
  <c r="V24" i="99"/>
  <c r="S27" i="99"/>
  <c r="V27" i="99" s="1"/>
  <c r="V16" i="99"/>
  <c r="V22" i="99"/>
  <c r="V21" i="99"/>
  <c r="S30" i="99"/>
  <c r="V30" i="99" s="1"/>
  <c r="V15" i="99"/>
  <c r="V20" i="99"/>
  <c r="V14" i="99"/>
  <c r="S31" i="99"/>
  <c r="V31" i="99" s="1"/>
  <c r="S29" i="99"/>
  <c r="V29" i="99" s="1"/>
  <c r="V10" i="99"/>
  <c r="V7" i="99"/>
  <c r="V11" i="99"/>
  <c r="V9" i="99"/>
  <c r="V8" i="99"/>
  <c r="V19" i="99"/>
  <c r="V17" i="99"/>
  <c r="S21" i="98"/>
  <c r="T21" i="98" s="1"/>
  <c r="W21" i="98" s="1"/>
  <c r="S24" i="98"/>
  <c r="T24" i="98" s="1"/>
  <c r="W24" i="98" s="1"/>
  <c r="S31" i="98"/>
  <c r="T31" i="98" s="1"/>
  <c r="W91" i="97"/>
  <c r="W33" i="97"/>
  <c r="W27" i="97"/>
  <c r="W26" i="97"/>
  <c r="W25" i="97"/>
  <c r="W16" i="97"/>
  <c r="W14" i="97"/>
  <c r="W13" i="97"/>
  <c r="W12" i="97"/>
  <c r="W10" i="97"/>
  <c r="W9" i="97"/>
  <c r="W24" i="97"/>
  <c r="W17" i="97"/>
  <c r="W36" i="97"/>
  <c r="W35" i="97"/>
  <c r="Q8" i="97"/>
  <c r="W8" i="97" s="1"/>
  <c r="W23" i="97"/>
  <c r="Q23" i="97"/>
  <c r="W38" i="97"/>
  <c r="W37" i="97"/>
  <c r="W32" i="97"/>
  <c r="W30" i="97"/>
  <c r="W29" i="97"/>
  <c r="W28" i="97"/>
  <c r="Q29" i="97"/>
  <c r="S32" i="97"/>
  <c r="S29" i="97"/>
  <c r="S27" i="97"/>
  <c r="S26" i="97"/>
  <c r="S23" i="97"/>
  <c r="S16" i="97"/>
  <c r="S15" i="97"/>
  <c r="S7" i="97"/>
  <c r="S8" i="97"/>
  <c r="S9" i="97"/>
  <c r="S10" i="97"/>
  <c r="S11" i="97"/>
  <c r="S12" i="97"/>
  <c r="S13" i="97"/>
  <c r="S14" i="97"/>
  <c r="S17" i="97"/>
  <c r="S18" i="97"/>
  <c r="S19" i="97"/>
  <c r="S20" i="97"/>
  <c r="S21" i="97"/>
  <c r="S22" i="97"/>
  <c r="S24" i="97"/>
  <c r="S25" i="97"/>
  <c r="S28" i="97"/>
  <c r="S30" i="97"/>
  <c r="S31" i="97"/>
  <c r="S33" i="97"/>
  <c r="S34" i="97"/>
  <c r="S35" i="97"/>
  <c r="S36" i="97"/>
  <c r="S37" i="97"/>
  <c r="S38" i="97"/>
  <c r="S39" i="97"/>
  <c r="S87" i="97"/>
  <c r="V87" i="97" s="1"/>
  <c r="Q87" i="97"/>
  <c r="W87" i="97" s="1"/>
  <c r="S86" i="97"/>
  <c r="V86" i="97" s="1"/>
  <c r="Q86" i="97"/>
  <c r="S85" i="97"/>
  <c r="V85" i="97" s="1"/>
  <c r="Q85" i="97"/>
  <c r="S84" i="97"/>
  <c r="V84" i="97" s="1"/>
  <c r="Q84" i="97"/>
  <c r="W84" i="97" s="1"/>
  <c r="S83" i="97"/>
  <c r="V83" i="97" s="1"/>
  <c r="Q83" i="97"/>
  <c r="S82" i="97"/>
  <c r="V82" i="97" s="1"/>
  <c r="Q82" i="97"/>
  <c r="S81" i="97"/>
  <c r="V81" i="97" s="1"/>
  <c r="Q81" i="97"/>
  <c r="S80" i="97"/>
  <c r="V80" i="97" s="1"/>
  <c r="Q80" i="97"/>
  <c r="W80" i="97" s="1"/>
  <c r="S79" i="97"/>
  <c r="V79" i="97" s="1"/>
  <c r="Q79" i="97"/>
  <c r="W79" i="97" s="1"/>
  <c r="S78" i="97"/>
  <c r="V78" i="97" s="1"/>
  <c r="Q78" i="97"/>
  <c r="W78" i="97" s="1"/>
  <c r="S77" i="97"/>
  <c r="V77" i="97" s="1"/>
  <c r="Q77" i="97"/>
  <c r="S76" i="97"/>
  <c r="V76" i="97" s="1"/>
  <c r="Q76" i="97"/>
  <c r="S75" i="97"/>
  <c r="V75" i="97" s="1"/>
  <c r="Q75" i="97"/>
  <c r="W75" i="97" s="1"/>
  <c r="S74" i="97"/>
  <c r="V74" i="97" s="1"/>
  <c r="W74" i="97" s="1"/>
  <c r="Q74" i="97"/>
  <c r="S73" i="97"/>
  <c r="V73" i="97" s="1"/>
  <c r="Q73" i="97"/>
  <c r="S72" i="97"/>
  <c r="V72" i="97" s="1"/>
  <c r="Q72" i="97"/>
  <c r="S71" i="97"/>
  <c r="V71" i="97" s="1"/>
  <c r="Q71" i="97"/>
  <c r="S70" i="97"/>
  <c r="V70" i="97" s="1"/>
  <c r="W70" i="97" s="1"/>
  <c r="Q70" i="97"/>
  <c r="Y70" i="97" s="1"/>
  <c r="S69" i="97"/>
  <c r="V69" i="97" s="1"/>
  <c r="W69" i="97" s="1"/>
  <c r="Q69" i="97"/>
  <c r="S68" i="97"/>
  <c r="V68" i="97" s="1"/>
  <c r="Q68" i="97"/>
  <c r="S67" i="97"/>
  <c r="V67" i="97" s="1"/>
  <c r="Q67" i="97"/>
  <c r="W67" i="97" s="1"/>
  <c r="S66" i="97"/>
  <c r="V66" i="97" s="1"/>
  <c r="W66" i="97" s="1"/>
  <c r="Q66" i="97"/>
  <c r="S65" i="97"/>
  <c r="V65" i="97" s="1"/>
  <c r="Q65" i="97"/>
  <c r="S64" i="97"/>
  <c r="V64" i="97" s="1"/>
  <c r="Q64" i="97"/>
  <c r="S63" i="97"/>
  <c r="V63" i="97" s="1"/>
  <c r="Q63" i="97"/>
  <c r="W63" i="97" s="1"/>
  <c r="S62" i="97"/>
  <c r="V62" i="97" s="1"/>
  <c r="Q62" i="97"/>
  <c r="W62" i="97" s="1"/>
  <c r="S61" i="97"/>
  <c r="V61" i="97" s="1"/>
  <c r="Q61" i="97"/>
  <c r="S60" i="97"/>
  <c r="V60" i="97" s="1"/>
  <c r="Q60" i="97"/>
  <c r="W60" i="97" s="1"/>
  <c r="S59" i="97"/>
  <c r="V59" i="97" s="1"/>
  <c r="Q59" i="97"/>
  <c r="W59" i="97" s="1"/>
  <c r="S58" i="97"/>
  <c r="V58" i="97" s="1"/>
  <c r="Q58" i="97"/>
  <c r="W58" i="97" s="1"/>
  <c r="S57" i="97"/>
  <c r="V57" i="97" s="1"/>
  <c r="Q57" i="97"/>
  <c r="W57" i="97" s="1"/>
  <c r="Y57" i="97" s="1"/>
  <c r="S56" i="97"/>
  <c r="V56" i="97" s="1"/>
  <c r="Q56" i="97"/>
  <c r="W56" i="97" s="1"/>
  <c r="S55" i="97"/>
  <c r="V55" i="97" s="1"/>
  <c r="Q55" i="97"/>
  <c r="W55" i="97" s="1"/>
  <c r="Y55" i="97" s="1"/>
  <c r="S54" i="97"/>
  <c r="V54" i="97" s="1"/>
  <c r="Q54" i="97"/>
  <c r="W54" i="97" s="1"/>
  <c r="S53" i="97"/>
  <c r="V53" i="97" s="1"/>
  <c r="Q53" i="97"/>
  <c r="W53" i="97" s="1"/>
  <c r="S52" i="97"/>
  <c r="V52" i="97" s="1"/>
  <c r="Q52" i="97"/>
  <c r="W52" i="97" s="1"/>
  <c r="S51" i="97"/>
  <c r="V51" i="97" s="1"/>
  <c r="Q51" i="97"/>
  <c r="W51" i="97" s="1"/>
  <c r="S50" i="97"/>
  <c r="V50" i="97" s="1"/>
  <c r="Q50" i="97"/>
  <c r="W50" i="97" s="1"/>
  <c r="S49" i="97"/>
  <c r="V49" i="97" s="1"/>
  <c r="Q49" i="97"/>
  <c r="S48" i="97"/>
  <c r="V48" i="97" s="1"/>
  <c r="Q48" i="97"/>
  <c r="W48" i="97" s="1"/>
  <c r="S47" i="97"/>
  <c r="V47" i="97" s="1"/>
  <c r="Q47" i="97"/>
  <c r="W47" i="97" s="1"/>
  <c r="S46" i="97"/>
  <c r="V46" i="97" s="1"/>
  <c r="Q46" i="97"/>
  <c r="W46" i="97" s="1"/>
  <c r="S45" i="97"/>
  <c r="V45" i="97" s="1"/>
  <c r="W45" i="97" s="1"/>
  <c r="Q45" i="97"/>
  <c r="S44" i="97"/>
  <c r="V44" i="97" s="1"/>
  <c r="W44" i="97" s="1"/>
  <c r="Q44" i="97"/>
  <c r="S43" i="97"/>
  <c r="V43" i="97" s="1"/>
  <c r="Q43" i="97"/>
  <c r="W43" i="97" s="1"/>
  <c r="S42" i="97"/>
  <c r="V42" i="97" s="1"/>
  <c r="Q42" i="97"/>
  <c r="W42" i="97" s="1"/>
  <c r="S41" i="97"/>
  <c r="V41" i="97" s="1"/>
  <c r="Q41" i="97"/>
  <c r="W41" i="97" s="1"/>
  <c r="S40" i="97"/>
  <c r="V40" i="97" s="1"/>
  <c r="Q40" i="97"/>
  <c r="V39" i="97"/>
  <c r="Q39" i="97"/>
  <c r="W39" i="97" s="1"/>
  <c r="V38" i="97"/>
  <c r="Q38" i="97"/>
  <c r="V37" i="97"/>
  <c r="Q37" i="97"/>
  <c r="V36" i="97"/>
  <c r="Q36" i="97"/>
  <c r="V35" i="97"/>
  <c r="Q35" i="97"/>
  <c r="V34" i="97"/>
  <c r="Q34" i="97"/>
  <c r="W34" i="97" s="1"/>
  <c r="V33" i="97"/>
  <c r="Q33" i="97"/>
  <c r="V32" i="97"/>
  <c r="Q32" i="97"/>
  <c r="V31" i="97"/>
  <c r="Q31" i="97"/>
  <c r="W31" i="97" s="1"/>
  <c r="V30" i="97"/>
  <c r="Q30" i="97"/>
  <c r="Y30" i="97" s="1"/>
  <c r="V28" i="97"/>
  <c r="Q28" i="97"/>
  <c r="V27" i="97"/>
  <c r="Q27" i="97"/>
  <c r="V26" i="97"/>
  <c r="Q26" i="97"/>
  <c r="V25" i="97"/>
  <c r="Q25" i="97"/>
  <c r="V24" i="97"/>
  <c r="Q24" i="97"/>
  <c r="V23" i="97"/>
  <c r="V22" i="97"/>
  <c r="Q22" i="97"/>
  <c r="W22" i="97" s="1"/>
  <c r="V21" i="97"/>
  <c r="Q21" i="97"/>
  <c r="W21" i="97" s="1"/>
  <c r="V20" i="97"/>
  <c r="Q20" i="97"/>
  <c r="V19" i="97"/>
  <c r="Q19" i="97"/>
  <c r="V18" i="97"/>
  <c r="Q18" i="97"/>
  <c r="W18" i="97" s="1"/>
  <c r="V17" i="97"/>
  <c r="Q17" i="97"/>
  <c r="V16" i="97"/>
  <c r="Q16" i="97"/>
  <c r="V15" i="97"/>
  <c r="Q15" i="97"/>
  <c r="W15" i="97" s="1"/>
  <c r="V14" i="97"/>
  <c r="Q14" i="97"/>
  <c r="V13" i="97"/>
  <c r="Q13" i="97"/>
  <c r="V12" i="97"/>
  <c r="Q12" i="97"/>
  <c r="V11" i="97"/>
  <c r="Q11" i="97"/>
  <c r="W11" i="97" s="1"/>
  <c r="V10" i="97"/>
  <c r="Q10" i="97"/>
  <c r="V9" i="97"/>
  <c r="Q9" i="97"/>
  <c r="V7" i="97"/>
  <c r="Q7" i="97"/>
  <c r="W7" i="97" s="1"/>
  <c r="W19" i="96"/>
  <c r="S21" i="96"/>
  <c r="W20" i="96"/>
  <c r="W15" i="96"/>
  <c r="W14" i="96"/>
  <c r="W13" i="96"/>
  <c r="W12" i="96"/>
  <c r="W11" i="96"/>
  <c r="W10" i="96"/>
  <c r="W9" i="96"/>
  <c r="W8" i="96"/>
  <c r="W31" i="96"/>
  <c r="W30" i="96"/>
  <c r="W16" i="96"/>
  <c r="W28" i="96"/>
  <c r="W27" i="96"/>
  <c r="W26" i="96"/>
  <c r="W25" i="96"/>
  <c r="W22" i="96"/>
  <c r="W17" i="96"/>
  <c r="Q87" i="96"/>
  <c r="Q86" i="96"/>
  <c r="Q85" i="96"/>
  <c r="Q84" i="96"/>
  <c r="Q83" i="96"/>
  <c r="Q82" i="96"/>
  <c r="Q81" i="96"/>
  <c r="Q80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8" i="96"/>
  <c r="Q27" i="96"/>
  <c r="Q26" i="96"/>
  <c r="Q25" i="96"/>
  <c r="Q24" i="96"/>
  <c r="W24" i="96" s="1"/>
  <c r="Q19" i="96"/>
  <c r="Q18" i="96"/>
  <c r="W18" i="96" s="1"/>
  <c r="S29" i="96"/>
  <c r="S28" i="96"/>
  <c r="S26" i="96"/>
  <c r="S25" i="96"/>
  <c r="S20" i="96"/>
  <c r="S19" i="96"/>
  <c r="S15" i="96"/>
  <c r="S7" i="96"/>
  <c r="S8" i="96"/>
  <c r="S9" i="96"/>
  <c r="S10" i="96"/>
  <c r="S11" i="96"/>
  <c r="S12" i="96"/>
  <c r="S13" i="96"/>
  <c r="S14" i="96"/>
  <c r="S16" i="96"/>
  <c r="S17" i="96"/>
  <c r="S18" i="96"/>
  <c r="S22" i="96"/>
  <c r="S23" i="96"/>
  <c r="S24" i="96"/>
  <c r="S27" i="96"/>
  <c r="S30" i="96"/>
  <c r="S31" i="96"/>
  <c r="S32" i="96"/>
  <c r="S33" i="96"/>
  <c r="S34" i="96"/>
  <c r="S35" i="96"/>
  <c r="S36" i="96"/>
  <c r="S37" i="96"/>
  <c r="S38" i="96"/>
  <c r="S39" i="96"/>
  <c r="S40" i="96"/>
  <c r="S41" i="96"/>
  <c r="S42" i="96"/>
  <c r="S43" i="96"/>
  <c r="S44" i="96"/>
  <c r="S45" i="96"/>
  <c r="S46" i="96"/>
  <c r="S47" i="96"/>
  <c r="S48" i="96"/>
  <c r="S49" i="96"/>
  <c r="S50" i="96"/>
  <c r="S51" i="96"/>
  <c r="S52" i="96"/>
  <c r="S53" i="96"/>
  <c r="S54" i="96"/>
  <c r="S55" i="96"/>
  <c r="S56" i="96"/>
  <c r="S57" i="96"/>
  <c r="S58" i="96"/>
  <c r="S59" i="96"/>
  <c r="S60" i="96"/>
  <c r="S61" i="96"/>
  <c r="S62" i="96"/>
  <c r="S63" i="96"/>
  <c r="S64" i="96"/>
  <c r="S65" i="96"/>
  <c r="S66" i="96"/>
  <c r="S67" i="96"/>
  <c r="S68" i="96"/>
  <c r="S69" i="96"/>
  <c r="S70" i="96"/>
  <c r="S71" i="96"/>
  <c r="S72" i="96"/>
  <c r="S73" i="96"/>
  <c r="S74" i="96"/>
  <c r="S75" i="96"/>
  <c r="S76" i="96"/>
  <c r="S77" i="96"/>
  <c r="S78" i="96"/>
  <c r="S79" i="96"/>
  <c r="S80" i="96"/>
  <c r="S81" i="96"/>
  <c r="S82" i="96"/>
  <c r="S83" i="96"/>
  <c r="S84" i="96"/>
  <c r="S85" i="96"/>
  <c r="S86" i="96"/>
  <c r="S87" i="96"/>
  <c r="V74" i="96"/>
  <c r="W74" i="96" s="1"/>
  <c r="V69" i="96"/>
  <c r="W69" i="96" s="1"/>
  <c r="V66" i="96"/>
  <c r="W66" i="96" s="1"/>
  <c r="V45" i="96"/>
  <c r="W45" i="96" s="1"/>
  <c r="V44" i="96"/>
  <c r="W44" i="96" s="1"/>
  <c r="V23" i="96"/>
  <c r="Q23" i="96"/>
  <c r="V22" i="96"/>
  <c r="Q22" i="96"/>
  <c r="V21" i="96"/>
  <c r="Q21" i="96"/>
  <c r="W21" i="96" s="1"/>
  <c r="V20" i="96"/>
  <c r="Q20" i="96"/>
  <c r="V18" i="96"/>
  <c r="V17" i="96"/>
  <c r="Q17" i="96"/>
  <c r="V16" i="96"/>
  <c r="Q16" i="96"/>
  <c r="V15" i="96"/>
  <c r="Q15" i="96"/>
  <c r="V14" i="96"/>
  <c r="Q14" i="96"/>
  <c r="V13" i="96"/>
  <c r="Q13" i="96"/>
  <c r="V12" i="96"/>
  <c r="Q12" i="96"/>
  <c r="V11" i="96"/>
  <c r="Q11" i="96"/>
  <c r="V10" i="96"/>
  <c r="Q10" i="96"/>
  <c r="V9" i="96"/>
  <c r="Q9" i="96"/>
  <c r="V7" i="96"/>
  <c r="Q7" i="96"/>
  <c r="W7" i="96" s="1"/>
  <c r="Q16" i="95"/>
  <c r="Q10" i="95"/>
  <c r="Q11" i="95"/>
  <c r="Q12" i="95"/>
  <c r="Q13" i="95"/>
  <c r="Q7" i="95"/>
  <c r="Q23" i="95"/>
  <c r="S23" i="95"/>
  <c r="W23" i="95" s="1"/>
  <c r="S20" i="95"/>
  <c r="Q20" i="95" s="1"/>
  <c r="W20" i="95" s="1"/>
  <c r="S18" i="95"/>
  <c r="Q18" i="95" s="1"/>
  <c r="W18" i="95" s="1"/>
  <c r="S15" i="95"/>
  <c r="Q15" i="95" s="1"/>
  <c r="W15" i="95" s="1"/>
  <c r="S14" i="95"/>
  <c r="Q14" i="95" s="1"/>
  <c r="W14" i="95" s="1"/>
  <c r="S11" i="95"/>
  <c r="S8" i="95"/>
  <c r="S9" i="95"/>
  <c r="Q9" i="95" s="1"/>
  <c r="W9" i="95" s="1"/>
  <c r="S10" i="95"/>
  <c r="W10" i="95" s="1"/>
  <c r="S12" i="95"/>
  <c r="S13" i="95"/>
  <c r="S16" i="95"/>
  <c r="S17" i="95"/>
  <c r="Q17" i="95" s="1"/>
  <c r="W17" i="95" s="1"/>
  <c r="S19" i="95"/>
  <c r="S21" i="95"/>
  <c r="Q21" i="95" s="1"/>
  <c r="W21" i="95" s="1"/>
  <c r="S22" i="95"/>
  <c r="Q22" i="95" s="1"/>
  <c r="W22" i="95" s="1"/>
  <c r="S24" i="95"/>
  <c r="S25" i="95"/>
  <c r="S26" i="95"/>
  <c r="S27" i="95"/>
  <c r="S28" i="95"/>
  <c r="S29" i="95"/>
  <c r="S30" i="95"/>
  <c r="S31" i="95"/>
  <c r="S32" i="95"/>
  <c r="S33" i="95"/>
  <c r="S34" i="95"/>
  <c r="S35" i="95"/>
  <c r="S36" i="95"/>
  <c r="S37" i="95"/>
  <c r="S38" i="95"/>
  <c r="S39" i="95"/>
  <c r="S40" i="95"/>
  <c r="S41" i="95"/>
  <c r="S42" i="95"/>
  <c r="S43" i="95"/>
  <c r="S44" i="95"/>
  <c r="S45" i="95"/>
  <c r="S46" i="95"/>
  <c r="S47" i="95"/>
  <c r="S48" i="95"/>
  <c r="S49" i="95"/>
  <c r="S50" i="95"/>
  <c r="S51" i="95"/>
  <c r="S52" i="95"/>
  <c r="S53" i="95"/>
  <c r="S54" i="95"/>
  <c r="S55" i="95"/>
  <c r="S56" i="95"/>
  <c r="S57" i="95"/>
  <c r="S58" i="95"/>
  <c r="S59" i="95"/>
  <c r="S60" i="95"/>
  <c r="S61" i="95"/>
  <c r="S62" i="95"/>
  <c r="S63" i="95"/>
  <c r="S64" i="95"/>
  <c r="S65" i="95"/>
  <c r="S66" i="95"/>
  <c r="S67" i="95"/>
  <c r="S68" i="95"/>
  <c r="S69" i="95"/>
  <c r="S70" i="95"/>
  <c r="S71" i="95"/>
  <c r="S72" i="95"/>
  <c r="S73" i="95"/>
  <c r="S74" i="95"/>
  <c r="S75" i="95"/>
  <c r="S76" i="95"/>
  <c r="S77" i="95"/>
  <c r="S78" i="95"/>
  <c r="S79" i="95"/>
  <c r="S80" i="95"/>
  <c r="S81" i="95"/>
  <c r="S82" i="95"/>
  <c r="S83" i="95"/>
  <c r="S84" i="95"/>
  <c r="S85" i="95"/>
  <c r="S86" i="95"/>
  <c r="S87" i="95"/>
  <c r="V74" i="95"/>
  <c r="W74" i="95" s="1"/>
  <c r="V73" i="95"/>
  <c r="V72" i="95"/>
  <c r="V69" i="95"/>
  <c r="W69" i="95" s="1"/>
  <c r="V66" i="95"/>
  <c r="W66" i="95" s="1"/>
  <c r="V54" i="95"/>
  <c r="W54" i="95"/>
  <c r="V46" i="95"/>
  <c r="W46" i="95"/>
  <c r="V45" i="95"/>
  <c r="W45" i="95" s="1"/>
  <c r="V44" i="95"/>
  <c r="W44" i="95" s="1"/>
  <c r="V36" i="95"/>
  <c r="W36" i="95"/>
  <c r="V29" i="95"/>
  <c r="W29" i="95"/>
  <c r="V22" i="95"/>
  <c r="S7" i="95"/>
  <c r="W7" i="95" s="1"/>
  <c r="Q73" i="94"/>
  <c r="Q72" i="94"/>
  <c r="Q54" i="94"/>
  <c r="S72" i="94"/>
  <c r="U72" i="94" s="1"/>
  <c r="S73" i="94"/>
  <c r="U73" i="94" s="1"/>
  <c r="S54" i="94"/>
  <c r="U54" i="94" s="1"/>
  <c r="Q36" i="94"/>
  <c r="Q46" i="94"/>
  <c r="Q29" i="94"/>
  <c r="Q22" i="94"/>
  <c r="R8" i="94"/>
  <c r="S69" i="94"/>
  <c r="S74" i="94"/>
  <c r="S46" i="94"/>
  <c r="S44" i="94"/>
  <c r="S43" i="94"/>
  <c r="S55" i="94"/>
  <c r="S33" i="94"/>
  <c r="S9" i="94"/>
  <c r="S15" i="94"/>
  <c r="S23" i="94"/>
  <c r="S7" i="94"/>
  <c r="S13" i="94"/>
  <c r="S10" i="94"/>
  <c r="S16" i="94"/>
  <c r="S17" i="94"/>
  <c r="S19" i="94"/>
  <c r="S14" i="94"/>
  <c r="S11" i="94"/>
  <c r="S20" i="94"/>
  <c r="S12" i="94"/>
  <c r="V12" i="94" s="1"/>
  <c r="S18" i="94"/>
  <c r="S22" i="94"/>
  <c r="S21" i="94"/>
  <c r="S8" i="94"/>
  <c r="S26" i="94"/>
  <c r="S24" i="94"/>
  <c r="S28" i="94"/>
  <c r="S31" i="94"/>
  <c r="V31" i="94" s="1"/>
  <c r="S27" i="94"/>
  <c r="S29" i="94"/>
  <c r="S34" i="94"/>
  <c r="S30" i="94"/>
  <c r="S57" i="94"/>
  <c r="V57" i="94" s="1"/>
  <c r="S58" i="94"/>
  <c r="S59" i="94"/>
  <c r="S60" i="94"/>
  <c r="S37" i="94"/>
  <c r="S38" i="94"/>
  <c r="S39" i="94"/>
  <c r="S42" i="94"/>
  <c r="V42" i="94" s="1"/>
  <c r="S41" i="94"/>
  <c r="S40" i="94"/>
  <c r="S45" i="94"/>
  <c r="S47" i="94"/>
  <c r="S48" i="94"/>
  <c r="S36" i="94"/>
  <c r="S49" i="94"/>
  <c r="S51" i="94"/>
  <c r="S52" i="94"/>
  <c r="S50" i="94"/>
  <c r="S53" i="94"/>
  <c r="S64" i="94"/>
  <c r="V64" i="94" s="1"/>
  <c r="S66" i="94"/>
  <c r="S65" i="94"/>
  <c r="S67" i="94"/>
  <c r="S63" i="94"/>
  <c r="S61" i="94"/>
  <c r="S25" i="94"/>
  <c r="S32" i="94"/>
  <c r="S35" i="94"/>
  <c r="S56" i="94"/>
  <c r="S68" i="94"/>
  <c r="S71" i="94"/>
  <c r="S62" i="94"/>
  <c r="V62" i="94" s="1"/>
  <c r="S70" i="94"/>
  <c r="S75" i="94"/>
  <c r="S76" i="94"/>
  <c r="S77" i="94"/>
  <c r="S78" i="94"/>
  <c r="S79" i="94"/>
  <c r="S80" i="94"/>
  <c r="S81" i="94"/>
  <c r="S82" i="94"/>
  <c r="S83" i="94"/>
  <c r="S84" i="94"/>
  <c r="S85" i="94"/>
  <c r="S86" i="94"/>
  <c r="S87" i="94"/>
  <c r="U36" i="94"/>
  <c r="U48" i="94"/>
  <c r="V48" i="94"/>
  <c r="U47" i="94"/>
  <c r="V47" i="94"/>
  <c r="U46" i="94"/>
  <c r="U45" i="94"/>
  <c r="V45" i="94" s="1"/>
  <c r="U44" i="94"/>
  <c r="V44" i="94" s="1"/>
  <c r="U41" i="94"/>
  <c r="V41" i="94"/>
  <c r="U42" i="94"/>
  <c r="U39" i="94"/>
  <c r="V39" i="94"/>
  <c r="U37" i="94"/>
  <c r="V37" i="94"/>
  <c r="V60" i="94"/>
  <c r="U60" i="94"/>
  <c r="U57" i="94"/>
  <c r="X57" i="94"/>
  <c r="U29" i="94"/>
  <c r="V29" i="94"/>
  <c r="U31" i="94"/>
  <c r="U12" i="94"/>
  <c r="R99" i="93"/>
  <c r="R100" i="93" s="1"/>
  <c r="S37" i="93"/>
  <c r="Q37" i="93"/>
  <c r="R98" i="93"/>
  <c r="R97" i="93"/>
  <c r="Q48" i="93"/>
  <c r="Q45" i="93"/>
  <c r="Q46" i="93"/>
  <c r="Q47" i="93"/>
  <c r="Q44" i="93"/>
  <c r="Q40" i="93"/>
  <c r="Q39" i="93"/>
  <c r="Q33" i="93"/>
  <c r="Q26" i="93"/>
  <c r="Q49" i="93"/>
  <c r="Q41" i="93"/>
  <c r="U97" i="93"/>
  <c r="Q17" i="93"/>
  <c r="U98" i="93" s="1"/>
  <c r="Q28" i="93"/>
  <c r="Q38" i="93"/>
  <c r="P38" i="93"/>
  <c r="S60" i="93"/>
  <c r="U60" i="93" s="1"/>
  <c r="S20" i="93"/>
  <c r="V20" i="93" s="1"/>
  <c r="S15" i="93"/>
  <c r="U15" i="93" s="1"/>
  <c r="S12" i="93"/>
  <c r="U12" i="93" s="1"/>
  <c r="S11" i="93"/>
  <c r="V11" i="93" s="1"/>
  <c r="S8" i="93"/>
  <c r="V8" i="93" s="1"/>
  <c r="S7" i="93"/>
  <c r="U7" i="93" s="1"/>
  <c r="S9" i="93"/>
  <c r="U9" i="93" s="1"/>
  <c r="S10" i="93"/>
  <c r="V10" i="93" s="1"/>
  <c r="S13" i="93"/>
  <c r="U13" i="93" s="1"/>
  <c r="S14" i="93"/>
  <c r="V14" i="93" s="1"/>
  <c r="S16" i="93"/>
  <c r="X16" i="93" s="1"/>
  <c r="S17" i="93"/>
  <c r="U17" i="93" s="1"/>
  <c r="S18" i="93"/>
  <c r="V18" i="93" s="1"/>
  <c r="S19" i="93"/>
  <c r="U19" i="93" s="1"/>
  <c r="S21" i="93"/>
  <c r="U21" i="93" s="1"/>
  <c r="S22" i="93"/>
  <c r="V22" i="93" s="1"/>
  <c r="S23" i="93"/>
  <c r="U23" i="93" s="1"/>
  <c r="S24" i="93"/>
  <c r="U24" i="93" s="1"/>
  <c r="S25" i="93"/>
  <c r="U25" i="93" s="1"/>
  <c r="S26" i="93"/>
  <c r="S27" i="93"/>
  <c r="U27" i="93" s="1"/>
  <c r="S28" i="93"/>
  <c r="U28" i="93" s="1"/>
  <c r="S29" i="93"/>
  <c r="V29" i="93" s="1"/>
  <c r="S30" i="93"/>
  <c r="U30" i="93" s="1"/>
  <c r="S31" i="93"/>
  <c r="U31" i="93" s="1"/>
  <c r="S32" i="93"/>
  <c r="U32" i="93" s="1"/>
  <c r="S33" i="93"/>
  <c r="S34" i="93"/>
  <c r="U34" i="93" s="1"/>
  <c r="S35" i="93"/>
  <c r="U35" i="93" s="1"/>
  <c r="S38" i="93"/>
  <c r="S39" i="93"/>
  <c r="U39" i="93" s="1"/>
  <c r="S40" i="93"/>
  <c r="U40" i="93" s="1"/>
  <c r="S41" i="93"/>
  <c r="S42" i="93"/>
  <c r="X42" i="93" s="1"/>
  <c r="S43" i="93"/>
  <c r="V43" i="93" s="1"/>
  <c r="S44" i="93"/>
  <c r="S45" i="93"/>
  <c r="S46" i="93"/>
  <c r="S47" i="93"/>
  <c r="S48" i="93"/>
  <c r="S49" i="93"/>
  <c r="S50" i="93"/>
  <c r="V50" i="93" s="1"/>
  <c r="S51" i="93"/>
  <c r="U51" i="93" s="1"/>
  <c r="S52" i="93"/>
  <c r="V52" i="93" s="1"/>
  <c r="S53" i="93"/>
  <c r="V53" i="93" s="1"/>
  <c r="S54" i="93"/>
  <c r="U54" i="93" s="1"/>
  <c r="S55" i="93"/>
  <c r="U55" i="93" s="1"/>
  <c r="S56" i="93"/>
  <c r="U56" i="93" s="1"/>
  <c r="S57" i="93"/>
  <c r="V57" i="93" s="1"/>
  <c r="S58" i="93"/>
  <c r="U58" i="93" s="1"/>
  <c r="S59" i="93"/>
  <c r="V59" i="93" s="1"/>
  <c r="S61" i="93"/>
  <c r="U61" i="93" s="1"/>
  <c r="S62" i="93"/>
  <c r="V62" i="93" s="1"/>
  <c r="S63" i="93"/>
  <c r="U63" i="93" s="1"/>
  <c r="S64" i="93"/>
  <c r="V64" i="93" s="1"/>
  <c r="S65" i="93"/>
  <c r="U65" i="93" s="1"/>
  <c r="S66" i="93"/>
  <c r="X66" i="93" s="1"/>
  <c r="S67" i="93"/>
  <c r="U67" i="93" s="1"/>
  <c r="S68" i="93"/>
  <c r="U68" i="93" s="1"/>
  <c r="S69" i="93"/>
  <c r="U69" i="93" s="1"/>
  <c r="S70" i="93"/>
  <c r="U70" i="93" s="1"/>
  <c r="S71" i="93"/>
  <c r="U71" i="93" s="1"/>
  <c r="S72" i="93"/>
  <c r="U72" i="93" s="1"/>
  <c r="S73" i="93"/>
  <c r="V73" i="93" s="1"/>
  <c r="S74" i="93"/>
  <c r="U74" i="93" s="1"/>
  <c r="S75" i="93"/>
  <c r="U75" i="93" s="1"/>
  <c r="S76" i="93"/>
  <c r="U76" i="93" s="1"/>
  <c r="S77" i="93"/>
  <c r="U77" i="93" s="1"/>
  <c r="S78" i="93"/>
  <c r="U78" i="93" s="1"/>
  <c r="S79" i="93"/>
  <c r="U79" i="93" s="1"/>
  <c r="S80" i="93"/>
  <c r="V80" i="93" s="1"/>
  <c r="S81" i="93"/>
  <c r="U81" i="93" s="1"/>
  <c r="S82" i="93"/>
  <c r="V82" i="93" s="1"/>
  <c r="S83" i="93"/>
  <c r="U83" i="93" s="1"/>
  <c r="S84" i="93"/>
  <c r="V84" i="93" s="1"/>
  <c r="S85" i="93"/>
  <c r="U85" i="93" s="1"/>
  <c r="S86" i="93"/>
  <c r="X86" i="93" s="1"/>
  <c r="S87" i="93"/>
  <c r="U87" i="93" s="1"/>
  <c r="S88" i="93"/>
  <c r="U88" i="93" s="1"/>
  <c r="U82" i="93"/>
  <c r="Q72" i="92"/>
  <c r="P57" i="92"/>
  <c r="R92" i="92"/>
  <c r="Q56" i="92"/>
  <c r="Q9" i="99" l="1"/>
  <c r="W9" i="99" s="1"/>
  <c r="Q14" i="99"/>
  <c r="W14" i="99" s="1"/>
  <c r="Q21" i="99"/>
  <c r="W21" i="99" s="1"/>
  <c r="W24" i="99"/>
  <c r="Q25" i="99"/>
  <c r="W25" i="99" s="1"/>
  <c r="Q34" i="99"/>
  <c r="W34" i="99" s="1"/>
  <c r="Q38" i="99"/>
  <c r="Q42" i="99"/>
  <c r="W42" i="99" s="1"/>
  <c r="Q46" i="99"/>
  <c r="W46" i="99" s="1"/>
  <c r="Q50" i="99"/>
  <c r="W50" i="99" s="1"/>
  <c r="Q54" i="99"/>
  <c r="W54" i="99" s="1"/>
  <c r="Q58" i="99"/>
  <c r="W58" i="99" s="1"/>
  <c r="Q62" i="99"/>
  <c r="W62" i="99" s="1"/>
  <c r="Q66" i="99"/>
  <c r="Q70" i="99"/>
  <c r="Y70" i="99" s="1"/>
  <c r="Q74" i="99"/>
  <c r="Q78" i="99"/>
  <c r="W78" i="99" s="1"/>
  <c r="Q82" i="99"/>
  <c r="Q86" i="99"/>
  <c r="W86" i="99" s="1"/>
  <c r="Q17" i="99"/>
  <c r="W17" i="99" s="1"/>
  <c r="Q11" i="99"/>
  <c r="W11" i="99" s="1"/>
  <c r="Q13" i="99"/>
  <c r="W13" i="99" s="1"/>
  <c r="Q20" i="99"/>
  <c r="W20" i="99" s="1"/>
  <c r="Q22" i="99"/>
  <c r="W22" i="99" s="1"/>
  <c r="Q26" i="99"/>
  <c r="W26" i="99" s="1"/>
  <c r="Q28" i="99"/>
  <c r="W28" i="99" s="1"/>
  <c r="Q35" i="99"/>
  <c r="W35" i="99" s="1"/>
  <c r="Q39" i="99"/>
  <c r="W39" i="99" s="1"/>
  <c r="Q43" i="99"/>
  <c r="W43" i="99" s="1"/>
  <c r="Q47" i="99"/>
  <c r="W47" i="99" s="1"/>
  <c r="Q51" i="99"/>
  <c r="W51" i="99" s="1"/>
  <c r="Q55" i="99"/>
  <c r="W55" i="99" s="1"/>
  <c r="Y55" i="99" s="1"/>
  <c r="Q59" i="99"/>
  <c r="W59" i="99" s="1"/>
  <c r="Q63" i="99"/>
  <c r="W63" i="99" s="1"/>
  <c r="Q67" i="99"/>
  <c r="W67" i="99" s="1"/>
  <c r="Q71" i="99"/>
  <c r="Y71" i="99" s="1"/>
  <c r="Q75" i="99"/>
  <c r="W75" i="99" s="1"/>
  <c r="Q79" i="99"/>
  <c r="W79" i="99" s="1"/>
  <c r="Q83" i="99"/>
  <c r="Y83" i="99" s="1"/>
  <c r="Q87" i="99"/>
  <c r="W87" i="99" s="1"/>
  <c r="Q19" i="99"/>
  <c r="W19" i="99" s="1"/>
  <c r="Q7" i="99"/>
  <c r="W7" i="99" s="1"/>
  <c r="Q29" i="99"/>
  <c r="W29" i="99" s="1"/>
  <c r="Q15" i="99"/>
  <c r="W15" i="99" s="1"/>
  <c r="Q16" i="99"/>
  <c r="W16" i="99" s="1"/>
  <c r="Q18" i="99"/>
  <c r="W18" i="99" s="1"/>
  <c r="Q32" i="99"/>
  <c r="W32" i="99" s="1"/>
  <c r="Q36" i="99"/>
  <c r="W36" i="99" s="1"/>
  <c r="Q40" i="99"/>
  <c r="Y40" i="99" s="1"/>
  <c r="Q44" i="99"/>
  <c r="Q48" i="99"/>
  <c r="W48" i="99" s="1"/>
  <c r="Q52" i="99"/>
  <c r="W52" i="99" s="1"/>
  <c r="Q56" i="99"/>
  <c r="W56" i="99" s="1"/>
  <c r="Q60" i="99"/>
  <c r="W60" i="99" s="1"/>
  <c r="Q64" i="99"/>
  <c r="Y64" i="99" s="1"/>
  <c r="Q68" i="99"/>
  <c r="Y68" i="99" s="1"/>
  <c r="Q72" i="99"/>
  <c r="Y72" i="99" s="1"/>
  <c r="Q76" i="99"/>
  <c r="Y76" i="99" s="1"/>
  <c r="Q80" i="99"/>
  <c r="W80" i="99" s="1"/>
  <c r="Q84" i="99"/>
  <c r="W84" i="99" s="1"/>
  <c r="Q8" i="99"/>
  <c r="W8" i="99" s="1"/>
  <c r="Q10" i="99"/>
  <c r="W10" i="99" s="1"/>
  <c r="Q31" i="99"/>
  <c r="Q30" i="99"/>
  <c r="W30" i="99" s="1"/>
  <c r="Q27" i="99"/>
  <c r="W27" i="99" s="1"/>
  <c r="Q23" i="99"/>
  <c r="W23" i="99" s="1"/>
  <c r="Q33" i="99"/>
  <c r="W33" i="99" s="1"/>
  <c r="Q37" i="99"/>
  <c r="W37" i="99" s="1"/>
  <c r="Q41" i="99"/>
  <c r="W41" i="99" s="1"/>
  <c r="Q45" i="99"/>
  <c r="Q49" i="99"/>
  <c r="W49" i="99" s="1"/>
  <c r="Q53" i="99"/>
  <c r="W53" i="99" s="1"/>
  <c r="Q57" i="99"/>
  <c r="W57" i="99" s="1"/>
  <c r="Y57" i="99" s="1"/>
  <c r="Q61" i="99"/>
  <c r="Y61" i="99" s="1"/>
  <c r="Q65" i="99"/>
  <c r="W65" i="99" s="1"/>
  <c r="Q69" i="99"/>
  <c r="Q73" i="99"/>
  <c r="Y73" i="99" s="1"/>
  <c r="Q77" i="99"/>
  <c r="Y77" i="99" s="1"/>
  <c r="Q81" i="99"/>
  <c r="W81" i="99" s="1"/>
  <c r="Q85" i="99"/>
  <c r="Y85" i="99" s="1"/>
  <c r="A63" i="100"/>
  <c r="A56" i="100"/>
  <c r="A48" i="100"/>
  <c r="A40" i="100"/>
  <c r="A60" i="100"/>
  <c r="A39" i="100"/>
  <c r="A55" i="100"/>
  <c r="A52" i="100"/>
  <c r="F63" i="100"/>
  <c r="U80" i="100"/>
  <c r="R80" i="100" s="1"/>
  <c r="X80" i="100" s="1"/>
  <c r="U72" i="100"/>
  <c r="U64" i="100"/>
  <c r="U56" i="100"/>
  <c r="R56" i="100" s="1"/>
  <c r="X56" i="100" s="1"/>
  <c r="U48" i="100"/>
  <c r="U40" i="100"/>
  <c r="R40" i="100" s="1"/>
  <c r="F55" i="100"/>
  <c r="A47" i="100"/>
  <c r="U96" i="100"/>
  <c r="F47" i="100"/>
  <c r="A64" i="100"/>
  <c r="A44" i="100"/>
  <c r="U88" i="100"/>
  <c r="F39" i="100"/>
  <c r="F87" i="100"/>
  <c r="F71" i="100"/>
  <c r="F15" i="100"/>
  <c r="A87" i="100"/>
  <c r="A79" i="100"/>
  <c r="A71" i="100"/>
  <c r="A62" i="100"/>
  <c r="A54" i="100"/>
  <c r="A46" i="100"/>
  <c r="A37" i="100"/>
  <c r="A29" i="100"/>
  <c r="A21" i="100"/>
  <c r="A13" i="100"/>
  <c r="A97" i="100"/>
  <c r="A89" i="100"/>
  <c r="U15" i="100"/>
  <c r="R15" i="100" s="1"/>
  <c r="X15" i="100" s="1"/>
  <c r="F94" i="100"/>
  <c r="F86" i="100"/>
  <c r="F78" i="100"/>
  <c r="F70" i="100"/>
  <c r="F62" i="100"/>
  <c r="F54" i="100"/>
  <c r="F46" i="100"/>
  <c r="F38" i="100"/>
  <c r="F30" i="100"/>
  <c r="F22" i="100"/>
  <c r="F14" i="100"/>
  <c r="A72" i="100"/>
  <c r="F95" i="100"/>
  <c r="F79" i="100"/>
  <c r="F31" i="100"/>
  <c r="F23" i="100"/>
  <c r="A86" i="100"/>
  <c r="A78" i="100"/>
  <c r="A70" i="100"/>
  <c r="A61" i="100"/>
  <c r="A53" i="100"/>
  <c r="A45" i="100"/>
  <c r="A36" i="100"/>
  <c r="A28" i="100"/>
  <c r="A20" i="100"/>
  <c r="A12" i="100"/>
  <c r="A96" i="100"/>
  <c r="A88" i="100"/>
  <c r="U86" i="100"/>
  <c r="R86" i="100" s="1"/>
  <c r="U78" i="100"/>
  <c r="R78" i="100" s="1"/>
  <c r="X78" i="100" s="1"/>
  <c r="U38" i="100"/>
  <c r="R38" i="100" s="1"/>
  <c r="X38" i="100" s="1"/>
  <c r="U14" i="100"/>
  <c r="R14" i="100" s="1"/>
  <c r="F93" i="100"/>
  <c r="F85" i="100"/>
  <c r="F77" i="100"/>
  <c r="F69" i="100"/>
  <c r="F61" i="100"/>
  <c r="F53" i="100"/>
  <c r="F45" i="100"/>
  <c r="F37" i="100"/>
  <c r="F29" i="100"/>
  <c r="F21" i="100"/>
  <c r="F13" i="100"/>
  <c r="A85" i="100"/>
  <c r="A77" i="100"/>
  <c r="A69" i="100"/>
  <c r="A35" i="100"/>
  <c r="A27" i="100"/>
  <c r="A19" i="100"/>
  <c r="A11" i="100"/>
  <c r="U9" i="100"/>
  <c r="R9" i="100" s="1"/>
  <c r="X9" i="100" s="1"/>
  <c r="U93" i="100"/>
  <c r="U61" i="100"/>
  <c r="R61" i="100" s="1"/>
  <c r="U45" i="100"/>
  <c r="R45" i="100" s="1"/>
  <c r="U37" i="100"/>
  <c r="R37" i="100" s="1"/>
  <c r="X37" i="100" s="1"/>
  <c r="F92" i="100"/>
  <c r="F84" i="100"/>
  <c r="F76" i="100"/>
  <c r="F68" i="100"/>
  <c r="F60" i="100"/>
  <c r="F52" i="100"/>
  <c r="F44" i="100"/>
  <c r="F36" i="100"/>
  <c r="F28" i="100"/>
  <c r="F20" i="100"/>
  <c r="F12" i="100"/>
  <c r="A30" i="100"/>
  <c r="A22" i="100"/>
  <c r="A14" i="100"/>
  <c r="A90" i="100"/>
  <c r="A84" i="100"/>
  <c r="A76" i="100"/>
  <c r="A67" i="100"/>
  <c r="A59" i="100"/>
  <c r="A51" i="100"/>
  <c r="A43" i="100"/>
  <c r="A34" i="100"/>
  <c r="A26" i="100"/>
  <c r="A18" i="100"/>
  <c r="A10" i="100"/>
  <c r="A94" i="100"/>
  <c r="U8" i="100"/>
  <c r="R8" i="100" s="1"/>
  <c r="U92" i="100"/>
  <c r="U84" i="100"/>
  <c r="R84" i="100" s="1"/>
  <c r="X84" i="100" s="1"/>
  <c r="U76" i="100"/>
  <c r="R76" i="100" s="1"/>
  <c r="X76" i="100" s="1"/>
  <c r="U68" i="100"/>
  <c r="R68" i="100" s="1"/>
  <c r="X68" i="100" s="1"/>
  <c r="U60" i="100"/>
  <c r="R60" i="100" s="1"/>
  <c r="X60" i="100" s="1"/>
  <c r="U52" i="100"/>
  <c r="R52" i="100" s="1"/>
  <c r="X52" i="100" s="1"/>
  <c r="U44" i="100"/>
  <c r="R44" i="100" s="1"/>
  <c r="U36" i="100"/>
  <c r="R36" i="100" s="1"/>
  <c r="X36" i="100" s="1"/>
  <c r="U12" i="100"/>
  <c r="R12" i="100" s="1"/>
  <c r="X12" i="100" s="1"/>
  <c r="F91" i="100"/>
  <c r="F83" i="100"/>
  <c r="F75" i="100"/>
  <c r="F67" i="100"/>
  <c r="F59" i="100"/>
  <c r="F51" i="100"/>
  <c r="F43" i="100"/>
  <c r="F35" i="100"/>
  <c r="F27" i="100"/>
  <c r="F19" i="100"/>
  <c r="F11" i="100"/>
  <c r="A80" i="100"/>
  <c r="A83" i="100"/>
  <c r="A75" i="100"/>
  <c r="A66" i="100"/>
  <c r="A58" i="100"/>
  <c r="A50" i="100"/>
  <c r="A42" i="100"/>
  <c r="A33" i="100"/>
  <c r="A25" i="100"/>
  <c r="A17" i="100"/>
  <c r="A9" i="100"/>
  <c r="A93" i="100"/>
  <c r="U91" i="100"/>
  <c r="U83" i="100"/>
  <c r="R83" i="100" s="1"/>
  <c r="X83" i="100" s="1"/>
  <c r="U75" i="100"/>
  <c r="R75" i="100" s="1"/>
  <c r="X75" i="100" s="1"/>
  <c r="U67" i="100"/>
  <c r="R67" i="100" s="1"/>
  <c r="X67" i="100" s="1"/>
  <c r="U59" i="100"/>
  <c r="R59" i="100" s="1"/>
  <c r="X59" i="100" s="1"/>
  <c r="U51" i="100"/>
  <c r="R51" i="100" s="1"/>
  <c r="X51" i="100" s="1"/>
  <c r="U43" i="100"/>
  <c r="R43" i="100" s="1"/>
  <c r="X43" i="100" s="1"/>
  <c r="U35" i="100"/>
  <c r="R35" i="100" s="1"/>
  <c r="U87" i="100"/>
  <c r="R87" i="100" s="1"/>
  <c r="X87" i="100" s="1"/>
  <c r="U79" i="100"/>
  <c r="R79" i="100" s="1"/>
  <c r="X79" i="100" s="1"/>
  <c r="U71" i="100"/>
  <c r="U63" i="100"/>
  <c r="R63" i="100" s="1"/>
  <c r="X63" i="100" s="1"/>
  <c r="U55" i="100"/>
  <c r="R55" i="100" s="1"/>
  <c r="X55" i="100" s="1"/>
  <c r="U47" i="100"/>
  <c r="R47" i="100" s="1"/>
  <c r="X47" i="100" s="1"/>
  <c r="U39" i="100"/>
  <c r="R39" i="100" s="1"/>
  <c r="X39" i="100" s="1"/>
  <c r="U95" i="100"/>
  <c r="F90" i="100"/>
  <c r="F82" i="100"/>
  <c r="F74" i="100"/>
  <c r="F66" i="100"/>
  <c r="F58" i="100"/>
  <c r="F50" i="100"/>
  <c r="F42" i="100"/>
  <c r="F34" i="100"/>
  <c r="F26" i="100"/>
  <c r="F18" i="100"/>
  <c r="F10" i="100"/>
  <c r="A95" i="100"/>
  <c r="A82" i="100"/>
  <c r="A74" i="100"/>
  <c r="A65" i="100"/>
  <c r="A57" i="100"/>
  <c r="A49" i="100"/>
  <c r="A41" i="100"/>
  <c r="A32" i="100"/>
  <c r="A24" i="100"/>
  <c r="A16" i="100"/>
  <c r="A8" i="100"/>
  <c r="A92" i="100"/>
  <c r="N7" i="100"/>
  <c r="U7" i="100" s="1"/>
  <c r="R7" i="100" s="1"/>
  <c r="X7" i="100" s="1"/>
  <c r="U90" i="100"/>
  <c r="U82" i="100"/>
  <c r="R82" i="100" s="1"/>
  <c r="X82" i="100" s="1"/>
  <c r="U74" i="100"/>
  <c r="R74" i="100" s="1"/>
  <c r="U66" i="100"/>
  <c r="R66" i="100" s="1"/>
  <c r="U58" i="100"/>
  <c r="R58" i="100" s="1"/>
  <c r="X58" i="100" s="1"/>
  <c r="U50" i="100"/>
  <c r="R50" i="100" s="1"/>
  <c r="X50" i="100" s="1"/>
  <c r="U42" i="100"/>
  <c r="R42" i="100" s="1"/>
  <c r="X42" i="100" s="1"/>
  <c r="U34" i="100"/>
  <c r="R34" i="100" s="1"/>
  <c r="X34" i="100" s="1"/>
  <c r="U18" i="100"/>
  <c r="R18" i="100" s="1"/>
  <c r="X18" i="100" s="1"/>
  <c r="U10" i="100"/>
  <c r="R10" i="100" s="1"/>
  <c r="X10" i="100" s="1"/>
  <c r="U70" i="100"/>
  <c r="U62" i="100"/>
  <c r="U54" i="100"/>
  <c r="U46" i="100"/>
  <c r="R46" i="100" s="1"/>
  <c r="X46" i="100" s="1"/>
  <c r="U94" i="100"/>
  <c r="F97" i="100"/>
  <c r="F89" i="100"/>
  <c r="F81" i="100"/>
  <c r="F73" i="100"/>
  <c r="F65" i="100"/>
  <c r="F57" i="100"/>
  <c r="F49" i="100"/>
  <c r="F41" i="100"/>
  <c r="F33" i="100"/>
  <c r="F25" i="100"/>
  <c r="F17" i="100"/>
  <c r="F9" i="100"/>
  <c r="A81" i="100"/>
  <c r="A73" i="100"/>
  <c r="A31" i="100"/>
  <c r="A23" i="100"/>
  <c r="A15" i="100"/>
  <c r="A91" i="100"/>
  <c r="U97" i="100"/>
  <c r="U89" i="100"/>
  <c r="U81" i="100"/>
  <c r="R81" i="100" s="1"/>
  <c r="U73" i="100"/>
  <c r="R73" i="100" s="1"/>
  <c r="X73" i="100" s="1"/>
  <c r="U65" i="100"/>
  <c r="R65" i="100" s="1"/>
  <c r="U57" i="100"/>
  <c r="R57" i="100" s="1"/>
  <c r="X57" i="100" s="1"/>
  <c r="U49" i="100"/>
  <c r="R49" i="100" s="1"/>
  <c r="U41" i="100"/>
  <c r="R41" i="100" s="1"/>
  <c r="X41" i="100" s="1"/>
  <c r="U33" i="100"/>
  <c r="R33" i="100" s="1"/>
  <c r="X33" i="100" s="1"/>
  <c r="U25" i="100"/>
  <c r="R25" i="100" s="1"/>
  <c r="X25" i="100" s="1"/>
  <c r="U17" i="100"/>
  <c r="R17" i="100" s="1"/>
  <c r="U85" i="100"/>
  <c r="R85" i="100" s="1"/>
  <c r="U77" i="100"/>
  <c r="R77" i="100" s="1"/>
  <c r="X77" i="100" s="1"/>
  <c r="U69" i="100"/>
  <c r="R69" i="100" s="1"/>
  <c r="U53" i="100"/>
  <c r="R53" i="100" s="1"/>
  <c r="X53" i="100" s="1"/>
  <c r="F96" i="100"/>
  <c r="F88" i="100"/>
  <c r="F80" i="100"/>
  <c r="F72" i="100"/>
  <c r="F64" i="100"/>
  <c r="F56" i="100"/>
  <c r="F48" i="100"/>
  <c r="F40" i="100"/>
  <c r="F32" i="100"/>
  <c r="F24" i="100"/>
  <c r="F16" i="100"/>
  <c r="F8" i="100"/>
  <c r="U23" i="100"/>
  <c r="R23" i="100" s="1"/>
  <c r="U29" i="100"/>
  <c r="R29" i="100" s="1"/>
  <c r="X29" i="100" s="1"/>
  <c r="U13" i="100"/>
  <c r="R13" i="100" s="1"/>
  <c r="X13" i="100" s="1"/>
  <c r="U28" i="100"/>
  <c r="R28" i="100" s="1"/>
  <c r="X28" i="100" s="1"/>
  <c r="U19" i="100"/>
  <c r="R19" i="100" s="1"/>
  <c r="U32" i="100"/>
  <c r="R32" i="100" s="1"/>
  <c r="U24" i="100"/>
  <c r="R24" i="100" s="1"/>
  <c r="X24" i="100" s="1"/>
  <c r="U16" i="100"/>
  <c r="R16" i="100" s="1"/>
  <c r="X16" i="100" s="1"/>
  <c r="U21" i="100"/>
  <c r="R21" i="100" s="1"/>
  <c r="X21" i="100" s="1"/>
  <c r="U11" i="100"/>
  <c r="R11" i="100" s="1"/>
  <c r="X11" i="100" s="1"/>
  <c r="W10" i="100"/>
  <c r="W19" i="100"/>
  <c r="W29" i="100"/>
  <c r="U20" i="100"/>
  <c r="R20" i="100" s="1"/>
  <c r="X20" i="100" s="1"/>
  <c r="U27" i="100"/>
  <c r="R27" i="100" s="1"/>
  <c r="X27" i="100" s="1"/>
  <c r="R70" i="100"/>
  <c r="W34" i="100"/>
  <c r="W51" i="100"/>
  <c r="W76" i="100"/>
  <c r="W28" i="100"/>
  <c r="W16" i="100"/>
  <c r="W25" i="100"/>
  <c r="W53" i="100"/>
  <c r="R48" i="100"/>
  <c r="X48" i="100" s="1"/>
  <c r="R54" i="100"/>
  <c r="X54" i="100" s="1"/>
  <c r="R72" i="100"/>
  <c r="W36" i="100"/>
  <c r="W57" i="100"/>
  <c r="W66" i="100"/>
  <c r="X66" i="100" s="1"/>
  <c r="W68" i="100"/>
  <c r="W73" i="100"/>
  <c r="W82" i="100"/>
  <c r="W87" i="100"/>
  <c r="X40" i="100"/>
  <c r="W38" i="100"/>
  <c r="X8" i="100"/>
  <c r="R62" i="100"/>
  <c r="X62" i="100" s="1"/>
  <c r="R64" i="100"/>
  <c r="R71" i="100"/>
  <c r="W18" i="100"/>
  <c r="W27" i="100"/>
  <c r="Q19" i="98"/>
  <c r="X19" i="98" s="1"/>
  <c r="Q24" i="98"/>
  <c r="X24" i="98" s="1"/>
  <c r="Q31" i="98"/>
  <c r="X31" i="98" s="1"/>
  <c r="W31" i="98"/>
  <c r="Q30" i="98"/>
  <c r="X30" i="98" s="1"/>
  <c r="W30" i="98"/>
  <c r="W29" i="98"/>
  <c r="Q29" i="98"/>
  <c r="X29" i="98" s="1"/>
  <c r="W28" i="98"/>
  <c r="Q28" i="98"/>
  <c r="X28" i="98" s="1"/>
  <c r="W27" i="98"/>
  <c r="Q27" i="98"/>
  <c r="X27" i="98" s="1"/>
  <c r="W26" i="98"/>
  <c r="Q26" i="98"/>
  <c r="X26" i="98" s="1"/>
  <c r="W25" i="98"/>
  <c r="Q25" i="98"/>
  <c r="X25" i="98" s="1"/>
  <c r="W23" i="98"/>
  <c r="Q23" i="98"/>
  <c r="X23" i="98" s="1"/>
  <c r="W22" i="98"/>
  <c r="Q22" i="98"/>
  <c r="X22" i="98" s="1"/>
  <c r="W20" i="98"/>
  <c r="Q20" i="98"/>
  <c r="X20" i="98" s="1"/>
  <c r="Q15" i="98"/>
  <c r="X15" i="98" s="1"/>
  <c r="W15" i="98"/>
  <c r="Q17" i="98"/>
  <c r="X17" i="98" s="1"/>
  <c r="W17" i="98"/>
  <c r="Q14" i="98"/>
  <c r="X14" i="98" s="1"/>
  <c r="W14" i="98"/>
  <c r="Q13" i="98"/>
  <c r="X13" i="98" s="1"/>
  <c r="W13" i="98"/>
  <c r="Q12" i="98"/>
  <c r="X12" i="98" s="1"/>
  <c r="W12" i="98"/>
  <c r="Q11" i="98"/>
  <c r="X11" i="98" s="1"/>
  <c r="W11" i="98"/>
  <c r="Q10" i="98"/>
  <c r="X10" i="98" s="1"/>
  <c r="W10" i="98"/>
  <c r="Q9" i="98"/>
  <c r="X9" i="98" s="1"/>
  <c r="W9" i="98"/>
  <c r="Q8" i="98"/>
  <c r="X8" i="98" s="1"/>
  <c r="W8" i="98"/>
  <c r="Q7" i="98"/>
  <c r="X7" i="98" s="1"/>
  <c r="W7" i="98"/>
  <c r="Q6" i="98"/>
  <c r="X6" i="98" s="1"/>
  <c r="Q18" i="98"/>
  <c r="X18" i="98" s="1"/>
  <c r="W18" i="98"/>
  <c r="Q16" i="98"/>
  <c r="X16" i="98" s="1"/>
  <c r="Q21" i="98"/>
  <c r="X21" i="98" s="1"/>
  <c r="W61" i="99"/>
  <c r="W76" i="99"/>
  <c r="Y82" i="99"/>
  <c r="W82" i="99"/>
  <c r="V8" i="97"/>
  <c r="Y14" i="97"/>
  <c r="Y17" i="97"/>
  <c r="Y19" i="97"/>
  <c r="W19" i="97"/>
  <c r="Y20" i="97"/>
  <c r="W20" i="97"/>
  <c r="Y23" i="97"/>
  <c r="Y25" i="97"/>
  <c r="Y27" i="97"/>
  <c r="V29" i="97"/>
  <c r="Y32" i="97"/>
  <c r="Y35" i="97"/>
  <c r="X93" i="97"/>
  <c r="Y38" i="97"/>
  <c r="Y40" i="97"/>
  <c r="W40" i="97"/>
  <c r="Y49" i="97"/>
  <c r="W49" i="97"/>
  <c r="Y61" i="97"/>
  <c r="W61" i="97"/>
  <c r="Y64" i="97"/>
  <c r="W64" i="97"/>
  <c r="Y65" i="97"/>
  <c r="W65" i="97"/>
  <c r="Y68" i="97"/>
  <c r="W68" i="97"/>
  <c r="Y71" i="97"/>
  <c r="W71" i="97"/>
  <c r="Y72" i="97"/>
  <c r="W72" i="97"/>
  <c r="Y73" i="97"/>
  <c r="W73" i="97"/>
  <c r="Y76" i="97"/>
  <c r="W76" i="97"/>
  <c r="Y77" i="97"/>
  <c r="W77" i="97"/>
  <c r="Y81" i="97"/>
  <c r="W81" i="97"/>
  <c r="Y82" i="97"/>
  <c r="W82" i="97"/>
  <c r="Y83" i="97"/>
  <c r="W83" i="97"/>
  <c r="Y85" i="97"/>
  <c r="W85" i="97"/>
  <c r="Y86" i="97"/>
  <c r="W86" i="97"/>
  <c r="V8" i="96"/>
  <c r="Y14" i="96"/>
  <c r="Y17" i="96"/>
  <c r="Y19" i="96"/>
  <c r="V19" i="96"/>
  <c r="Y20" i="96"/>
  <c r="Y23" i="96"/>
  <c r="W23" i="96"/>
  <c r="V24" i="96"/>
  <c r="Y25" i="96"/>
  <c r="V25" i="96"/>
  <c r="V26" i="96"/>
  <c r="Y27" i="96"/>
  <c r="V27" i="96"/>
  <c r="V28" i="96"/>
  <c r="W29" i="96"/>
  <c r="V29" i="96"/>
  <c r="Y30" i="96"/>
  <c r="V30" i="96"/>
  <c r="V31" i="96"/>
  <c r="Y32" i="96"/>
  <c r="W32" i="96"/>
  <c r="V32" i="96"/>
  <c r="W33" i="96"/>
  <c r="V33" i="96"/>
  <c r="W34" i="96"/>
  <c r="V34" i="96"/>
  <c r="Y35" i="96"/>
  <c r="W35" i="96"/>
  <c r="V35" i="96"/>
  <c r="W36" i="96"/>
  <c r="V36" i="96"/>
  <c r="W37" i="96"/>
  <c r="V37" i="96"/>
  <c r="X93" i="96"/>
  <c r="Y38" i="96"/>
  <c r="W38" i="96"/>
  <c r="V38" i="96"/>
  <c r="W39" i="96"/>
  <c r="V39" i="96"/>
  <c r="Y40" i="96"/>
  <c r="W40" i="96"/>
  <c r="V40" i="96"/>
  <c r="W41" i="96"/>
  <c r="V41" i="96"/>
  <c r="W42" i="96"/>
  <c r="V42" i="96"/>
  <c r="W43" i="96"/>
  <c r="V43" i="96"/>
  <c r="W46" i="96"/>
  <c r="V46" i="96"/>
  <c r="W47" i="96"/>
  <c r="V47" i="96"/>
  <c r="W48" i="96"/>
  <c r="V48" i="96"/>
  <c r="Y49" i="96"/>
  <c r="W49" i="96"/>
  <c r="V49" i="96"/>
  <c r="W50" i="96"/>
  <c r="V50" i="96"/>
  <c r="W51" i="96"/>
  <c r="V51" i="96"/>
  <c r="W52" i="96"/>
  <c r="V52" i="96"/>
  <c r="W53" i="96"/>
  <c r="V53" i="96"/>
  <c r="W54" i="96"/>
  <c r="V54" i="96"/>
  <c r="W55" i="96"/>
  <c r="Y55" i="96" s="1"/>
  <c r="V55" i="96"/>
  <c r="W56" i="96"/>
  <c r="V56" i="96"/>
  <c r="W57" i="96"/>
  <c r="Y57" i="96" s="1"/>
  <c r="V57" i="96"/>
  <c r="W58" i="96"/>
  <c r="V58" i="96"/>
  <c r="W59" i="96"/>
  <c r="V59" i="96"/>
  <c r="W60" i="96"/>
  <c r="V60" i="96"/>
  <c r="Y61" i="96"/>
  <c r="W61" i="96"/>
  <c r="V61" i="96"/>
  <c r="W62" i="96"/>
  <c r="V62" i="96"/>
  <c r="W63" i="96"/>
  <c r="V63" i="96"/>
  <c r="Y64" i="96"/>
  <c r="W64" i="96"/>
  <c r="V64" i="96"/>
  <c r="Y65" i="96"/>
  <c r="W65" i="96"/>
  <c r="V65" i="96"/>
  <c r="W67" i="96"/>
  <c r="V67" i="96"/>
  <c r="Y68" i="96"/>
  <c r="W68" i="96"/>
  <c r="V68" i="96"/>
  <c r="Y70" i="96"/>
  <c r="V70" i="96"/>
  <c r="W70" i="96" s="1"/>
  <c r="Y71" i="96"/>
  <c r="W71" i="96"/>
  <c r="V71" i="96"/>
  <c r="Y72" i="96"/>
  <c r="W72" i="96"/>
  <c r="V72" i="96"/>
  <c r="Y73" i="96"/>
  <c r="W73" i="96"/>
  <c r="V73" i="96"/>
  <c r="W75" i="96"/>
  <c r="V75" i="96"/>
  <c r="Y76" i="96"/>
  <c r="W76" i="96"/>
  <c r="V76" i="96"/>
  <c r="Y77" i="96"/>
  <c r="W77" i="96"/>
  <c r="V77" i="96"/>
  <c r="W78" i="96"/>
  <c r="V78" i="96"/>
  <c r="W79" i="96"/>
  <c r="V79" i="96"/>
  <c r="W80" i="96"/>
  <c r="V80" i="96"/>
  <c r="Y81" i="96"/>
  <c r="W81" i="96"/>
  <c r="V81" i="96"/>
  <c r="Y82" i="96"/>
  <c r="W82" i="96"/>
  <c r="V82" i="96"/>
  <c r="Y83" i="96"/>
  <c r="W83" i="96"/>
  <c r="V83" i="96"/>
  <c r="W84" i="96"/>
  <c r="V84" i="96"/>
  <c r="Y85" i="96"/>
  <c r="W85" i="96"/>
  <c r="V85" i="96"/>
  <c r="Y86" i="96"/>
  <c r="W86" i="96"/>
  <c r="V86" i="96"/>
  <c r="W87" i="96"/>
  <c r="V87" i="96"/>
  <c r="V37" i="93"/>
  <c r="V7" i="95"/>
  <c r="W8" i="95"/>
  <c r="V8" i="95"/>
  <c r="V9" i="95"/>
  <c r="V10" i="95"/>
  <c r="W11" i="95"/>
  <c r="V11" i="95"/>
  <c r="W12" i="95"/>
  <c r="V12" i="95"/>
  <c r="W13" i="95"/>
  <c r="V13" i="95"/>
  <c r="Y14" i="95"/>
  <c r="V14" i="95"/>
  <c r="V15" i="95"/>
  <c r="W16" i="95"/>
  <c r="V16" i="95"/>
  <c r="Y17" i="95"/>
  <c r="V17" i="95"/>
  <c r="V18" i="95"/>
  <c r="Y19" i="95"/>
  <c r="V19" i="95"/>
  <c r="W19" i="95" s="1"/>
  <c r="Y20" i="95"/>
  <c r="V20" i="95"/>
  <c r="V21" i="95"/>
  <c r="Y23" i="95"/>
  <c r="V23" i="95"/>
  <c r="W24" i="95"/>
  <c r="V24" i="95"/>
  <c r="Y25" i="95"/>
  <c r="W25" i="95"/>
  <c r="V25" i="95"/>
  <c r="W26" i="95"/>
  <c r="V26" i="95"/>
  <c r="Y27" i="95"/>
  <c r="W27" i="95"/>
  <c r="V27" i="95"/>
  <c r="W28" i="95"/>
  <c r="V28" i="95"/>
  <c r="W30" i="95"/>
  <c r="Y30" i="95" s="1"/>
  <c r="V30" i="95"/>
  <c r="W31" i="95"/>
  <c r="V31" i="95"/>
  <c r="Y32" i="95"/>
  <c r="W32" i="95"/>
  <c r="V32" i="95"/>
  <c r="W33" i="95"/>
  <c r="V33" i="95"/>
  <c r="W34" i="95"/>
  <c r="V34" i="95"/>
  <c r="Y35" i="95"/>
  <c r="W35" i="95"/>
  <c r="V35" i="95"/>
  <c r="W37" i="95"/>
  <c r="V37" i="95"/>
  <c r="X93" i="95"/>
  <c r="Y38" i="95"/>
  <c r="W38" i="95"/>
  <c r="V38" i="95"/>
  <c r="W39" i="95"/>
  <c r="V39" i="95"/>
  <c r="Y40" i="95"/>
  <c r="W40" i="95"/>
  <c r="V40" i="95"/>
  <c r="W41" i="95"/>
  <c r="V41" i="95"/>
  <c r="W42" i="95"/>
  <c r="V42" i="95"/>
  <c r="W43" i="95"/>
  <c r="V43" i="95"/>
  <c r="W47" i="95"/>
  <c r="V47" i="95"/>
  <c r="W48" i="95"/>
  <c r="V48" i="95"/>
  <c r="Y49" i="95"/>
  <c r="W49" i="95"/>
  <c r="V49" i="95"/>
  <c r="W50" i="95"/>
  <c r="V50" i="95"/>
  <c r="W51" i="95"/>
  <c r="V51" i="95"/>
  <c r="W52" i="95"/>
  <c r="V52" i="95"/>
  <c r="W53" i="95"/>
  <c r="V53" i="95"/>
  <c r="W55" i="95"/>
  <c r="Y55" i="95" s="1"/>
  <c r="V55" i="95"/>
  <c r="W56" i="95"/>
  <c r="V56" i="95"/>
  <c r="W57" i="95"/>
  <c r="Y57" i="95" s="1"/>
  <c r="V57" i="95"/>
  <c r="W58" i="95"/>
  <c r="V58" i="95"/>
  <c r="W59" i="95"/>
  <c r="V59" i="95"/>
  <c r="W60" i="95"/>
  <c r="V60" i="95"/>
  <c r="Y61" i="95"/>
  <c r="W61" i="95"/>
  <c r="V61" i="95"/>
  <c r="W62" i="95"/>
  <c r="V62" i="95"/>
  <c r="W63" i="95"/>
  <c r="V63" i="95"/>
  <c r="Y64" i="95"/>
  <c r="W64" i="95"/>
  <c r="V64" i="95"/>
  <c r="Y65" i="95"/>
  <c r="W65" i="95"/>
  <c r="V65" i="95"/>
  <c r="W67" i="95"/>
  <c r="V67" i="95"/>
  <c r="Y68" i="95"/>
  <c r="W68" i="95"/>
  <c r="V68" i="95"/>
  <c r="Y70" i="95"/>
  <c r="V70" i="95"/>
  <c r="W70" i="95" s="1"/>
  <c r="Y71" i="95"/>
  <c r="W71" i="95"/>
  <c r="V71" i="95"/>
  <c r="Y72" i="95"/>
  <c r="W72" i="95"/>
  <c r="Y73" i="95"/>
  <c r="W73" i="95"/>
  <c r="W75" i="95"/>
  <c r="V75" i="95"/>
  <c r="Y76" i="95"/>
  <c r="W76" i="95"/>
  <c r="V76" i="95"/>
  <c r="Y77" i="95"/>
  <c r="W77" i="95"/>
  <c r="V77" i="95"/>
  <c r="W78" i="95"/>
  <c r="V78" i="95"/>
  <c r="W79" i="95"/>
  <c r="V79" i="95"/>
  <c r="W80" i="95"/>
  <c r="V80" i="95"/>
  <c r="Y81" i="95"/>
  <c r="W81" i="95"/>
  <c r="V81" i="95"/>
  <c r="Y82" i="95"/>
  <c r="W82" i="95"/>
  <c r="V82" i="95"/>
  <c r="Y83" i="95"/>
  <c r="W83" i="95"/>
  <c r="V83" i="95"/>
  <c r="W84" i="95"/>
  <c r="V84" i="95"/>
  <c r="Y85" i="95"/>
  <c r="W85" i="95"/>
  <c r="V85" i="95"/>
  <c r="Y86" i="95"/>
  <c r="W86" i="95"/>
  <c r="V86" i="95"/>
  <c r="W87" i="95"/>
  <c r="V87" i="95"/>
  <c r="V9" i="94"/>
  <c r="U9" i="94"/>
  <c r="V72" i="94"/>
  <c r="V73" i="94"/>
  <c r="V22" i="94"/>
  <c r="V46" i="94"/>
  <c r="V36" i="94"/>
  <c r="V54" i="94"/>
  <c r="V7" i="94"/>
  <c r="U7" i="94"/>
  <c r="V13" i="94"/>
  <c r="U13" i="94"/>
  <c r="V15" i="94"/>
  <c r="U15" i="94"/>
  <c r="V10" i="94"/>
  <c r="U10" i="94"/>
  <c r="V16" i="94"/>
  <c r="U16" i="94"/>
  <c r="X17" i="94"/>
  <c r="V17" i="94"/>
  <c r="U17" i="94"/>
  <c r="X19" i="94"/>
  <c r="U19" i="94"/>
  <c r="V19" i="94" s="1"/>
  <c r="X14" i="94"/>
  <c r="V14" i="94"/>
  <c r="U14" i="94"/>
  <c r="V11" i="94"/>
  <c r="U11" i="94"/>
  <c r="X20" i="94"/>
  <c r="V20" i="94"/>
  <c r="U20" i="94"/>
  <c r="V18" i="94"/>
  <c r="U18" i="94"/>
  <c r="U22" i="94"/>
  <c r="X23" i="94"/>
  <c r="V23" i="94"/>
  <c r="U23" i="94"/>
  <c r="V21" i="94"/>
  <c r="U21" i="94"/>
  <c r="V8" i="94"/>
  <c r="U8" i="94"/>
  <c r="V26" i="94"/>
  <c r="U26" i="94"/>
  <c r="V24" i="94"/>
  <c r="U24" i="94"/>
  <c r="V28" i="94"/>
  <c r="U28" i="94"/>
  <c r="X27" i="94"/>
  <c r="V27" i="94"/>
  <c r="U27" i="94"/>
  <c r="V33" i="94"/>
  <c r="U33" i="94"/>
  <c r="V34" i="94"/>
  <c r="U34" i="94"/>
  <c r="V30" i="94"/>
  <c r="X30" i="94" s="1"/>
  <c r="U30" i="94"/>
  <c r="V55" i="94"/>
  <c r="X55" i="94" s="1"/>
  <c r="U55" i="94"/>
  <c r="V58" i="94"/>
  <c r="U58" i="94"/>
  <c r="V59" i="94"/>
  <c r="U59" i="94"/>
  <c r="W93" i="94"/>
  <c r="X38" i="94"/>
  <c r="V38" i="94"/>
  <c r="U38" i="94"/>
  <c r="X40" i="94"/>
  <c r="V40" i="94"/>
  <c r="U40" i="94"/>
  <c r="V43" i="94"/>
  <c r="U43" i="94"/>
  <c r="X49" i="94"/>
  <c r="V49" i="94"/>
  <c r="U49" i="94"/>
  <c r="V51" i="94"/>
  <c r="U51" i="94"/>
  <c r="V52" i="94"/>
  <c r="U52" i="94"/>
  <c r="V50" i="94"/>
  <c r="U50" i="94"/>
  <c r="V53" i="94"/>
  <c r="U53" i="94"/>
  <c r="X64" i="94"/>
  <c r="U64" i="94"/>
  <c r="U66" i="94"/>
  <c r="V66" i="94" s="1"/>
  <c r="X65" i="94"/>
  <c r="V65" i="94"/>
  <c r="U65" i="94"/>
  <c r="V67" i="94"/>
  <c r="U67" i="94"/>
  <c r="V63" i="94"/>
  <c r="U63" i="94"/>
  <c r="X61" i="94"/>
  <c r="V61" i="94"/>
  <c r="U61" i="94"/>
  <c r="X25" i="94"/>
  <c r="V25" i="94"/>
  <c r="U25" i="94"/>
  <c r="X32" i="94"/>
  <c r="V32" i="94"/>
  <c r="U32" i="94"/>
  <c r="X35" i="94"/>
  <c r="V35" i="94"/>
  <c r="U35" i="94"/>
  <c r="V56" i="94"/>
  <c r="U56" i="94"/>
  <c r="X68" i="94"/>
  <c r="V68" i="94"/>
  <c r="U68" i="94"/>
  <c r="X71" i="94"/>
  <c r="V71" i="94"/>
  <c r="U71" i="94"/>
  <c r="U62" i="94"/>
  <c r="U74" i="94"/>
  <c r="V74" i="94" s="1"/>
  <c r="U69" i="94"/>
  <c r="V69" i="94" s="1"/>
  <c r="X70" i="94"/>
  <c r="U70" i="94"/>
  <c r="V70" i="94" s="1"/>
  <c r="X72" i="94"/>
  <c r="X73" i="94"/>
  <c r="V75" i="94"/>
  <c r="U75" i="94"/>
  <c r="X76" i="94"/>
  <c r="V76" i="94"/>
  <c r="U76" i="94"/>
  <c r="X77" i="94"/>
  <c r="V77" i="94"/>
  <c r="U77" i="94"/>
  <c r="V78" i="94"/>
  <c r="U78" i="94"/>
  <c r="V79" i="94"/>
  <c r="U79" i="94"/>
  <c r="V80" i="94"/>
  <c r="U80" i="94"/>
  <c r="X81" i="94"/>
  <c r="V81" i="94"/>
  <c r="U81" i="94"/>
  <c r="X82" i="94"/>
  <c r="V82" i="94"/>
  <c r="U82" i="94"/>
  <c r="X83" i="94"/>
  <c r="V83" i="94"/>
  <c r="U83" i="94"/>
  <c r="V84" i="94"/>
  <c r="U84" i="94"/>
  <c r="X85" i="94"/>
  <c r="V85" i="94"/>
  <c r="U85" i="94"/>
  <c r="X86" i="94"/>
  <c r="V86" i="94"/>
  <c r="U86" i="94"/>
  <c r="V87" i="94"/>
  <c r="U87" i="94"/>
  <c r="U37" i="93"/>
  <c r="V36" i="93"/>
  <c r="V39" i="93"/>
  <c r="V26" i="93"/>
  <c r="V47" i="93"/>
  <c r="V40" i="93"/>
  <c r="V44" i="93"/>
  <c r="V46" i="93"/>
  <c r="V45" i="93"/>
  <c r="V48" i="93"/>
  <c r="V33" i="93"/>
  <c r="X33" i="93" s="1"/>
  <c r="V41" i="93"/>
  <c r="V63" i="93"/>
  <c r="V49" i="93"/>
  <c r="V17" i="93"/>
  <c r="V38" i="93"/>
  <c r="V28" i="93"/>
  <c r="V25" i="93"/>
  <c r="X38" i="93"/>
  <c r="W94" i="93"/>
  <c r="V58" i="93"/>
  <c r="V9" i="93"/>
  <c r="U50" i="93"/>
  <c r="U64" i="93"/>
  <c r="V66" i="93"/>
  <c r="U84" i="93"/>
  <c r="V83" i="93"/>
  <c r="X87" i="93"/>
  <c r="U38" i="93"/>
  <c r="V76" i="93"/>
  <c r="X76" i="93"/>
  <c r="V68" i="93"/>
  <c r="V74" i="93"/>
  <c r="X72" i="93"/>
  <c r="X77" i="93"/>
  <c r="U41" i="93"/>
  <c r="U66" i="93"/>
  <c r="X82" i="93"/>
  <c r="U73" i="93"/>
  <c r="U80" i="93"/>
  <c r="V35" i="93"/>
  <c r="X74" i="93"/>
  <c r="V86" i="93"/>
  <c r="V27" i="93"/>
  <c r="U86" i="93"/>
  <c r="V75" i="93"/>
  <c r="X67" i="93"/>
  <c r="U57" i="93"/>
  <c r="X62" i="93"/>
  <c r="V85" i="93"/>
  <c r="U53" i="93"/>
  <c r="X84" i="93"/>
  <c r="V78" i="93"/>
  <c r="V60" i="93"/>
  <c r="V72" i="93"/>
  <c r="X81" i="93"/>
  <c r="V77" i="93"/>
  <c r="V69" i="93"/>
  <c r="V65" i="93"/>
  <c r="X61" i="93"/>
  <c r="U62" i="93"/>
  <c r="U29" i="93"/>
  <c r="V81" i="93"/>
  <c r="X73" i="93"/>
  <c r="V61" i="93"/>
  <c r="U46" i="93"/>
  <c r="V88" i="93"/>
  <c r="X64" i="93"/>
  <c r="U45" i="93"/>
  <c r="V71" i="93"/>
  <c r="U48" i="93"/>
  <c r="X58" i="93"/>
  <c r="X56" i="93"/>
  <c r="V56" i="93"/>
  <c r="U52" i="93"/>
  <c r="U44" i="93"/>
  <c r="V55" i="93"/>
  <c r="U49" i="93"/>
  <c r="V42" i="93"/>
  <c r="V51" i="93"/>
  <c r="U42" i="93"/>
  <c r="U18" i="93"/>
  <c r="V32" i="93"/>
  <c r="X32" i="93" s="1"/>
  <c r="V16" i="93"/>
  <c r="U16" i="93"/>
  <c r="X14" i="93"/>
  <c r="U33" i="93"/>
  <c r="X27" i="93"/>
  <c r="U11" i="93"/>
  <c r="U10" i="93"/>
  <c r="V23" i="93"/>
  <c r="U8" i="93"/>
  <c r="U20" i="93"/>
  <c r="V19" i="93"/>
  <c r="X20" i="93"/>
  <c r="V15" i="93"/>
  <c r="X12" i="93"/>
  <c r="V31" i="93"/>
  <c r="X31" i="93" s="1"/>
  <c r="V12" i="93"/>
  <c r="V13" i="93"/>
  <c r="V21" i="93"/>
  <c r="V87" i="93"/>
  <c r="X83" i="93"/>
  <c r="X71" i="93"/>
  <c r="U59" i="93"/>
  <c r="U26" i="93"/>
  <c r="U22" i="93"/>
  <c r="V67" i="93"/>
  <c r="V79" i="93"/>
  <c r="V70" i="93"/>
  <c r="V54" i="93"/>
  <c r="X50" i="93"/>
  <c r="U47" i="93"/>
  <c r="U43" i="93"/>
  <c r="V34" i="93"/>
  <c r="V24" i="93"/>
  <c r="U14" i="93"/>
  <c r="V7" i="93"/>
  <c r="X63" i="93"/>
  <c r="X13" i="93"/>
  <c r="V30" i="93"/>
  <c r="Q55" i="92"/>
  <c r="Q67" i="92"/>
  <c r="Q68" i="92"/>
  <c r="Q69" i="92"/>
  <c r="Q70" i="92"/>
  <c r="Q71" i="92"/>
  <c r="Q66" i="92"/>
  <c r="P53" i="92"/>
  <c r="Q46" i="92"/>
  <c r="U81" i="92"/>
  <c r="S9" i="92"/>
  <c r="S7" i="92"/>
  <c r="V7" i="92" s="1"/>
  <c r="S8" i="92"/>
  <c r="A7" i="92"/>
  <c r="A8" i="92"/>
  <c r="A9" i="92"/>
  <c r="S79" i="92"/>
  <c r="S78" i="92"/>
  <c r="S77" i="92"/>
  <c r="S72" i="92"/>
  <c r="V72" i="92" s="1"/>
  <c r="S71" i="92"/>
  <c r="U71" i="92" s="1"/>
  <c r="S70" i="92"/>
  <c r="U70" i="92" s="1"/>
  <c r="S69" i="92"/>
  <c r="S68" i="92"/>
  <c r="S67" i="92"/>
  <c r="S66" i="92"/>
  <c r="S59" i="92"/>
  <c r="S58" i="92"/>
  <c r="S52" i="92"/>
  <c r="V52" i="92" s="1"/>
  <c r="S38" i="92"/>
  <c r="S37" i="92"/>
  <c r="V37" i="92" s="1"/>
  <c r="S36" i="92"/>
  <c r="V36" i="92" s="1"/>
  <c r="S35" i="92"/>
  <c r="V35" i="92" s="1"/>
  <c r="S34" i="92"/>
  <c r="V34" i="92" s="1"/>
  <c r="S30" i="92"/>
  <c r="V30" i="92" s="1"/>
  <c r="S29" i="92"/>
  <c r="S28" i="92"/>
  <c r="S24" i="92"/>
  <c r="S16" i="92"/>
  <c r="V16" i="92" s="1"/>
  <c r="S13" i="92"/>
  <c r="S11" i="92"/>
  <c r="V11" i="92" s="1"/>
  <c r="S12" i="92"/>
  <c r="V12" i="92" s="1"/>
  <c r="S14" i="92"/>
  <c r="S15" i="92"/>
  <c r="V15" i="92" s="1"/>
  <c r="S17" i="92"/>
  <c r="V17" i="92" s="1"/>
  <c r="S18" i="92"/>
  <c r="S19" i="92"/>
  <c r="S20" i="92"/>
  <c r="V20" i="92" s="1"/>
  <c r="S21" i="92"/>
  <c r="V21" i="92" s="1"/>
  <c r="S22" i="92"/>
  <c r="S23" i="92"/>
  <c r="S25" i="92"/>
  <c r="S26" i="92"/>
  <c r="V26" i="92" s="1"/>
  <c r="S27" i="92"/>
  <c r="S31" i="92"/>
  <c r="V31" i="92" s="1"/>
  <c r="S32" i="92"/>
  <c r="S33" i="92"/>
  <c r="V33" i="92" s="1"/>
  <c r="S39" i="92"/>
  <c r="V39" i="92" s="1"/>
  <c r="S40" i="92"/>
  <c r="S41" i="92"/>
  <c r="V41" i="92" s="1"/>
  <c r="S42" i="92"/>
  <c r="S43" i="92"/>
  <c r="S44" i="92"/>
  <c r="S45" i="92"/>
  <c r="S46" i="92"/>
  <c r="S47" i="92"/>
  <c r="V47" i="92" s="1"/>
  <c r="S48" i="92"/>
  <c r="S49" i="92"/>
  <c r="S50" i="92"/>
  <c r="V50" i="92" s="1"/>
  <c r="S51" i="92"/>
  <c r="U51" i="92" s="1"/>
  <c r="S53" i="92"/>
  <c r="S54" i="92"/>
  <c r="S55" i="92"/>
  <c r="S56" i="92"/>
  <c r="V56" i="92" s="1"/>
  <c r="S57" i="92"/>
  <c r="V57" i="92" s="1"/>
  <c r="S60" i="92"/>
  <c r="S61" i="92"/>
  <c r="V61" i="92" s="1"/>
  <c r="S62" i="92"/>
  <c r="S63" i="92"/>
  <c r="S64" i="92"/>
  <c r="S65" i="92"/>
  <c r="S73" i="92"/>
  <c r="S74" i="92"/>
  <c r="S75" i="92"/>
  <c r="S76" i="92"/>
  <c r="S80" i="92"/>
  <c r="S81" i="92"/>
  <c r="S82" i="92"/>
  <c r="U82" i="92" s="1"/>
  <c r="S83" i="92"/>
  <c r="S84" i="92"/>
  <c r="S85" i="92"/>
  <c r="S86" i="92"/>
  <c r="S87" i="92"/>
  <c r="V93" i="92"/>
  <c r="A87" i="92"/>
  <c r="A86" i="92"/>
  <c r="A85" i="92"/>
  <c r="A84" i="92"/>
  <c r="A83" i="92"/>
  <c r="Q82" i="92"/>
  <c r="A82" i="92"/>
  <c r="A81" i="92"/>
  <c r="A80" i="92"/>
  <c r="A79" i="92"/>
  <c r="A78" i="92"/>
  <c r="A77" i="92"/>
  <c r="A76" i="92"/>
  <c r="A75" i="92"/>
  <c r="A74" i="92"/>
  <c r="A73" i="92"/>
  <c r="A72" i="92"/>
  <c r="A71" i="92"/>
  <c r="A70" i="92"/>
  <c r="A69" i="92"/>
  <c r="A68" i="92"/>
  <c r="A67" i="92"/>
  <c r="A66" i="92"/>
  <c r="A65" i="92"/>
  <c r="A64" i="92"/>
  <c r="A63" i="92"/>
  <c r="A62" i="92"/>
  <c r="A61" i="92"/>
  <c r="A60" i="92"/>
  <c r="A59" i="92"/>
  <c r="A58" i="92"/>
  <c r="A57" i="92"/>
  <c r="A56" i="92"/>
  <c r="A55" i="92"/>
  <c r="Q54" i="92"/>
  <c r="A54" i="92"/>
  <c r="A53" i="92"/>
  <c r="A52" i="92"/>
  <c r="A51" i="92"/>
  <c r="A50" i="92"/>
  <c r="A49" i="92"/>
  <c r="A48" i="92"/>
  <c r="A47" i="92"/>
  <c r="A46" i="92"/>
  <c r="A45" i="92"/>
  <c r="A44" i="92"/>
  <c r="A43" i="92"/>
  <c r="A42" i="92"/>
  <c r="A41" i="92"/>
  <c r="A40" i="92"/>
  <c r="A39" i="92"/>
  <c r="A38" i="92"/>
  <c r="A37" i="92"/>
  <c r="A36" i="92"/>
  <c r="A35" i="92"/>
  <c r="A34" i="92"/>
  <c r="A33" i="92"/>
  <c r="A32" i="92"/>
  <c r="A31" i="92"/>
  <c r="A30" i="92"/>
  <c r="A29" i="92"/>
  <c r="A28" i="92"/>
  <c r="A27" i="92"/>
  <c r="A26" i="92"/>
  <c r="A25" i="92"/>
  <c r="A24" i="92"/>
  <c r="A23" i="92"/>
  <c r="A22" i="92"/>
  <c r="A21" i="92"/>
  <c r="A20" i="92"/>
  <c r="A19" i="92"/>
  <c r="A18" i="92"/>
  <c r="A17" i="92"/>
  <c r="A16" i="92"/>
  <c r="A15" i="92"/>
  <c r="A14" i="92"/>
  <c r="A13" i="92"/>
  <c r="A12" i="92"/>
  <c r="A11" i="92"/>
  <c r="S10" i="92"/>
  <c r="V10" i="92" s="1"/>
  <c r="A10" i="92"/>
  <c r="W40" i="99" l="1"/>
  <c r="Y86" i="99"/>
  <c r="Y65" i="99"/>
  <c r="Y13" i="99"/>
  <c r="W72" i="99"/>
  <c r="W38" i="99"/>
  <c r="X93" i="99"/>
  <c r="Y22" i="99"/>
  <c r="W68" i="99"/>
  <c r="W85" i="99"/>
  <c r="W71" i="99"/>
  <c r="W83" i="99"/>
  <c r="Y49" i="99"/>
  <c r="Y81" i="99"/>
  <c r="W77" i="99"/>
  <c r="W64" i="99"/>
  <c r="Y20" i="99"/>
  <c r="Y27" i="99"/>
  <c r="W31" i="99"/>
  <c r="W73" i="99"/>
  <c r="W88" i="99" s="1"/>
  <c r="U22" i="100"/>
  <c r="R22" i="100" s="1"/>
  <c r="X22" i="100" s="1"/>
  <c r="U31" i="100"/>
  <c r="R31" i="100" s="1"/>
  <c r="X31" i="100" s="1"/>
  <c r="X19" i="100"/>
  <c r="X61" i="100"/>
  <c r="X17" i="100"/>
  <c r="X71" i="100"/>
  <c r="X32" i="100"/>
  <c r="X64" i="100"/>
  <c r="X23" i="100"/>
  <c r="X72" i="100"/>
  <c r="X49" i="100"/>
  <c r="X14" i="100"/>
  <c r="X86" i="100"/>
  <c r="X35" i="100"/>
  <c r="X85" i="100"/>
  <c r="X65" i="100"/>
  <c r="X81" i="100"/>
  <c r="X32" i="98"/>
  <c r="X34" i="98" s="1"/>
  <c r="V88" i="97"/>
  <c r="W88" i="97"/>
  <c r="V88" i="96"/>
  <c r="W88" i="96"/>
  <c r="V88" i="95"/>
  <c r="W88" i="95"/>
  <c r="W91" i="95" s="1"/>
  <c r="U88" i="94"/>
  <c r="V88" i="94"/>
  <c r="U36" i="93"/>
  <c r="U89" i="93" s="1"/>
  <c r="V89" i="93"/>
  <c r="U22" i="92"/>
  <c r="V22" i="92"/>
  <c r="V66" i="92"/>
  <c r="U58" i="92"/>
  <c r="V58" i="92"/>
  <c r="U8" i="92"/>
  <c r="V8" i="92"/>
  <c r="U9" i="92"/>
  <c r="V9" i="92"/>
  <c r="V68" i="92"/>
  <c r="V71" i="92"/>
  <c r="V70" i="92"/>
  <c r="V69" i="92"/>
  <c r="V67" i="92"/>
  <c r="V55" i="92"/>
  <c r="V51" i="92"/>
  <c r="V53" i="92"/>
  <c r="U53" i="92"/>
  <c r="V46" i="92"/>
  <c r="U7" i="92"/>
  <c r="V54" i="92"/>
  <c r="U10" i="92"/>
  <c r="U11" i="92"/>
  <c r="X12" i="92"/>
  <c r="U12" i="92"/>
  <c r="X13" i="92"/>
  <c r="V13" i="92"/>
  <c r="U13" i="92"/>
  <c r="X14" i="92"/>
  <c r="V14" i="92"/>
  <c r="U14" i="92"/>
  <c r="U15" i="92"/>
  <c r="X16" i="92"/>
  <c r="U16" i="92"/>
  <c r="U17" i="92"/>
  <c r="V18" i="92"/>
  <c r="U18" i="92"/>
  <c r="V19" i="92"/>
  <c r="U19" i="92"/>
  <c r="X20" i="92"/>
  <c r="U20" i="92"/>
  <c r="U21" i="92"/>
  <c r="V23" i="92"/>
  <c r="U23" i="92"/>
  <c r="V24" i="92"/>
  <c r="U24" i="92"/>
  <c r="V25" i="92"/>
  <c r="U25" i="92"/>
  <c r="U26" i="92"/>
  <c r="X27" i="92"/>
  <c r="V27" i="92"/>
  <c r="U27" i="92"/>
  <c r="V28" i="92"/>
  <c r="U28" i="92"/>
  <c r="V29" i="92"/>
  <c r="U29" i="92"/>
  <c r="U30" i="92"/>
  <c r="X31" i="92"/>
  <c r="U31" i="92"/>
  <c r="V32" i="92"/>
  <c r="X32" i="92" s="1"/>
  <c r="U32" i="92"/>
  <c r="X33" i="92"/>
  <c r="U33" i="92"/>
  <c r="U34" i="92"/>
  <c r="U35" i="92"/>
  <c r="U36" i="92"/>
  <c r="U37" i="92"/>
  <c r="V38" i="92"/>
  <c r="U38" i="92"/>
  <c r="U39" i="92"/>
  <c r="V40" i="92"/>
  <c r="U40" i="92"/>
  <c r="X41" i="92"/>
  <c r="U41" i="92"/>
  <c r="V42" i="92"/>
  <c r="U42" i="92"/>
  <c r="V43" i="92"/>
  <c r="U43" i="92"/>
  <c r="V44" i="92"/>
  <c r="U44" i="92"/>
  <c r="V45" i="92"/>
  <c r="U45" i="92"/>
  <c r="U46" i="92"/>
  <c r="U47" i="92"/>
  <c r="V48" i="92"/>
  <c r="U48" i="92"/>
  <c r="X49" i="92"/>
  <c r="V49" i="92"/>
  <c r="U49" i="92"/>
  <c r="U50" i="92"/>
  <c r="U52" i="92"/>
  <c r="U54" i="92"/>
  <c r="X55" i="92"/>
  <c r="U55" i="92"/>
  <c r="U56" i="92"/>
  <c r="X57" i="92"/>
  <c r="U57" i="92"/>
  <c r="V59" i="92"/>
  <c r="U59" i="92"/>
  <c r="X60" i="92"/>
  <c r="V60" i="92"/>
  <c r="U60" i="92"/>
  <c r="X61" i="92"/>
  <c r="U61" i="92"/>
  <c r="X62" i="92"/>
  <c r="V62" i="92"/>
  <c r="U62" i="92"/>
  <c r="X63" i="92"/>
  <c r="V63" i="92"/>
  <c r="U63" i="92"/>
  <c r="V64" i="92"/>
  <c r="U64" i="92"/>
  <c r="X65" i="92"/>
  <c r="V65" i="92"/>
  <c r="U65" i="92"/>
  <c r="X66" i="92"/>
  <c r="U66" i="92"/>
  <c r="U67" i="92"/>
  <c r="U68" i="92"/>
  <c r="U69" i="92"/>
  <c r="X70" i="92"/>
  <c r="X71" i="92"/>
  <c r="X72" i="92"/>
  <c r="U72" i="92"/>
  <c r="X73" i="92"/>
  <c r="V73" i="92"/>
  <c r="U73" i="92"/>
  <c r="V74" i="92"/>
  <c r="U74" i="92"/>
  <c r="X75" i="92"/>
  <c r="V75" i="92"/>
  <c r="U75" i="92"/>
  <c r="X76" i="92"/>
  <c r="V76" i="92"/>
  <c r="U76" i="92"/>
  <c r="V77" i="92"/>
  <c r="U77" i="92"/>
  <c r="V78" i="92"/>
  <c r="U78" i="92"/>
  <c r="V79" i="92"/>
  <c r="U79" i="92"/>
  <c r="X80" i="92"/>
  <c r="V80" i="92"/>
  <c r="U80" i="92"/>
  <c r="X81" i="92"/>
  <c r="V81" i="92"/>
  <c r="X82" i="92"/>
  <c r="V82" i="92"/>
  <c r="X83" i="92"/>
  <c r="V83" i="92"/>
  <c r="U83" i="92"/>
  <c r="V84" i="92"/>
  <c r="U84" i="92"/>
  <c r="X85" i="92"/>
  <c r="V85" i="92"/>
  <c r="U85" i="92"/>
  <c r="X86" i="92"/>
  <c r="V86" i="92"/>
  <c r="U86" i="92"/>
  <c r="V87" i="92"/>
  <c r="U87" i="92"/>
  <c r="S32" i="90"/>
  <c r="V32" i="90" s="1"/>
  <c r="R51" i="90"/>
  <c r="R50" i="90"/>
  <c r="V90" i="90"/>
  <c r="Q51" i="90"/>
  <c r="Q50" i="90"/>
  <c r="Q55" i="90"/>
  <c r="Q48" i="90"/>
  <c r="Q19" i="90"/>
  <c r="S66" i="90"/>
  <c r="V66" i="90" s="1"/>
  <c r="S61" i="90"/>
  <c r="S54" i="90"/>
  <c r="S53" i="90"/>
  <c r="S44" i="90"/>
  <c r="V44" i="90" s="1"/>
  <c r="S34" i="90"/>
  <c r="V34" i="90" s="1"/>
  <c r="S15" i="90"/>
  <c r="V15" i="90" s="1"/>
  <c r="S26" i="90"/>
  <c r="V26" i="90" s="1"/>
  <c r="S24" i="90"/>
  <c r="V24" i="90" s="1"/>
  <c r="Q79" i="90"/>
  <c r="S75" i="90"/>
  <c r="V75" i="90" s="1"/>
  <c r="Q68" i="90"/>
  <c r="Q67" i="90"/>
  <c r="S59" i="90"/>
  <c r="V59" i="90" s="1"/>
  <c r="S64" i="90"/>
  <c r="A64" i="90"/>
  <c r="S63" i="90"/>
  <c r="V63" i="90" s="1"/>
  <c r="A63" i="90"/>
  <c r="S62" i="90"/>
  <c r="V62" i="90" s="1"/>
  <c r="A62" i="90"/>
  <c r="A61" i="90"/>
  <c r="S60" i="90"/>
  <c r="A60" i="90"/>
  <c r="A59" i="90"/>
  <c r="S58" i="90"/>
  <c r="V58" i="90" s="1"/>
  <c r="A58" i="90"/>
  <c r="S57" i="90"/>
  <c r="V57" i="90" s="1"/>
  <c r="A57" i="90"/>
  <c r="S56" i="90"/>
  <c r="V56" i="90" s="1"/>
  <c r="A56" i="90"/>
  <c r="S55" i="90"/>
  <c r="A55" i="90"/>
  <c r="S74" i="90"/>
  <c r="A74" i="90"/>
  <c r="S73" i="90"/>
  <c r="V73" i="90" s="1"/>
  <c r="A73" i="90"/>
  <c r="S72" i="90"/>
  <c r="V72" i="90" s="1"/>
  <c r="A72" i="90"/>
  <c r="S71" i="90"/>
  <c r="V71" i="90" s="1"/>
  <c r="A71" i="90"/>
  <c r="S70" i="90"/>
  <c r="V70" i="90" s="1"/>
  <c r="A70" i="90"/>
  <c r="S69" i="90"/>
  <c r="A69" i="90"/>
  <c r="S68" i="90"/>
  <c r="V68" i="90" s="1"/>
  <c r="A68" i="90"/>
  <c r="S67" i="90"/>
  <c r="A67" i="90"/>
  <c r="A66" i="90"/>
  <c r="S65" i="90"/>
  <c r="V65" i="90" s="1"/>
  <c r="A65" i="90"/>
  <c r="S8" i="90"/>
  <c r="V8" i="90" s="1"/>
  <c r="S9" i="90"/>
  <c r="V9" i="90" s="1"/>
  <c r="S10" i="90"/>
  <c r="V10" i="90" s="1"/>
  <c r="S11" i="90"/>
  <c r="V11" i="90" s="1"/>
  <c r="S12" i="90"/>
  <c r="V12" i="90" s="1"/>
  <c r="S13" i="90"/>
  <c r="V13" i="90" s="1"/>
  <c r="S14" i="90"/>
  <c r="V14" i="90" s="1"/>
  <c r="S16" i="90"/>
  <c r="V16" i="90" s="1"/>
  <c r="S17" i="90"/>
  <c r="V17" i="90" s="1"/>
  <c r="S18" i="90"/>
  <c r="V18" i="90" s="1"/>
  <c r="S19" i="90"/>
  <c r="V19" i="90" s="1"/>
  <c r="S20" i="90"/>
  <c r="V20" i="90" s="1"/>
  <c r="S21" i="90"/>
  <c r="V21" i="90" s="1"/>
  <c r="S22" i="90"/>
  <c r="V22" i="90" s="1"/>
  <c r="S23" i="90"/>
  <c r="V23" i="90" s="1"/>
  <c r="S25" i="90"/>
  <c r="V25" i="90" s="1"/>
  <c r="S27" i="90"/>
  <c r="V27" i="90" s="1"/>
  <c r="S28" i="90"/>
  <c r="V28" i="90" s="1"/>
  <c r="S29" i="90"/>
  <c r="V29" i="90" s="1"/>
  <c r="S30" i="90"/>
  <c r="V30" i="90" s="1"/>
  <c r="S31" i="90"/>
  <c r="V31" i="90" s="1"/>
  <c r="S33" i="90"/>
  <c r="V33" i="90" s="1"/>
  <c r="S35" i="90"/>
  <c r="V35" i="90" s="1"/>
  <c r="S36" i="90"/>
  <c r="V36" i="90" s="1"/>
  <c r="S37" i="90"/>
  <c r="V37" i="90" s="1"/>
  <c r="S38" i="90"/>
  <c r="V38" i="90" s="1"/>
  <c r="S39" i="90"/>
  <c r="V39" i="90" s="1"/>
  <c r="S40" i="90"/>
  <c r="V40" i="90" s="1"/>
  <c r="S41" i="90"/>
  <c r="V41" i="90" s="1"/>
  <c r="S42" i="90"/>
  <c r="V42" i="90" s="1"/>
  <c r="S43" i="90"/>
  <c r="V43" i="90" s="1"/>
  <c r="S45" i="90"/>
  <c r="V45" i="90" s="1"/>
  <c r="S46" i="90"/>
  <c r="V46" i="90" s="1"/>
  <c r="S47" i="90"/>
  <c r="V47" i="90" s="1"/>
  <c r="S48" i="90"/>
  <c r="S49" i="90"/>
  <c r="U49" i="90" s="1"/>
  <c r="S50" i="90"/>
  <c r="S51" i="90"/>
  <c r="S52" i="90"/>
  <c r="U52" i="90" s="1"/>
  <c r="S76" i="90"/>
  <c r="U76" i="90" s="1"/>
  <c r="S77" i="90"/>
  <c r="U77" i="90" s="1"/>
  <c r="S78" i="90"/>
  <c r="S79" i="90"/>
  <c r="S80" i="90"/>
  <c r="V80" i="90" s="1"/>
  <c r="S81" i="90"/>
  <c r="S82" i="90"/>
  <c r="S83" i="90"/>
  <c r="S84" i="90"/>
  <c r="A84" i="90"/>
  <c r="A83" i="90"/>
  <c r="A82" i="90"/>
  <c r="A81" i="90"/>
  <c r="A80" i="90"/>
  <c r="A79" i="90"/>
  <c r="A78" i="90"/>
  <c r="A77" i="90"/>
  <c r="A76" i="90"/>
  <c r="U75" i="90"/>
  <c r="A75" i="90"/>
  <c r="A54" i="90"/>
  <c r="A53" i="90"/>
  <c r="A52" i="90"/>
  <c r="A51" i="90"/>
  <c r="A50" i="90"/>
  <c r="A49" i="90"/>
  <c r="A48" i="90"/>
  <c r="A47" i="90"/>
  <c r="A46" i="90"/>
  <c r="A45" i="90"/>
  <c r="A44" i="90"/>
  <c r="A43" i="90"/>
  <c r="A42" i="90"/>
  <c r="A41" i="90"/>
  <c r="A40" i="90"/>
  <c r="A39" i="90"/>
  <c r="A38" i="90"/>
  <c r="A37" i="90"/>
  <c r="A36" i="90"/>
  <c r="A35" i="90"/>
  <c r="A34" i="90"/>
  <c r="A33" i="90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S7" i="90"/>
  <c r="V7" i="90" s="1"/>
  <c r="A7" i="90"/>
  <c r="Q49" i="88"/>
  <c r="Q33" i="88"/>
  <c r="Q26" i="88"/>
  <c r="Q57" i="88"/>
  <c r="Q56" i="88"/>
  <c r="Q55" i="88"/>
  <c r="Q25" i="88"/>
  <c r="Q52" i="88"/>
  <c r="Q17" i="88"/>
  <c r="S53" i="88"/>
  <c r="V53" i="88" s="1"/>
  <c r="S50" i="88"/>
  <c r="U50" i="88" s="1"/>
  <c r="S48" i="88"/>
  <c r="U48" i="88" s="1"/>
  <c r="S46" i="88"/>
  <c r="X46" i="88" s="1"/>
  <c r="S45" i="88"/>
  <c r="U45" i="88" s="1"/>
  <c r="V45" i="88" s="1"/>
  <c r="S42" i="88"/>
  <c r="U42" i="88" s="1"/>
  <c r="V42" i="88" s="1"/>
  <c r="S41" i="88"/>
  <c r="U41" i="88" s="1"/>
  <c r="V41" i="88" s="1"/>
  <c r="S40" i="88"/>
  <c r="U40" i="88" s="1"/>
  <c r="V40" i="88" s="1"/>
  <c r="S39" i="88"/>
  <c r="S34" i="88"/>
  <c r="V34" i="88" s="1"/>
  <c r="S28" i="88"/>
  <c r="U28" i="88" s="1"/>
  <c r="V28" i="88" s="1"/>
  <c r="S19" i="88"/>
  <c r="U19" i="88" s="1"/>
  <c r="S16" i="88"/>
  <c r="U16" i="88" s="1"/>
  <c r="S12" i="88"/>
  <c r="V12" i="88" s="1"/>
  <c r="S11" i="88"/>
  <c r="X11" i="88" s="1"/>
  <c r="S9" i="88"/>
  <c r="U9" i="88" s="1"/>
  <c r="S7" i="88"/>
  <c r="U7" i="88" s="1"/>
  <c r="S10" i="88"/>
  <c r="U10" i="88" s="1"/>
  <c r="S13" i="88"/>
  <c r="V13" i="88" s="1"/>
  <c r="S14" i="88"/>
  <c r="U14" i="88" s="1"/>
  <c r="S15" i="88"/>
  <c r="V15" i="88" s="1"/>
  <c r="S17" i="88"/>
  <c r="U17" i="88" s="1"/>
  <c r="V17" i="88" s="1"/>
  <c r="S18" i="88"/>
  <c r="U18" i="88" s="1"/>
  <c r="S20" i="88"/>
  <c r="U20" i="88" s="1"/>
  <c r="S21" i="88"/>
  <c r="S22" i="88"/>
  <c r="S23" i="88"/>
  <c r="U23" i="88" s="1"/>
  <c r="S24" i="88"/>
  <c r="X24" i="88" s="1"/>
  <c r="S25" i="88"/>
  <c r="U25" i="88" s="1"/>
  <c r="S26" i="88"/>
  <c r="S27" i="88"/>
  <c r="U27" i="88" s="1"/>
  <c r="S29" i="88"/>
  <c r="U29" i="88" s="1"/>
  <c r="S30" i="88"/>
  <c r="U30" i="88" s="1"/>
  <c r="S31" i="88"/>
  <c r="U31" i="88" s="1"/>
  <c r="S32" i="88"/>
  <c r="U32" i="88" s="1"/>
  <c r="S33" i="88"/>
  <c r="S35" i="88"/>
  <c r="U35" i="88" s="1"/>
  <c r="S36" i="88"/>
  <c r="U36" i="88" s="1"/>
  <c r="S37" i="88"/>
  <c r="U37" i="88" s="1"/>
  <c r="V37" i="88" s="1"/>
  <c r="S38" i="88"/>
  <c r="U38" i="88" s="1"/>
  <c r="S43" i="88"/>
  <c r="V43" i="88" s="1"/>
  <c r="S44" i="88"/>
  <c r="U44" i="88" s="1"/>
  <c r="S47" i="88"/>
  <c r="U47" i="88" s="1"/>
  <c r="V47" i="88" s="1"/>
  <c r="S49" i="88"/>
  <c r="U49" i="88" s="1"/>
  <c r="S51" i="88"/>
  <c r="U51" i="88" s="1"/>
  <c r="S52" i="88"/>
  <c r="S54" i="88"/>
  <c r="U54" i="88" s="1"/>
  <c r="S55" i="88"/>
  <c r="S56" i="88"/>
  <c r="S57" i="88"/>
  <c r="U57" i="88" s="1"/>
  <c r="S58" i="88"/>
  <c r="V58" i="88" s="1"/>
  <c r="S59" i="88"/>
  <c r="U59" i="88" s="1"/>
  <c r="S60" i="88"/>
  <c r="U60" i="88" s="1"/>
  <c r="S61" i="88"/>
  <c r="V61" i="88" s="1"/>
  <c r="S62" i="88"/>
  <c r="U62" i="88" s="1"/>
  <c r="S63" i="88"/>
  <c r="U63" i="88" s="1"/>
  <c r="S64" i="88"/>
  <c r="V64" i="88" s="1"/>
  <c r="A7" i="88"/>
  <c r="A8" i="88"/>
  <c r="S8" i="88"/>
  <c r="U8" i="88" s="1"/>
  <c r="V8" i="88" s="1"/>
  <c r="A9" i="88"/>
  <c r="A10" i="88"/>
  <c r="A11" i="88"/>
  <c r="A12" i="88"/>
  <c r="A13" i="88"/>
  <c r="A14" i="88"/>
  <c r="A15" i="88"/>
  <c r="A16" i="88"/>
  <c r="A17" i="88"/>
  <c r="A18" i="88"/>
  <c r="A19" i="88"/>
  <c r="A20" i="88"/>
  <c r="A21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Y2" i="88"/>
  <c r="U26" i="100" l="1"/>
  <c r="R26" i="100" s="1"/>
  <c r="X26" i="100" s="1"/>
  <c r="X35" i="98"/>
  <c r="W91" i="99"/>
  <c r="Z88" i="99"/>
  <c r="Z88" i="97"/>
  <c r="W91" i="96"/>
  <c r="Z88" i="96"/>
  <c r="Z88" i="95"/>
  <c r="V90" i="94"/>
  <c r="Y88" i="94"/>
  <c r="V91" i="93"/>
  <c r="Y89" i="93"/>
  <c r="U25" i="90"/>
  <c r="U40" i="90"/>
  <c r="U8" i="90"/>
  <c r="V67" i="90"/>
  <c r="V88" i="92"/>
  <c r="U88" i="92"/>
  <c r="V48" i="90"/>
  <c r="U42" i="90"/>
  <c r="U21" i="90"/>
  <c r="V55" i="90"/>
  <c r="X17" i="90"/>
  <c r="U22" i="90"/>
  <c r="U17" i="90"/>
  <c r="U28" i="90"/>
  <c r="X28" i="90" s="1"/>
  <c r="U26" i="90"/>
  <c r="U37" i="90"/>
  <c r="V76" i="90"/>
  <c r="U45" i="90"/>
  <c r="U47" i="90"/>
  <c r="V50" i="90"/>
  <c r="V49" i="90"/>
  <c r="V51" i="90"/>
  <c r="V52" i="90"/>
  <c r="U33" i="90"/>
  <c r="U39" i="90"/>
  <c r="U41" i="90"/>
  <c r="V79" i="90"/>
  <c r="U55" i="90"/>
  <c r="U56" i="90"/>
  <c r="X57" i="90"/>
  <c r="U57" i="90"/>
  <c r="X58" i="90"/>
  <c r="U58" i="90"/>
  <c r="X59" i="90"/>
  <c r="U59" i="90"/>
  <c r="X60" i="90"/>
  <c r="V60" i="90"/>
  <c r="U60" i="90"/>
  <c r="V61" i="90"/>
  <c r="U61" i="90"/>
  <c r="X62" i="90"/>
  <c r="U62" i="90"/>
  <c r="X63" i="90"/>
  <c r="U63" i="90"/>
  <c r="V64" i="90"/>
  <c r="U64" i="90"/>
  <c r="U65" i="90"/>
  <c r="U66" i="90"/>
  <c r="X67" i="90"/>
  <c r="U67" i="90"/>
  <c r="X68" i="90"/>
  <c r="U68" i="90"/>
  <c r="X69" i="90"/>
  <c r="V69" i="90"/>
  <c r="U69" i="90"/>
  <c r="X70" i="90"/>
  <c r="U70" i="90"/>
  <c r="U71" i="90"/>
  <c r="X72" i="90"/>
  <c r="U72" i="90"/>
  <c r="X73" i="90"/>
  <c r="U73" i="90"/>
  <c r="V74" i="90"/>
  <c r="U74" i="90"/>
  <c r="U7" i="90"/>
  <c r="X9" i="90"/>
  <c r="U9" i="90"/>
  <c r="X10" i="90"/>
  <c r="U10" i="90"/>
  <c r="X11" i="90"/>
  <c r="U11" i="90"/>
  <c r="U12" i="90"/>
  <c r="X13" i="90"/>
  <c r="U13" i="90"/>
  <c r="U14" i="90"/>
  <c r="U15" i="90"/>
  <c r="U16" i="90"/>
  <c r="U18" i="90"/>
  <c r="U19" i="90"/>
  <c r="U20" i="90"/>
  <c r="U23" i="90"/>
  <c r="X24" i="90"/>
  <c r="U24" i="90"/>
  <c r="U27" i="90"/>
  <c r="X29" i="90"/>
  <c r="U29" i="90"/>
  <c r="X30" i="90"/>
  <c r="U30" i="90"/>
  <c r="U31" i="90"/>
  <c r="U32" i="90"/>
  <c r="U34" i="90"/>
  <c r="U35" i="90"/>
  <c r="U36" i="90"/>
  <c r="X38" i="90"/>
  <c r="U38" i="90"/>
  <c r="U43" i="90"/>
  <c r="U44" i="90"/>
  <c r="X46" i="90"/>
  <c r="U46" i="90"/>
  <c r="U48" i="90"/>
  <c r="U50" i="90"/>
  <c r="U51" i="90"/>
  <c r="X52" i="90"/>
  <c r="V53" i="90"/>
  <c r="U53" i="90"/>
  <c r="X54" i="90"/>
  <c r="V54" i="90"/>
  <c r="U54" i="90"/>
  <c r="X77" i="90"/>
  <c r="V77" i="90"/>
  <c r="X78" i="90"/>
  <c r="V78" i="90"/>
  <c r="U78" i="90"/>
  <c r="X79" i="90"/>
  <c r="U79" i="90"/>
  <c r="X80" i="90"/>
  <c r="U80" i="90"/>
  <c r="V81" i="90"/>
  <c r="U81" i="90"/>
  <c r="X82" i="90"/>
  <c r="V82" i="90"/>
  <c r="U82" i="90"/>
  <c r="X83" i="90"/>
  <c r="V83" i="90"/>
  <c r="U83" i="90"/>
  <c r="V84" i="90"/>
  <c r="U84" i="90"/>
  <c r="V56" i="88"/>
  <c r="V57" i="88"/>
  <c r="V55" i="88"/>
  <c r="V26" i="88"/>
  <c r="V52" i="88"/>
  <c r="V33" i="88"/>
  <c r="V25" i="88"/>
  <c r="V49" i="88"/>
  <c r="X52" i="88"/>
  <c r="V63" i="88"/>
  <c r="U64" i="88"/>
  <c r="U34" i="88"/>
  <c r="V7" i="88"/>
  <c r="U56" i="88"/>
  <c r="V54" i="88"/>
  <c r="V62" i="88"/>
  <c r="V29" i="88"/>
  <c r="X29" i="88" s="1"/>
  <c r="V60" i="88"/>
  <c r="X59" i="88"/>
  <c r="V38" i="88"/>
  <c r="V16" i="88"/>
  <c r="V14" i="88"/>
  <c r="X28" i="88"/>
  <c r="V30" i="88"/>
  <c r="X30" i="88" s="1"/>
  <c r="X10" i="88"/>
  <c r="V59" i="88"/>
  <c r="V23" i="88"/>
  <c r="V36" i="88"/>
  <c r="V44" i="88"/>
  <c r="U12" i="88"/>
  <c r="V51" i="88"/>
  <c r="V35" i="88"/>
  <c r="U26" i="88"/>
  <c r="V20" i="88"/>
  <c r="V50" i="88"/>
  <c r="V19" i="88"/>
  <c r="V11" i="88"/>
  <c r="V32" i="88"/>
  <c r="V9" i="88"/>
  <c r="V18" i="88"/>
  <c r="V31" i="88"/>
  <c r="V48" i="88"/>
  <c r="U39" i="88"/>
  <c r="V39" i="88" s="1"/>
  <c r="X54" i="88"/>
  <c r="X57" i="88"/>
  <c r="U55" i="88"/>
  <c r="U61" i="88"/>
  <c r="U21" i="88"/>
  <c r="V21" i="88" s="1"/>
  <c r="U52" i="88"/>
  <c r="U43" i="88"/>
  <c r="V10" i="88"/>
  <c r="U15" i="88"/>
  <c r="U33" i="88"/>
  <c r="X62" i="88"/>
  <c r="U53" i="88"/>
  <c r="U11" i="88"/>
  <c r="X9" i="88"/>
  <c r="X60" i="88"/>
  <c r="V27" i="88"/>
  <c r="X38" i="88"/>
  <c r="U22" i="88"/>
  <c r="V22" i="88" s="1"/>
  <c r="X17" i="88"/>
  <c r="X13" i="88"/>
  <c r="U58" i="88"/>
  <c r="U46" i="88"/>
  <c r="V46" i="88" s="1"/>
  <c r="U24" i="88"/>
  <c r="V24" i="88" s="1"/>
  <c r="U13" i="88"/>
  <c r="X63" i="88"/>
  <c r="X58" i="88"/>
  <c r="U30" i="100" l="1"/>
  <c r="R30" i="100" s="1"/>
  <c r="X30" i="100" s="1"/>
  <c r="V90" i="92"/>
  <c r="Y88" i="92"/>
  <c r="U85" i="90"/>
  <c r="V85" i="90"/>
  <c r="U65" i="88"/>
  <c r="V65" i="88"/>
  <c r="Y85" i="90" l="1"/>
  <c r="V87" i="90"/>
  <c r="Y65" i="88"/>
  <c r="R16" i="84" l="1"/>
  <c r="R15" i="84"/>
  <c r="X54" i="84" l="1"/>
  <c r="Q53" i="84"/>
  <c r="Q56" i="84"/>
  <c r="Q55" i="84"/>
  <c r="Q49" i="84"/>
  <c r="Q45" i="84"/>
  <c r="Q38" i="84"/>
  <c r="Q33" i="84"/>
  <c r="Q18" i="84"/>
  <c r="V43" i="84"/>
  <c r="Q16" i="84"/>
  <c r="V54" i="84"/>
  <c r="Q15" i="84"/>
  <c r="S61" i="84"/>
  <c r="V61" i="84" s="1"/>
  <c r="S54" i="84"/>
  <c r="S47" i="84"/>
  <c r="S43" i="84"/>
  <c r="S42" i="84"/>
  <c r="S21" i="84"/>
  <c r="V21" i="84" s="1"/>
  <c r="S18" i="84"/>
  <c r="S13" i="84"/>
  <c r="V13" i="84" s="1"/>
  <c r="S12" i="84"/>
  <c r="V12" i="84" s="1"/>
  <c r="S11" i="84"/>
  <c r="V11" i="84" s="1"/>
  <c r="S10" i="84"/>
  <c r="V10" i="84" s="1"/>
  <c r="S14" i="84"/>
  <c r="V14" i="84" s="1"/>
  <c r="S15" i="84"/>
  <c r="S16" i="84"/>
  <c r="S17" i="84"/>
  <c r="X17" i="84" s="1"/>
  <c r="S19" i="84"/>
  <c r="V19" i="84" s="1"/>
  <c r="S20" i="84"/>
  <c r="V20" i="84" s="1"/>
  <c r="S22" i="84"/>
  <c r="V22" i="84" s="1"/>
  <c r="S23" i="84"/>
  <c r="V23" i="84" s="1"/>
  <c r="S24" i="84"/>
  <c r="X24" i="84" s="1"/>
  <c r="S25" i="84"/>
  <c r="V25" i="84" s="1"/>
  <c r="S26" i="84"/>
  <c r="V26" i="84" s="1"/>
  <c r="S27" i="84"/>
  <c r="V27" i="84" s="1"/>
  <c r="S28" i="84"/>
  <c r="V28" i="84" s="1"/>
  <c r="S29" i="84"/>
  <c r="V29" i="84" s="1"/>
  <c r="X29" i="84" s="1"/>
  <c r="S30" i="84"/>
  <c r="V30" i="84" s="1"/>
  <c r="X30" i="84" s="1"/>
  <c r="S31" i="84"/>
  <c r="S32" i="84"/>
  <c r="V32" i="84" s="1"/>
  <c r="S33" i="84"/>
  <c r="S34" i="84"/>
  <c r="V34" i="84" s="1"/>
  <c r="S35" i="84"/>
  <c r="S36" i="84"/>
  <c r="S37" i="84"/>
  <c r="S38" i="84"/>
  <c r="S39" i="84"/>
  <c r="V39" i="84" s="1"/>
  <c r="S40" i="84"/>
  <c r="V40" i="84" s="1"/>
  <c r="S41" i="84"/>
  <c r="V41" i="84" s="1"/>
  <c r="S44" i="84"/>
  <c r="V44" i="84" s="1"/>
  <c r="S45" i="84"/>
  <c r="S46" i="84"/>
  <c r="X46" i="84" s="1"/>
  <c r="S48" i="84"/>
  <c r="V48" i="84" s="1"/>
  <c r="S49" i="84"/>
  <c r="S50" i="84"/>
  <c r="S51" i="84"/>
  <c r="S52" i="84"/>
  <c r="X52" i="84" s="1"/>
  <c r="S53" i="84"/>
  <c r="S55" i="84"/>
  <c r="S56" i="84"/>
  <c r="S57" i="84"/>
  <c r="V57" i="84" s="1"/>
  <c r="S58" i="84"/>
  <c r="V58" i="84" s="1"/>
  <c r="S59" i="84"/>
  <c r="V59" i="84" s="1"/>
  <c r="S60" i="84"/>
  <c r="V60" i="84" s="1"/>
  <c r="S62" i="84"/>
  <c r="V62" i="84" s="1"/>
  <c r="S63" i="84"/>
  <c r="V63" i="84" s="1"/>
  <c r="S64" i="84"/>
  <c r="V64" i="84" s="1"/>
  <c r="Q7" i="84"/>
  <c r="S7" i="84"/>
  <c r="X28" i="84" l="1"/>
  <c r="X13" i="84"/>
  <c r="X38" i="84"/>
  <c r="X57" i="84"/>
  <c r="X58" i="84"/>
  <c r="X59" i="84"/>
  <c r="X10" i="84"/>
  <c r="X60" i="84"/>
  <c r="X11" i="84"/>
  <c r="X62" i="84"/>
  <c r="X63" i="84"/>
  <c r="V38" i="84"/>
  <c r="V18" i="84"/>
  <c r="V53" i="84"/>
  <c r="V45" i="84"/>
  <c r="V55" i="84"/>
  <c r="V49" i="84"/>
  <c r="V56" i="84"/>
  <c r="V33" i="84"/>
  <c r="V15" i="84"/>
  <c r="V16" i="84"/>
  <c r="V7" i="84"/>
  <c r="S68" i="85" l="1"/>
  <c r="U68" i="85" s="1"/>
  <c r="V68" i="85" s="1"/>
  <c r="A68" i="85"/>
  <c r="S67" i="85"/>
  <c r="U67" i="85" s="1"/>
  <c r="V67" i="85" s="1"/>
  <c r="A67" i="85"/>
  <c r="S66" i="85"/>
  <c r="A66" i="85"/>
  <c r="S65" i="85"/>
  <c r="U65" i="85" s="1"/>
  <c r="V65" i="85" s="1"/>
  <c r="A65" i="85"/>
  <c r="S64" i="85"/>
  <c r="U64" i="85" s="1"/>
  <c r="V64" i="85" s="1"/>
  <c r="A64" i="85"/>
  <c r="S63" i="85"/>
  <c r="U63" i="85" s="1"/>
  <c r="V63" i="85" s="1"/>
  <c r="A63" i="85"/>
  <c r="S62" i="85"/>
  <c r="A62" i="85"/>
  <c r="S61" i="85"/>
  <c r="U61" i="85" s="1"/>
  <c r="V61" i="85" s="1"/>
  <c r="A61" i="85"/>
  <c r="S60" i="85"/>
  <c r="U60" i="85" s="1"/>
  <c r="V60" i="85" s="1"/>
  <c r="A60" i="85"/>
  <c r="S59" i="85"/>
  <c r="U59" i="85" s="1"/>
  <c r="V59" i="85" s="1"/>
  <c r="A59" i="85"/>
  <c r="S58" i="85"/>
  <c r="U58" i="85" s="1"/>
  <c r="V58" i="85" s="1"/>
  <c r="A58" i="85"/>
  <c r="S57" i="85"/>
  <c r="U57" i="85" s="1"/>
  <c r="V57" i="85" s="1"/>
  <c r="A57" i="85"/>
  <c r="S56" i="85"/>
  <c r="U56" i="85" s="1"/>
  <c r="V56" i="85" s="1"/>
  <c r="A56" i="85"/>
  <c r="S55" i="85"/>
  <c r="A55" i="85"/>
  <c r="S54" i="85"/>
  <c r="U54" i="85" s="1"/>
  <c r="V54" i="85" s="1"/>
  <c r="A54" i="85"/>
  <c r="S53" i="85"/>
  <c r="A53" i="85"/>
  <c r="S52" i="85"/>
  <c r="U52" i="85" s="1"/>
  <c r="V52" i="85" s="1"/>
  <c r="A52" i="85"/>
  <c r="S51" i="85"/>
  <c r="A51" i="85"/>
  <c r="S50" i="85"/>
  <c r="U50" i="85" s="1"/>
  <c r="V50" i="85" s="1"/>
  <c r="A50" i="85"/>
  <c r="S49" i="85"/>
  <c r="U49" i="85" s="1"/>
  <c r="V49" i="85" s="1"/>
  <c r="A49" i="85"/>
  <c r="S48" i="85"/>
  <c r="U48" i="85" s="1"/>
  <c r="V48" i="85" s="1"/>
  <c r="A48" i="85"/>
  <c r="S47" i="85"/>
  <c r="U47" i="85" s="1"/>
  <c r="V47" i="85" s="1"/>
  <c r="A47" i="85"/>
  <c r="S46" i="85"/>
  <c r="U46" i="85" s="1"/>
  <c r="V46" i="85" s="1"/>
  <c r="A46" i="85"/>
  <c r="S45" i="85"/>
  <c r="U45" i="85" s="1"/>
  <c r="V45" i="85" s="1"/>
  <c r="A45" i="85"/>
  <c r="S44" i="85"/>
  <c r="U44" i="85" s="1"/>
  <c r="V44" i="85" s="1"/>
  <c r="A44" i="85"/>
  <c r="S43" i="85"/>
  <c r="U43" i="85" s="1"/>
  <c r="V43" i="85" s="1"/>
  <c r="A43" i="85"/>
  <c r="S42" i="85"/>
  <c r="U42" i="85" s="1"/>
  <c r="V42" i="85" s="1"/>
  <c r="A42" i="85"/>
  <c r="S41" i="85"/>
  <c r="U41" i="85" s="1"/>
  <c r="V41" i="85" s="1"/>
  <c r="A41" i="85"/>
  <c r="S40" i="85"/>
  <c r="U40" i="85" s="1"/>
  <c r="V40" i="85" s="1"/>
  <c r="A40" i="85"/>
  <c r="S39" i="85"/>
  <c r="U39" i="85" s="1"/>
  <c r="V39" i="85" s="1"/>
  <c r="A39" i="85"/>
  <c r="S38" i="85"/>
  <c r="U38" i="85" s="1"/>
  <c r="V38" i="85" s="1"/>
  <c r="A38" i="85"/>
  <c r="S37" i="85"/>
  <c r="U37" i="85" s="1"/>
  <c r="V37" i="85" s="1"/>
  <c r="A37" i="85"/>
  <c r="S36" i="85"/>
  <c r="U36" i="85" s="1"/>
  <c r="V36" i="85" s="1"/>
  <c r="A36" i="85"/>
  <c r="S35" i="85"/>
  <c r="A35" i="85"/>
  <c r="S34" i="85"/>
  <c r="U34" i="85" s="1"/>
  <c r="V34" i="85" s="1"/>
  <c r="A34" i="85"/>
  <c r="S33" i="85"/>
  <c r="U33" i="85" s="1"/>
  <c r="V33" i="85" s="1"/>
  <c r="A33" i="85"/>
  <c r="S32" i="85"/>
  <c r="U32" i="85" s="1"/>
  <c r="V32" i="85" s="1"/>
  <c r="A32" i="85"/>
  <c r="S31" i="85"/>
  <c r="U31" i="85" s="1"/>
  <c r="V31" i="85" s="1"/>
  <c r="A31" i="85"/>
  <c r="S30" i="85"/>
  <c r="U30" i="85" s="1"/>
  <c r="V30" i="85" s="1"/>
  <c r="A30" i="85"/>
  <c r="S29" i="85"/>
  <c r="U29" i="85" s="1"/>
  <c r="V29" i="85" s="1"/>
  <c r="A29" i="85"/>
  <c r="S28" i="85"/>
  <c r="U28" i="85" s="1"/>
  <c r="V28" i="85" s="1"/>
  <c r="A28" i="85"/>
  <c r="S27" i="85"/>
  <c r="U27" i="85" s="1"/>
  <c r="V27" i="85" s="1"/>
  <c r="A27" i="85"/>
  <c r="S26" i="85"/>
  <c r="U26" i="85" s="1"/>
  <c r="V26" i="85" s="1"/>
  <c r="A26" i="85"/>
  <c r="S25" i="85"/>
  <c r="U25" i="85" s="1"/>
  <c r="V25" i="85" s="1"/>
  <c r="A25" i="85"/>
  <c r="S24" i="85"/>
  <c r="U24" i="85" s="1"/>
  <c r="V24" i="85" s="1"/>
  <c r="A24" i="85"/>
  <c r="S23" i="85"/>
  <c r="A23" i="85"/>
  <c r="S22" i="85"/>
  <c r="U22" i="85" s="1"/>
  <c r="V22" i="85" s="1"/>
  <c r="A22" i="85"/>
  <c r="S21" i="85"/>
  <c r="U21" i="85" s="1"/>
  <c r="V21" i="85" s="1"/>
  <c r="A21" i="85"/>
  <c r="S20" i="85"/>
  <c r="U20" i="85" s="1"/>
  <c r="V20" i="85" s="1"/>
  <c r="A20" i="85"/>
  <c r="S19" i="85"/>
  <c r="U19" i="85" s="1"/>
  <c r="V19" i="85"/>
  <c r="A19" i="85"/>
  <c r="S18" i="85"/>
  <c r="U18" i="85" s="1"/>
  <c r="V18" i="85" s="1"/>
  <c r="A18" i="85"/>
  <c r="S17" i="85"/>
  <c r="U17" i="85" s="1"/>
  <c r="V17" i="85" s="1"/>
  <c r="A17" i="85"/>
  <c r="S16" i="85"/>
  <c r="U16" i="85" s="1"/>
  <c r="V16" i="85" s="1"/>
  <c r="A16" i="85"/>
  <c r="S15" i="85"/>
  <c r="U15" i="85" s="1"/>
  <c r="V15" i="85" s="1"/>
  <c r="A15" i="85"/>
  <c r="S14" i="85"/>
  <c r="U14" i="85" s="1"/>
  <c r="V14" i="85"/>
  <c r="A14" i="85"/>
  <c r="S13" i="85"/>
  <c r="U13" i="85" s="1"/>
  <c r="V13" i="85" s="1"/>
  <c r="A13" i="85"/>
  <c r="S12" i="85"/>
  <c r="U12" i="85" s="1"/>
  <c r="V12" i="85" s="1"/>
  <c r="A12" i="85"/>
  <c r="S11" i="85"/>
  <c r="U11" i="85" s="1"/>
  <c r="V11" i="85"/>
  <c r="A11" i="85"/>
  <c r="S10" i="85"/>
  <c r="U10" i="85" s="1"/>
  <c r="V10" i="85" s="1"/>
  <c r="A10" i="85"/>
  <c r="S9" i="85"/>
  <c r="U9" i="85" s="1"/>
  <c r="V9" i="85"/>
  <c r="A9" i="85"/>
  <c r="S8" i="85"/>
  <c r="U8" i="85" s="1"/>
  <c r="V8" i="85" s="1"/>
  <c r="A8" i="85"/>
  <c r="S7" i="85"/>
  <c r="U7" i="85" s="1"/>
  <c r="A7" i="85"/>
  <c r="A64" i="84"/>
  <c r="U63" i="84"/>
  <c r="A63" i="84"/>
  <c r="U62" i="84"/>
  <c r="A62" i="84"/>
  <c r="U61" i="84"/>
  <c r="A61" i="84"/>
  <c r="A60" i="84"/>
  <c r="U59" i="84"/>
  <c r="A59" i="84"/>
  <c r="U58" i="84"/>
  <c r="A58" i="84"/>
  <c r="U57" i="84"/>
  <c r="A57" i="84"/>
  <c r="U56" i="84"/>
  <c r="A56" i="84"/>
  <c r="U55" i="84"/>
  <c r="A55" i="84"/>
  <c r="A54" i="84"/>
  <c r="U53" i="84"/>
  <c r="A53" i="84"/>
  <c r="A52" i="84"/>
  <c r="U51" i="84"/>
  <c r="V51" i="84" s="1"/>
  <c r="A51" i="84"/>
  <c r="A50" i="84"/>
  <c r="U49" i="84"/>
  <c r="A49" i="84"/>
  <c r="U48" i="84"/>
  <c r="A48" i="84"/>
  <c r="U47" i="84"/>
  <c r="V47" i="84" s="1"/>
  <c r="A47" i="84"/>
  <c r="U46" i="84"/>
  <c r="V46" i="84" s="1"/>
  <c r="A46" i="84"/>
  <c r="U45" i="84"/>
  <c r="A45" i="84"/>
  <c r="U44" i="84"/>
  <c r="A44" i="84"/>
  <c r="U43" i="84"/>
  <c r="A43" i="84"/>
  <c r="U42" i="84"/>
  <c r="V42" i="84" s="1"/>
  <c r="A42" i="84"/>
  <c r="U41" i="84"/>
  <c r="A41" i="84"/>
  <c r="U40" i="84"/>
  <c r="A40" i="84"/>
  <c r="U39" i="84"/>
  <c r="A39" i="84"/>
  <c r="U38" i="84"/>
  <c r="A38" i="84"/>
  <c r="U37" i="84"/>
  <c r="V37" i="84" s="1"/>
  <c r="A37" i="84"/>
  <c r="U36" i="84"/>
  <c r="V36" i="84" s="1"/>
  <c r="A36" i="84"/>
  <c r="U35" i="84"/>
  <c r="V35" i="84" s="1"/>
  <c r="A35" i="84"/>
  <c r="A34" i="84"/>
  <c r="U33" i="84"/>
  <c r="A33" i="84"/>
  <c r="U32" i="84"/>
  <c r="A32" i="84"/>
  <c r="U31" i="84"/>
  <c r="V31" i="84" s="1"/>
  <c r="A31" i="84"/>
  <c r="U30" i="84"/>
  <c r="A30" i="84"/>
  <c r="U29" i="84"/>
  <c r="A29" i="84"/>
  <c r="U28" i="84"/>
  <c r="A28" i="84"/>
  <c r="U27" i="84"/>
  <c r="A27" i="84"/>
  <c r="U26" i="84"/>
  <c r="A26" i="84"/>
  <c r="U25" i="84"/>
  <c r="A25" i="84"/>
  <c r="U24" i="84"/>
  <c r="V24" i="84" s="1"/>
  <c r="A24" i="84"/>
  <c r="U23" i="84"/>
  <c r="A23" i="84"/>
  <c r="A22" i="84"/>
  <c r="U21" i="84"/>
  <c r="A21" i="84"/>
  <c r="U20" i="84"/>
  <c r="U19" i="84"/>
  <c r="U18" i="84"/>
  <c r="U17" i="84"/>
  <c r="V17" i="84" s="1"/>
  <c r="U16" i="84"/>
  <c r="U15" i="84"/>
  <c r="U14" i="84"/>
  <c r="U13" i="84"/>
  <c r="U12" i="84"/>
  <c r="U11" i="84"/>
  <c r="U10" i="84"/>
  <c r="S9" i="84"/>
  <c r="S8" i="84"/>
  <c r="U8" i="84" s="1"/>
  <c r="V8" i="84" s="1"/>
  <c r="U7" i="84"/>
  <c r="Y2" i="84"/>
  <c r="P51" i="83"/>
  <c r="Q51" i="83"/>
  <c r="R35" i="83"/>
  <c r="Q14" i="83"/>
  <c r="Q11" i="83"/>
  <c r="V11" i="83" s="1"/>
  <c r="Q9" i="83"/>
  <c r="Q19" i="83"/>
  <c r="S15" i="83"/>
  <c r="U15" i="83" s="1"/>
  <c r="V15" i="83" s="1"/>
  <c r="S51" i="83"/>
  <c r="U51" i="83" s="1"/>
  <c r="V51" i="83" s="1"/>
  <c r="S43" i="83"/>
  <c r="U43" i="83" s="1"/>
  <c r="V43" i="83" s="1"/>
  <c r="S41" i="83"/>
  <c r="U41" i="83" s="1"/>
  <c r="V41" i="83" s="1"/>
  <c r="S37" i="83"/>
  <c r="U37" i="83" s="1"/>
  <c r="V37" i="83" s="1"/>
  <c r="S36" i="83"/>
  <c r="U36" i="83" s="1"/>
  <c r="V36" i="83" s="1"/>
  <c r="S50" i="83"/>
  <c r="U50" i="83" s="1"/>
  <c r="V50" i="83" s="1"/>
  <c r="S48" i="83"/>
  <c r="U48" i="83" s="1"/>
  <c r="V48" i="83" s="1"/>
  <c r="S47" i="83"/>
  <c r="U47" i="83" s="1"/>
  <c r="V47" i="83" s="1"/>
  <c r="S46" i="83"/>
  <c r="U46" i="83" s="1"/>
  <c r="V46" i="83" s="1"/>
  <c r="S45" i="83"/>
  <c r="U45" i="83" s="1"/>
  <c r="V45" i="83" s="1"/>
  <c r="S44" i="83"/>
  <c r="U44" i="83" s="1"/>
  <c r="V44" i="83" s="1"/>
  <c r="S42" i="83"/>
  <c r="U42" i="83" s="1"/>
  <c r="V42" i="83" s="1"/>
  <c r="S38" i="83"/>
  <c r="U38" i="83" s="1"/>
  <c r="V38" i="83" s="1"/>
  <c r="S35" i="83"/>
  <c r="S34" i="83"/>
  <c r="U34" i="83" s="1"/>
  <c r="V34" i="83" s="1"/>
  <c r="S33" i="83"/>
  <c r="U33" i="83" s="1"/>
  <c r="V33" i="83" s="1"/>
  <c r="S32" i="83"/>
  <c r="U32" i="83" s="1"/>
  <c r="V32" i="83" s="1"/>
  <c r="S31" i="83"/>
  <c r="U31" i="83" s="1"/>
  <c r="V31" i="83" s="1"/>
  <c r="S29" i="83"/>
  <c r="U29" i="83" s="1"/>
  <c r="V29" i="83" s="1"/>
  <c r="S27" i="83"/>
  <c r="U27" i="83" s="1"/>
  <c r="V27" i="83" s="1"/>
  <c r="S22" i="83"/>
  <c r="U22" i="83" s="1"/>
  <c r="V22" i="83" s="1"/>
  <c r="S21" i="83"/>
  <c r="U21" i="83" s="1"/>
  <c r="V21" i="83" s="1"/>
  <c r="S20" i="83"/>
  <c r="U20" i="83" s="1"/>
  <c r="V20" i="83" s="1"/>
  <c r="S19" i="83"/>
  <c r="U19" i="83" s="1"/>
  <c r="S14" i="83"/>
  <c r="U14" i="83" s="1"/>
  <c r="S11" i="83"/>
  <c r="S7" i="83"/>
  <c r="U7" i="83"/>
  <c r="V7" i="83" s="1"/>
  <c r="S9" i="83"/>
  <c r="U9" i="83" s="1"/>
  <c r="S10" i="83"/>
  <c r="U10" i="83" s="1"/>
  <c r="V10" i="83" s="1"/>
  <c r="U11" i="83"/>
  <c r="S12" i="83"/>
  <c r="U12" i="83" s="1"/>
  <c r="V12" i="83" s="1"/>
  <c r="S13" i="83"/>
  <c r="U13" i="83" s="1"/>
  <c r="V13" i="83" s="1"/>
  <c r="S16" i="83"/>
  <c r="U16" i="83" s="1"/>
  <c r="V16" i="83" s="1"/>
  <c r="S17" i="83"/>
  <c r="U17" i="83" s="1"/>
  <c r="V17" i="83" s="1"/>
  <c r="S18" i="83"/>
  <c r="U18" i="83" s="1"/>
  <c r="V18" i="83" s="1"/>
  <c r="S23" i="83"/>
  <c r="V23" i="83" s="1"/>
  <c r="S24" i="83"/>
  <c r="U24" i="83" s="1"/>
  <c r="V24" i="83" s="1"/>
  <c r="S25" i="83"/>
  <c r="U25" i="83" s="1"/>
  <c r="V25" i="83" s="1"/>
  <c r="S26" i="83"/>
  <c r="U26" i="83" s="1"/>
  <c r="V26" i="83" s="1"/>
  <c r="S28" i="83"/>
  <c r="U28" i="83" s="1"/>
  <c r="V28" i="83" s="1"/>
  <c r="S30" i="83"/>
  <c r="U30" i="83" s="1"/>
  <c r="V30" i="83" s="1"/>
  <c r="S39" i="83"/>
  <c r="U39" i="83" s="1"/>
  <c r="V39" i="83" s="1"/>
  <c r="S40" i="83"/>
  <c r="U40" i="83" s="1"/>
  <c r="V40" i="83" s="1"/>
  <c r="S49" i="83"/>
  <c r="U49" i="83" s="1"/>
  <c r="V49" i="83" s="1"/>
  <c r="S52" i="83"/>
  <c r="U52" i="83" s="1"/>
  <c r="V52" i="83" s="1"/>
  <c r="S53" i="83"/>
  <c r="V53" i="83" s="1"/>
  <c r="S54" i="83"/>
  <c r="U54" i="83" s="1"/>
  <c r="V54" i="83" s="1"/>
  <c r="S55" i="83"/>
  <c r="U55" i="83" s="1"/>
  <c r="S56" i="83"/>
  <c r="U56" i="83" s="1"/>
  <c r="V56" i="83" s="1"/>
  <c r="S57" i="83"/>
  <c r="U57" i="83" s="1"/>
  <c r="V57" i="83" s="1"/>
  <c r="S58" i="83"/>
  <c r="U58" i="83" s="1"/>
  <c r="V58" i="83" s="1"/>
  <c r="S59" i="83"/>
  <c r="U59" i="83" s="1"/>
  <c r="V59" i="83" s="1"/>
  <c r="S60" i="83"/>
  <c r="U60" i="83" s="1"/>
  <c r="V60" i="83" s="1"/>
  <c r="S61" i="83"/>
  <c r="U61" i="83" s="1"/>
  <c r="V61" i="83" s="1"/>
  <c r="S62" i="83"/>
  <c r="V62" i="83" s="1"/>
  <c r="S63" i="83"/>
  <c r="U63" i="83" s="1"/>
  <c r="V63" i="83" s="1"/>
  <c r="S64" i="83"/>
  <c r="U64" i="83" s="1"/>
  <c r="V64" i="83" s="1"/>
  <c r="S65" i="83"/>
  <c r="U65" i="83" s="1"/>
  <c r="V65" i="83" s="1"/>
  <c r="S66" i="83"/>
  <c r="U66" i="83" s="1"/>
  <c r="S67" i="83"/>
  <c r="U67" i="83" s="1"/>
  <c r="V67" i="83" s="1"/>
  <c r="S68" i="83"/>
  <c r="U68" i="83" s="1"/>
  <c r="V68" i="83" s="1"/>
  <c r="A68" i="83"/>
  <c r="A67" i="83"/>
  <c r="A66" i="83"/>
  <c r="A65" i="83"/>
  <c r="A64" i="83"/>
  <c r="A63" i="83"/>
  <c r="A62" i="83"/>
  <c r="A61" i="83"/>
  <c r="A60" i="83"/>
  <c r="A59" i="83"/>
  <c r="A58" i="83"/>
  <c r="A57" i="83"/>
  <c r="A56" i="83"/>
  <c r="A55" i="83"/>
  <c r="A54" i="83"/>
  <c r="A53" i="83"/>
  <c r="A52" i="83"/>
  <c r="A51" i="83"/>
  <c r="A50" i="83"/>
  <c r="A49" i="83"/>
  <c r="A48" i="83"/>
  <c r="A47" i="83"/>
  <c r="A46" i="83"/>
  <c r="A45" i="83"/>
  <c r="A44" i="83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S8" i="83"/>
  <c r="U8" i="83" s="1"/>
  <c r="V8" i="83" s="1"/>
  <c r="A8" i="83"/>
  <c r="A7" i="83"/>
  <c r="Y2" i="83"/>
  <c r="S52" i="82"/>
  <c r="U52" i="82" s="1"/>
  <c r="V52" i="82" s="1"/>
  <c r="Q55" i="82"/>
  <c r="P47" i="82"/>
  <c r="S42" i="82"/>
  <c r="Q35" i="82"/>
  <c r="Q36" i="82"/>
  <c r="Q34" i="82"/>
  <c r="S19" i="82"/>
  <c r="S15" i="82"/>
  <c r="S11" i="82"/>
  <c r="U11" i="82" s="1"/>
  <c r="V11" i="82" s="1"/>
  <c r="S7" i="82"/>
  <c r="U7" i="82" s="1"/>
  <c r="V7" i="82" s="1"/>
  <c r="Q66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S55" i="82"/>
  <c r="U55" i="82" s="1"/>
  <c r="S56" i="82"/>
  <c r="U56" i="82" s="1"/>
  <c r="V56" i="82" s="1"/>
  <c r="S57" i="82"/>
  <c r="U57" i="82" s="1"/>
  <c r="V57" i="82" s="1"/>
  <c r="S58" i="82"/>
  <c r="U58" i="82" s="1"/>
  <c r="V58" i="82" s="1"/>
  <c r="S59" i="82"/>
  <c r="S60" i="82"/>
  <c r="S61" i="82"/>
  <c r="S62" i="82"/>
  <c r="V62" i="82" s="1"/>
  <c r="S63" i="82"/>
  <c r="U63" i="82" s="1"/>
  <c r="V63" i="82" s="1"/>
  <c r="S64" i="82"/>
  <c r="U64" i="82" s="1"/>
  <c r="V64" i="82" s="1"/>
  <c r="S65" i="82"/>
  <c r="S66" i="82"/>
  <c r="U66" i="82" s="1"/>
  <c r="S67" i="82"/>
  <c r="S68" i="82"/>
  <c r="S8" i="82"/>
  <c r="S9" i="82"/>
  <c r="S10" i="82"/>
  <c r="U10" i="82" s="1"/>
  <c r="V10" i="82" s="1"/>
  <c r="S12" i="82"/>
  <c r="U12" i="82" s="1"/>
  <c r="V12" i="82" s="1"/>
  <c r="S13" i="82"/>
  <c r="U13" i="82" s="1"/>
  <c r="V13" i="82" s="1"/>
  <c r="S14" i="82"/>
  <c r="U14" i="82" s="1"/>
  <c r="V14" i="82" s="1"/>
  <c r="S16" i="82"/>
  <c r="S17" i="82"/>
  <c r="S18" i="82"/>
  <c r="S20" i="82"/>
  <c r="U20" i="82" s="1"/>
  <c r="V20" i="82" s="1"/>
  <c r="S21" i="82"/>
  <c r="U21" i="82" s="1"/>
  <c r="V21" i="82" s="1"/>
  <c r="S22" i="82"/>
  <c r="U22" i="82" s="1"/>
  <c r="V22" i="82" s="1"/>
  <c r="S23" i="82"/>
  <c r="U23" i="82" s="1"/>
  <c r="S24" i="82"/>
  <c r="U24" i="82" s="1"/>
  <c r="V24" i="82" s="1"/>
  <c r="S25" i="82"/>
  <c r="S26" i="82"/>
  <c r="S27" i="82"/>
  <c r="S28" i="82"/>
  <c r="S29" i="82"/>
  <c r="U29" i="82" s="1"/>
  <c r="V29" i="82" s="1"/>
  <c r="S30" i="82"/>
  <c r="U30" i="82" s="1"/>
  <c r="V30" i="82" s="1"/>
  <c r="S31" i="82"/>
  <c r="U31" i="82" s="1"/>
  <c r="V31" i="82" s="1"/>
  <c r="S32" i="82"/>
  <c r="U32" i="82" s="1"/>
  <c r="V32" i="82" s="1"/>
  <c r="S33" i="82"/>
  <c r="S34" i="82"/>
  <c r="S35" i="82"/>
  <c r="S36" i="82"/>
  <c r="S37" i="82"/>
  <c r="U37" i="82" s="1"/>
  <c r="V37" i="82" s="1"/>
  <c r="S38" i="82"/>
  <c r="U38" i="82" s="1"/>
  <c r="V38" i="82" s="1"/>
  <c r="S39" i="82"/>
  <c r="U39" i="82" s="1"/>
  <c r="V39" i="82" s="1"/>
  <c r="S40" i="82"/>
  <c r="U40" i="82" s="1"/>
  <c r="V40" i="82" s="1"/>
  <c r="S41" i="82"/>
  <c r="S43" i="82"/>
  <c r="S44" i="82"/>
  <c r="S45" i="82"/>
  <c r="S46" i="82"/>
  <c r="S47" i="82"/>
  <c r="U47" i="82" s="1"/>
  <c r="V47" i="82" s="1"/>
  <c r="S48" i="82"/>
  <c r="U48" i="82" s="1"/>
  <c r="V48" i="82" s="1"/>
  <c r="S49" i="82"/>
  <c r="U49" i="82" s="1"/>
  <c r="V49" i="82" s="1"/>
  <c r="S50" i="82"/>
  <c r="S51" i="82"/>
  <c r="S53" i="82"/>
  <c r="V53" i="82" s="1"/>
  <c r="S54" i="82"/>
  <c r="U54" i="82" s="1"/>
  <c r="V54" i="82" s="1"/>
  <c r="U68" i="82"/>
  <c r="V68" i="82" s="1"/>
  <c r="U67" i="82"/>
  <c r="V67" i="82" s="1"/>
  <c r="U65" i="82"/>
  <c r="V65" i="82" s="1"/>
  <c r="U61" i="82"/>
  <c r="V61" i="82" s="1"/>
  <c r="U60" i="82"/>
  <c r="V60" i="82" s="1"/>
  <c r="U59" i="82"/>
  <c r="V59" i="82" s="1"/>
  <c r="U53" i="82"/>
  <c r="U51" i="82"/>
  <c r="U50" i="82"/>
  <c r="V50" i="82" s="1"/>
  <c r="U45" i="82"/>
  <c r="V45" i="82" s="1"/>
  <c r="U44" i="82"/>
  <c r="V44" i="82" s="1"/>
  <c r="U43" i="82"/>
  <c r="V43" i="82" s="1"/>
  <c r="U42" i="82"/>
  <c r="V42" i="82" s="1"/>
  <c r="U41" i="82"/>
  <c r="V41" i="82" s="1"/>
  <c r="U35" i="82"/>
  <c r="U34" i="82"/>
  <c r="U33" i="82"/>
  <c r="V33" i="82" s="1"/>
  <c r="U28" i="82"/>
  <c r="V28" i="82" s="1"/>
  <c r="U27" i="82"/>
  <c r="V27" i="82" s="1"/>
  <c r="U26" i="82"/>
  <c r="V26" i="82" s="1"/>
  <c r="U25" i="82"/>
  <c r="V25" i="82" s="1"/>
  <c r="U19" i="82"/>
  <c r="V19" i="82" s="1"/>
  <c r="U18" i="82"/>
  <c r="V18" i="82" s="1"/>
  <c r="U17" i="82"/>
  <c r="V17" i="82" s="1"/>
  <c r="U16" i="82"/>
  <c r="V16" i="82" s="1"/>
  <c r="U15" i="82"/>
  <c r="V15" i="82" s="1"/>
  <c r="U9" i="82"/>
  <c r="V9" i="82" s="1"/>
  <c r="U8" i="82"/>
  <c r="V8" i="82" s="1"/>
  <c r="A7" i="82"/>
  <c r="Y2" i="82"/>
  <c r="Y2" i="81"/>
  <c r="R36" i="81"/>
  <c r="P46" i="81"/>
  <c r="Q70" i="81"/>
  <c r="Q68" i="81"/>
  <c r="Q67" i="81"/>
  <c r="Q25" i="81"/>
  <c r="Q66" i="81"/>
  <c r="Q71" i="81"/>
  <c r="Q74" i="81"/>
  <c r="S57" i="81"/>
  <c r="S59" i="81"/>
  <c r="S60" i="81"/>
  <c r="U60" i="81" s="1"/>
  <c r="V60" i="81" s="1"/>
  <c r="S64" i="81"/>
  <c r="U64" i="81" s="1"/>
  <c r="V64" i="81" s="1"/>
  <c r="S65" i="81"/>
  <c r="U65" i="81" s="1"/>
  <c r="V65" i="81" s="1"/>
  <c r="S74" i="81"/>
  <c r="U74" i="81" s="1"/>
  <c r="S70" i="81"/>
  <c r="U70" i="81" s="1"/>
  <c r="S71" i="81"/>
  <c r="U71" i="81" s="1"/>
  <c r="S67" i="81"/>
  <c r="U67" i="81" s="1"/>
  <c r="S68" i="81"/>
  <c r="U68" i="81" s="1"/>
  <c r="S63" i="81"/>
  <c r="U63" i="81" s="1"/>
  <c r="V63" i="81" s="1"/>
  <c r="S66" i="81"/>
  <c r="U66" i="81" s="1"/>
  <c r="S56" i="81"/>
  <c r="U56" i="81" s="1"/>
  <c r="V56" i="81" s="1"/>
  <c r="S58" i="81"/>
  <c r="U58" i="81" s="1"/>
  <c r="V58" i="81" s="1"/>
  <c r="S51" i="81"/>
  <c r="U51" i="81" s="1"/>
  <c r="V51" i="81" s="1"/>
  <c r="S43" i="81"/>
  <c r="U43" i="81" s="1"/>
  <c r="V43" i="81" s="1"/>
  <c r="S41" i="81"/>
  <c r="U41" i="81" s="1"/>
  <c r="V41" i="81" s="1"/>
  <c r="S39" i="81"/>
  <c r="S33" i="81"/>
  <c r="S30" i="81"/>
  <c r="U30" i="81" s="1"/>
  <c r="V30" i="81" s="1"/>
  <c r="S29" i="81"/>
  <c r="S23" i="81"/>
  <c r="U23" i="81" s="1"/>
  <c r="S22" i="81"/>
  <c r="U22" i="81" s="1"/>
  <c r="V22" i="81" s="1"/>
  <c r="S21" i="81"/>
  <c r="U21" i="81" s="1"/>
  <c r="V21" i="81" s="1"/>
  <c r="S20" i="81"/>
  <c r="U20" i="81" s="1"/>
  <c r="V20" i="81" s="1"/>
  <c r="S19" i="81"/>
  <c r="U19" i="81" s="1"/>
  <c r="V19" i="81" s="1"/>
  <c r="S13" i="81"/>
  <c r="U13" i="81" s="1"/>
  <c r="V13" i="81" s="1"/>
  <c r="S12" i="81"/>
  <c r="U12" i="81" s="1"/>
  <c r="V12" i="81" s="1"/>
  <c r="S8" i="81"/>
  <c r="U8" i="81" s="1"/>
  <c r="V8" i="81" s="1"/>
  <c r="A67" i="81"/>
  <c r="A68" i="81"/>
  <c r="A69" i="81"/>
  <c r="A70" i="81"/>
  <c r="A71" i="81"/>
  <c r="U77" i="81"/>
  <c r="V77" i="81" s="1"/>
  <c r="A77" i="81"/>
  <c r="V76" i="81"/>
  <c r="U76" i="81"/>
  <c r="A76" i="81"/>
  <c r="V75" i="81"/>
  <c r="U75" i="81"/>
  <c r="A75" i="81"/>
  <c r="A74" i="81"/>
  <c r="V73" i="81"/>
  <c r="U73" i="81"/>
  <c r="A73" i="81"/>
  <c r="V72" i="81"/>
  <c r="U72" i="81"/>
  <c r="A72" i="81"/>
  <c r="A66" i="81"/>
  <c r="A65" i="81"/>
  <c r="A64" i="81"/>
  <c r="A63" i="81"/>
  <c r="V62" i="81"/>
  <c r="U62" i="81"/>
  <c r="A62" i="81"/>
  <c r="U61" i="81"/>
  <c r="V61" i="81" s="1"/>
  <c r="A61" i="81"/>
  <c r="A60" i="81"/>
  <c r="A59" i="81"/>
  <c r="A58" i="81"/>
  <c r="A57" i="81"/>
  <c r="A56" i="81"/>
  <c r="V55" i="81"/>
  <c r="U55" i="81"/>
  <c r="A55" i="81"/>
  <c r="S54" i="81"/>
  <c r="U54" i="81" s="1"/>
  <c r="V54" i="81" s="1"/>
  <c r="A54" i="81"/>
  <c r="S53" i="81"/>
  <c r="U53" i="81" s="1"/>
  <c r="Q53" i="81"/>
  <c r="A53" i="81"/>
  <c r="S52" i="81"/>
  <c r="U52" i="81" s="1"/>
  <c r="Q52" i="81"/>
  <c r="A52" i="81"/>
  <c r="A51" i="81"/>
  <c r="S50" i="81"/>
  <c r="U50" i="81" s="1"/>
  <c r="V50" i="81" s="1"/>
  <c r="A50" i="81"/>
  <c r="S49" i="81"/>
  <c r="U49" i="81" s="1"/>
  <c r="A49" i="81"/>
  <c r="S48" i="81"/>
  <c r="U48" i="81" s="1"/>
  <c r="V48" i="81" s="1"/>
  <c r="A48" i="81"/>
  <c r="S47" i="81"/>
  <c r="U47" i="81" s="1"/>
  <c r="V47" i="81" s="1"/>
  <c r="A47" i="81"/>
  <c r="S46" i="81"/>
  <c r="U46" i="81" s="1"/>
  <c r="V46" i="81" s="1"/>
  <c r="A46" i="81"/>
  <c r="S45" i="81"/>
  <c r="U45" i="81" s="1"/>
  <c r="V45" i="81" s="1"/>
  <c r="A45" i="81"/>
  <c r="S44" i="81"/>
  <c r="U44" i="81" s="1"/>
  <c r="V44" i="81" s="1"/>
  <c r="A44" i="81"/>
  <c r="A43" i="81"/>
  <c r="S42" i="81"/>
  <c r="U42" i="81" s="1"/>
  <c r="V42" i="81" s="1"/>
  <c r="A42" i="81"/>
  <c r="A41" i="81"/>
  <c r="S40" i="81"/>
  <c r="U40" i="81" s="1"/>
  <c r="V40" i="81" s="1"/>
  <c r="A40" i="81"/>
  <c r="U39" i="81"/>
  <c r="V39" i="81" s="1"/>
  <c r="A39" i="81"/>
  <c r="S38" i="81"/>
  <c r="U38" i="81" s="1"/>
  <c r="V38" i="81" s="1"/>
  <c r="A38" i="81"/>
  <c r="S37" i="81"/>
  <c r="U37" i="81" s="1"/>
  <c r="V37" i="81" s="1"/>
  <c r="A37" i="81"/>
  <c r="S36" i="81"/>
  <c r="U36" i="81" s="1"/>
  <c r="V36" i="81" s="1"/>
  <c r="A36" i="81"/>
  <c r="S35" i="81"/>
  <c r="U35" i="81" s="1"/>
  <c r="V35" i="81" s="1"/>
  <c r="A35" i="81"/>
  <c r="S34" i="81"/>
  <c r="A34" i="81"/>
  <c r="U33" i="81"/>
  <c r="V33" i="81" s="1"/>
  <c r="A33" i="81"/>
  <c r="S32" i="81"/>
  <c r="U32" i="81" s="1"/>
  <c r="V32" i="81" s="1"/>
  <c r="A32" i="81"/>
  <c r="S31" i="81"/>
  <c r="U31" i="81" s="1"/>
  <c r="V31" i="81" s="1"/>
  <c r="A31" i="81"/>
  <c r="A30" i="81"/>
  <c r="A29" i="81"/>
  <c r="S28" i="81"/>
  <c r="U28" i="81" s="1"/>
  <c r="V28" i="81" s="1"/>
  <c r="A28" i="81"/>
  <c r="S27" i="81"/>
  <c r="U27" i="81" s="1"/>
  <c r="V27" i="81" s="1"/>
  <c r="A27" i="81"/>
  <c r="S26" i="81"/>
  <c r="U26" i="81" s="1"/>
  <c r="V26" i="81" s="1"/>
  <c r="A26" i="81"/>
  <c r="S25" i="81"/>
  <c r="U25" i="81" s="1"/>
  <c r="A25" i="81"/>
  <c r="S24" i="81"/>
  <c r="U24" i="81" s="1"/>
  <c r="V24" i="81" s="1"/>
  <c r="A24" i="81"/>
  <c r="Q23" i="81"/>
  <c r="A23" i="81"/>
  <c r="A22" i="81"/>
  <c r="A21" i="81"/>
  <c r="A20" i="81"/>
  <c r="A19" i="81"/>
  <c r="S18" i="81"/>
  <c r="U18" i="81" s="1"/>
  <c r="A18" i="81"/>
  <c r="S17" i="81"/>
  <c r="U17" i="81" s="1"/>
  <c r="V17" i="81" s="1"/>
  <c r="A17" i="81"/>
  <c r="S16" i="81"/>
  <c r="A16" i="81"/>
  <c r="S15" i="81"/>
  <c r="U15" i="81" s="1"/>
  <c r="V15" i="81" s="1"/>
  <c r="A15" i="81"/>
  <c r="S14" i="81"/>
  <c r="U14" i="81" s="1"/>
  <c r="V14" i="81" s="1"/>
  <c r="A14" i="81"/>
  <c r="A13" i="81"/>
  <c r="A12" i="81"/>
  <c r="S11" i="81"/>
  <c r="U11" i="81" s="1"/>
  <c r="V11" i="81" s="1"/>
  <c r="A11" i="81"/>
  <c r="S10" i="81"/>
  <c r="U10" i="81" s="1"/>
  <c r="V10" i="81" s="1"/>
  <c r="A10" i="81"/>
  <c r="S9" i="81"/>
  <c r="U9" i="81" s="1"/>
  <c r="V9" i="81" s="1"/>
  <c r="A9" i="81"/>
  <c r="S7" i="81"/>
  <c r="U7" i="81" s="1"/>
  <c r="V7" i="81" s="1"/>
  <c r="A7" i="81"/>
  <c r="B8" i="80"/>
  <c r="B9" i="80" s="1"/>
  <c r="B10" i="80" s="1"/>
  <c r="B11" i="80" s="1"/>
  <c r="B12" i="80" s="1"/>
  <c r="R29" i="78"/>
  <c r="R40" i="78"/>
  <c r="R39" i="78"/>
  <c r="Q40" i="78"/>
  <c r="Q39" i="78"/>
  <c r="Q23" i="78"/>
  <c r="Q52" i="78"/>
  <c r="Q53" i="78"/>
  <c r="Q51" i="78"/>
  <c r="Q34" i="78"/>
  <c r="Q33" i="78"/>
  <c r="Q32" i="78"/>
  <c r="V32" i="78" s="1"/>
  <c r="S48" i="78"/>
  <c r="U48" i="78" s="1"/>
  <c r="V48" i="78" s="1"/>
  <c r="S45" i="78"/>
  <c r="U45" i="78" s="1"/>
  <c r="V45" i="78" s="1"/>
  <c r="S44" i="78"/>
  <c r="U44" i="78" s="1"/>
  <c r="V44" i="78" s="1"/>
  <c r="S41" i="78"/>
  <c r="U41" i="78" s="1"/>
  <c r="V41" i="78" s="1"/>
  <c r="S30" i="78"/>
  <c r="U30" i="78" s="1"/>
  <c r="S29" i="78"/>
  <c r="U29" i="78" s="1"/>
  <c r="V29" i="78" s="1"/>
  <c r="S28" i="78"/>
  <c r="S27" i="78"/>
  <c r="U27" i="78" s="1"/>
  <c r="V27" i="78" s="1"/>
  <c r="S25" i="78"/>
  <c r="U25" i="78" s="1"/>
  <c r="V25" i="78" s="1"/>
  <c r="S23" i="78"/>
  <c r="U23" i="78" s="1"/>
  <c r="S13" i="78"/>
  <c r="U13" i="78" s="1"/>
  <c r="V13" i="78" s="1"/>
  <c r="S54" i="78"/>
  <c r="U54" i="78" s="1"/>
  <c r="V54" i="78" s="1"/>
  <c r="A54" i="78"/>
  <c r="S10" i="78"/>
  <c r="U10" i="78" s="1"/>
  <c r="V10" i="78" s="1"/>
  <c r="S11" i="78"/>
  <c r="U11" i="78" s="1"/>
  <c r="V11" i="78" s="1"/>
  <c r="S12" i="78"/>
  <c r="U12" i="78" s="1"/>
  <c r="V12" i="78" s="1"/>
  <c r="S14" i="78"/>
  <c r="U14" i="78" s="1"/>
  <c r="V14" i="78" s="1"/>
  <c r="S15" i="78"/>
  <c r="S16" i="78"/>
  <c r="U16" i="78" s="1"/>
  <c r="S17" i="78"/>
  <c r="U17" i="78" s="1"/>
  <c r="V17" i="78" s="1"/>
  <c r="S18" i="78"/>
  <c r="S19" i="78"/>
  <c r="U19" i="78" s="1"/>
  <c r="V19" i="78" s="1"/>
  <c r="S20" i="78"/>
  <c r="U20" i="78" s="1"/>
  <c r="V20" i="78" s="1"/>
  <c r="S21" i="78"/>
  <c r="U21" i="78" s="1"/>
  <c r="V21" i="78" s="1"/>
  <c r="S22" i="78"/>
  <c r="U22" i="78" s="1"/>
  <c r="V22" i="78" s="1"/>
  <c r="S24" i="78"/>
  <c r="U24" i="78" s="1"/>
  <c r="V24" i="78" s="1"/>
  <c r="S26" i="78"/>
  <c r="S31" i="78"/>
  <c r="U31" i="78" s="1"/>
  <c r="V31" i="78" s="1"/>
  <c r="S32" i="78"/>
  <c r="U32" i="78" s="1"/>
  <c r="S33" i="78"/>
  <c r="U33" i="78" s="1"/>
  <c r="S34" i="78"/>
  <c r="U34" i="78" s="1"/>
  <c r="S35" i="78"/>
  <c r="U35" i="78" s="1"/>
  <c r="V35" i="78" s="1"/>
  <c r="S36" i="78"/>
  <c r="U36" i="78" s="1"/>
  <c r="V36" i="78" s="1"/>
  <c r="S37" i="78"/>
  <c r="V37" i="78" s="1"/>
  <c r="S38" i="78"/>
  <c r="U38" i="78" s="1"/>
  <c r="S39" i="78"/>
  <c r="S40" i="78"/>
  <c r="S42" i="78"/>
  <c r="U42" i="78" s="1"/>
  <c r="V42" i="78" s="1"/>
  <c r="S43" i="78"/>
  <c r="U43" i="78" s="1"/>
  <c r="V43" i="78" s="1"/>
  <c r="S46" i="78"/>
  <c r="U46" i="78" s="1"/>
  <c r="V46" i="78" s="1"/>
  <c r="S47" i="78"/>
  <c r="U47" i="78" s="1"/>
  <c r="V47" i="78" s="1"/>
  <c r="S49" i="78"/>
  <c r="S50" i="78"/>
  <c r="U50" i="78" s="1"/>
  <c r="V50" i="78" s="1"/>
  <c r="S51" i="78"/>
  <c r="U51" i="78" s="1"/>
  <c r="S52" i="78"/>
  <c r="U52" i="78" s="1"/>
  <c r="S53" i="78"/>
  <c r="V55" i="78"/>
  <c r="U56" i="78"/>
  <c r="U57" i="78"/>
  <c r="U58" i="78"/>
  <c r="U61" i="78"/>
  <c r="U62" i="78"/>
  <c r="V64" i="78"/>
  <c r="U65" i="78"/>
  <c r="V65" i="78" s="1"/>
  <c r="U66" i="78"/>
  <c r="U70" i="78"/>
  <c r="U71" i="78"/>
  <c r="U72" i="78"/>
  <c r="V72" i="78" s="1"/>
  <c r="A72" i="78"/>
  <c r="A71" i="78"/>
  <c r="A70" i="78"/>
  <c r="U69" i="78"/>
  <c r="A69" i="78"/>
  <c r="U68" i="78"/>
  <c r="A68" i="78"/>
  <c r="U67" i="78"/>
  <c r="A67" i="78"/>
  <c r="A66" i="78"/>
  <c r="A65" i="78"/>
  <c r="A64" i="78"/>
  <c r="U63" i="78"/>
  <c r="A63" i="78"/>
  <c r="A62" i="78"/>
  <c r="A61" i="78"/>
  <c r="U60" i="78"/>
  <c r="V60" i="78" s="1"/>
  <c r="A60" i="78"/>
  <c r="U59" i="78"/>
  <c r="A59" i="78"/>
  <c r="A58" i="78"/>
  <c r="A57" i="78"/>
  <c r="A56" i="78"/>
  <c r="A55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S9" i="78"/>
  <c r="U9" i="78" s="1"/>
  <c r="V9" i="78" s="1"/>
  <c r="A9" i="78"/>
  <c r="S8" i="78"/>
  <c r="U8" i="78" s="1"/>
  <c r="V8" i="78" s="1"/>
  <c r="A8" i="78"/>
  <c r="S7" i="78"/>
  <c r="U7" i="78" s="1"/>
  <c r="V7" i="78" s="1"/>
  <c r="A7" i="78"/>
  <c r="V70" i="76"/>
  <c r="V69" i="76"/>
  <c r="V68" i="76"/>
  <c r="V67" i="76"/>
  <c r="V66" i="76"/>
  <c r="V65" i="76"/>
  <c r="V64" i="76"/>
  <c r="V63" i="76"/>
  <c r="V62" i="76"/>
  <c r="V61" i="76"/>
  <c r="V60" i="76"/>
  <c r="V59" i="76"/>
  <c r="V58" i="76"/>
  <c r="V57" i="76"/>
  <c r="V56" i="76"/>
  <c r="S55" i="76"/>
  <c r="U55" i="76" s="1"/>
  <c r="A55" i="76"/>
  <c r="S54" i="76"/>
  <c r="U54" i="76" s="1"/>
  <c r="A54" i="76"/>
  <c r="S53" i="76"/>
  <c r="U53" i="76" s="1"/>
  <c r="A53" i="76"/>
  <c r="V52" i="76"/>
  <c r="V51" i="76"/>
  <c r="S50" i="76"/>
  <c r="U50" i="76" s="1"/>
  <c r="A50" i="76"/>
  <c r="S49" i="76"/>
  <c r="U49" i="76" s="1"/>
  <c r="A49" i="76"/>
  <c r="V48" i="76"/>
  <c r="V47" i="76"/>
  <c r="V46" i="76"/>
  <c r="S45" i="76"/>
  <c r="U45" i="76" s="1"/>
  <c r="V45" i="76" s="1"/>
  <c r="A45" i="76"/>
  <c r="V44" i="76"/>
  <c r="V43" i="76"/>
  <c r="V42" i="76"/>
  <c r="V41" i="76"/>
  <c r="V40" i="76"/>
  <c r="V39" i="76"/>
  <c r="V38" i="76"/>
  <c r="V37" i="76"/>
  <c r="S36" i="76"/>
  <c r="U36" i="76" s="1"/>
  <c r="V36" i="76" s="1"/>
  <c r="A36" i="76"/>
  <c r="V35" i="76"/>
  <c r="V34" i="76"/>
  <c r="V33" i="76"/>
  <c r="V32" i="76"/>
  <c r="V31" i="76"/>
  <c r="V30" i="76"/>
  <c r="V29" i="76"/>
  <c r="S28" i="76"/>
  <c r="V28" i="76" s="1"/>
  <c r="A28" i="76"/>
  <c r="V27" i="76"/>
  <c r="S26" i="76"/>
  <c r="V26" i="76" s="1"/>
  <c r="A26" i="76"/>
  <c r="V25" i="76"/>
  <c r="V24" i="76"/>
  <c r="V23" i="76"/>
  <c r="V22" i="76"/>
  <c r="V21" i="76"/>
  <c r="V20" i="76"/>
  <c r="V19" i="76"/>
  <c r="S18" i="76"/>
  <c r="V18" i="76" s="1"/>
  <c r="A18" i="76"/>
  <c r="V17" i="76"/>
  <c r="V16" i="76"/>
  <c r="V15" i="76"/>
  <c r="V14" i="76"/>
  <c r="V13" i="76"/>
  <c r="V12" i="76"/>
  <c r="V11" i="76"/>
  <c r="V10" i="76"/>
  <c r="V9" i="76"/>
  <c r="V8" i="76"/>
  <c r="S7" i="76"/>
  <c r="U7" i="76" s="1"/>
  <c r="A7" i="76"/>
  <c r="Q34" i="75"/>
  <c r="Q63" i="75"/>
  <c r="Q62" i="75"/>
  <c r="Q56" i="75"/>
  <c r="Q59" i="75"/>
  <c r="Q58" i="75"/>
  <c r="Q39" i="75"/>
  <c r="Q40" i="75"/>
  <c r="Q38" i="75"/>
  <c r="Q37" i="75"/>
  <c r="Q16" i="75"/>
  <c r="Q15" i="75"/>
  <c r="Q71" i="75"/>
  <c r="Q70" i="75"/>
  <c r="Q69" i="75"/>
  <c r="Q67" i="75"/>
  <c r="Q68" i="75"/>
  <c r="Q66" i="75"/>
  <c r="Q64" i="75"/>
  <c r="S56" i="75"/>
  <c r="U56" i="75" s="1"/>
  <c r="S50" i="75"/>
  <c r="V50" i="75" s="1"/>
  <c r="S48" i="75"/>
  <c r="S46" i="75"/>
  <c r="U46" i="75" s="1"/>
  <c r="V46" i="75" s="1"/>
  <c r="S43" i="75"/>
  <c r="U43" i="75" s="1"/>
  <c r="V43" i="75" s="1"/>
  <c r="S42" i="75"/>
  <c r="U42" i="75" s="1"/>
  <c r="V42" i="75" s="1"/>
  <c r="S34" i="75"/>
  <c r="U34" i="75" s="1"/>
  <c r="S33" i="75"/>
  <c r="S32" i="75"/>
  <c r="U32" i="75" s="1"/>
  <c r="V32" i="75" s="1"/>
  <c r="S30" i="75"/>
  <c r="U30" i="75" s="1"/>
  <c r="V30" i="75" s="1"/>
  <c r="S28" i="75"/>
  <c r="V28" i="75" s="1"/>
  <c r="S17" i="75"/>
  <c r="U17" i="75" s="1"/>
  <c r="V17" i="75" s="1"/>
  <c r="S20" i="75"/>
  <c r="U20" i="75" s="1"/>
  <c r="V20" i="75" s="1"/>
  <c r="S21" i="75"/>
  <c r="S22" i="75"/>
  <c r="U22" i="75" s="1"/>
  <c r="V22" i="75" s="1"/>
  <c r="S23" i="75"/>
  <c r="S24" i="75"/>
  <c r="U24" i="75" s="1"/>
  <c r="V24" i="75" s="1"/>
  <c r="S25" i="75"/>
  <c r="U25" i="75" s="1"/>
  <c r="V25" i="75" s="1"/>
  <c r="S26" i="75"/>
  <c r="V26" i="75" s="1"/>
  <c r="S27" i="75"/>
  <c r="S29" i="75"/>
  <c r="U29" i="75" s="1"/>
  <c r="V29" i="75" s="1"/>
  <c r="S31" i="75"/>
  <c r="U31" i="75" s="1"/>
  <c r="V31" i="75" s="1"/>
  <c r="S35" i="75"/>
  <c r="S36" i="75"/>
  <c r="S37" i="75"/>
  <c r="U37" i="75" s="1"/>
  <c r="S38" i="75"/>
  <c r="U38" i="75" s="1"/>
  <c r="S39" i="75"/>
  <c r="S40" i="75"/>
  <c r="U40" i="75" s="1"/>
  <c r="S41" i="75"/>
  <c r="U41" i="75" s="1"/>
  <c r="V41" i="75" s="1"/>
  <c r="S44" i="75"/>
  <c r="U44" i="75" s="1"/>
  <c r="V44" i="75" s="1"/>
  <c r="S45" i="75"/>
  <c r="U45" i="75" s="1"/>
  <c r="V45" i="75" s="1"/>
  <c r="S47" i="75"/>
  <c r="S49" i="75"/>
  <c r="V49" i="75" s="1"/>
  <c r="S51" i="75"/>
  <c r="U51" i="75" s="1"/>
  <c r="V51" i="75" s="1"/>
  <c r="S52" i="75"/>
  <c r="U52" i="75" s="1"/>
  <c r="V52" i="75" s="1"/>
  <c r="S53" i="75"/>
  <c r="V53" i="75" s="1"/>
  <c r="S54" i="75"/>
  <c r="V54" i="75" s="1"/>
  <c r="S55" i="75"/>
  <c r="V55" i="75" s="1"/>
  <c r="S57" i="75"/>
  <c r="V57" i="75" s="1"/>
  <c r="S58" i="75"/>
  <c r="S59" i="75"/>
  <c r="U59" i="75" s="1"/>
  <c r="S60" i="75"/>
  <c r="U60" i="75" s="1"/>
  <c r="V60" i="75" s="1"/>
  <c r="S61" i="75"/>
  <c r="U61" i="75" s="1"/>
  <c r="V61" i="75" s="1"/>
  <c r="S62" i="75"/>
  <c r="U62" i="75" s="1"/>
  <c r="S63" i="75"/>
  <c r="U63" i="75" s="1"/>
  <c r="S64" i="75"/>
  <c r="U64" i="75" s="1"/>
  <c r="S65" i="75"/>
  <c r="U65" i="75" s="1"/>
  <c r="V65" i="75" s="1"/>
  <c r="S66" i="75"/>
  <c r="U66" i="75" s="1"/>
  <c r="S67" i="75"/>
  <c r="S68" i="75"/>
  <c r="U68" i="75" s="1"/>
  <c r="S69" i="75"/>
  <c r="U69" i="75" s="1"/>
  <c r="S70" i="75"/>
  <c r="S71" i="75"/>
  <c r="U71" i="75" s="1"/>
  <c r="S72" i="75"/>
  <c r="U72" i="75" s="1"/>
  <c r="V72" i="75" s="1"/>
  <c r="S13" i="75"/>
  <c r="U13" i="75" s="1"/>
  <c r="V13" i="75" s="1"/>
  <c r="S10" i="75"/>
  <c r="U10" i="75" s="1"/>
  <c r="V10" i="75" s="1"/>
  <c r="A70" i="75"/>
  <c r="A71" i="75"/>
  <c r="A61" i="75"/>
  <c r="A62" i="75"/>
  <c r="A63" i="75"/>
  <c r="A64" i="75"/>
  <c r="A65" i="75"/>
  <c r="A66" i="75"/>
  <c r="A67" i="75"/>
  <c r="A68" i="75"/>
  <c r="A69" i="75"/>
  <c r="S19" i="75"/>
  <c r="U19" i="75" s="1"/>
  <c r="V19" i="75" s="1"/>
  <c r="S18" i="75"/>
  <c r="V18" i="75" s="1"/>
  <c r="S16" i="75"/>
  <c r="V16" i="75" s="1"/>
  <c r="S15" i="75"/>
  <c r="U15" i="75" s="1"/>
  <c r="S14" i="75"/>
  <c r="S12" i="75"/>
  <c r="S11" i="75"/>
  <c r="U11" i="75" s="1"/>
  <c r="V11" i="75" s="1"/>
  <c r="S9" i="75"/>
  <c r="U9" i="75" s="1"/>
  <c r="V9" i="75" s="1"/>
  <c r="S8" i="75"/>
  <c r="U8" i="75" s="1"/>
  <c r="V8" i="75" s="1"/>
  <c r="A72" i="75"/>
  <c r="A60" i="75"/>
  <c r="A59" i="75"/>
  <c r="U58" i="75"/>
  <c r="A58" i="75"/>
  <c r="A57" i="75"/>
  <c r="A56" i="75"/>
  <c r="A55" i="75"/>
  <c r="A54" i="75"/>
  <c r="A53" i="75"/>
  <c r="A52" i="75"/>
  <c r="A51" i="75"/>
  <c r="A50" i="75"/>
  <c r="A49" i="75"/>
  <c r="A48" i="75"/>
  <c r="U47" i="75"/>
  <c r="V47" i="75" s="1"/>
  <c r="A47" i="75"/>
  <c r="A46" i="75"/>
  <c r="A45" i="75"/>
  <c r="A44" i="75"/>
  <c r="A43" i="75"/>
  <c r="A42" i="75"/>
  <c r="A41" i="75"/>
  <c r="A40" i="75"/>
  <c r="A39" i="75"/>
  <c r="A38" i="75"/>
  <c r="A37" i="75"/>
  <c r="U36" i="75"/>
  <c r="V36" i="75" s="1"/>
  <c r="A36" i="75"/>
  <c r="U35" i="75"/>
  <c r="V35" i="75" s="1"/>
  <c r="A35" i="75"/>
  <c r="A34" i="75"/>
  <c r="U33" i="75"/>
  <c r="V33" i="75" s="1"/>
  <c r="A33" i="75"/>
  <c r="A32" i="75"/>
  <c r="A31" i="75"/>
  <c r="A30" i="75"/>
  <c r="A29" i="75"/>
  <c r="A28" i="75"/>
  <c r="A27" i="75"/>
  <c r="A26" i="75"/>
  <c r="A25" i="75"/>
  <c r="A24" i="75"/>
  <c r="U23" i="75"/>
  <c r="V23" i="75" s="1"/>
  <c r="A23" i="75"/>
  <c r="A22" i="75"/>
  <c r="U21" i="75"/>
  <c r="V21" i="75" s="1"/>
  <c r="A21" i="75"/>
  <c r="A20" i="75"/>
  <c r="A19" i="75"/>
  <c r="A18" i="75"/>
  <c r="A17" i="75"/>
  <c r="A16" i="75"/>
  <c r="A15" i="75"/>
  <c r="U14" i="75"/>
  <c r="V14" i="75" s="1"/>
  <c r="A14" i="75"/>
  <c r="A13" i="75"/>
  <c r="U12" i="75"/>
  <c r="V12" i="75" s="1"/>
  <c r="A12" i="75"/>
  <c r="A11" i="75"/>
  <c r="A10" i="75"/>
  <c r="A9" i="75"/>
  <c r="A8" i="75"/>
  <c r="S7" i="75"/>
  <c r="U7" i="75" s="1"/>
  <c r="V7" i="75" s="1"/>
  <c r="A7" i="75"/>
  <c r="S12" i="74"/>
  <c r="U12" i="74" s="1"/>
  <c r="V12" i="74" s="1"/>
  <c r="S11" i="74"/>
  <c r="U11" i="74" s="1"/>
  <c r="V11" i="74" s="1"/>
  <c r="P70" i="74"/>
  <c r="Q15" i="74"/>
  <c r="Q50" i="74"/>
  <c r="P53" i="74"/>
  <c r="S69" i="74"/>
  <c r="U69" i="74" s="1"/>
  <c r="V69" i="74" s="1"/>
  <c r="S45" i="74"/>
  <c r="U45" i="74" s="1"/>
  <c r="V45" i="74" s="1"/>
  <c r="Q68" i="74"/>
  <c r="Q67" i="74"/>
  <c r="Q66" i="74"/>
  <c r="Q65" i="74"/>
  <c r="Q43" i="74"/>
  <c r="Q42" i="74"/>
  <c r="Q41" i="74"/>
  <c r="Q40" i="74"/>
  <c r="Q39" i="74"/>
  <c r="Q38" i="74"/>
  <c r="Q37" i="74"/>
  <c r="Q35" i="74"/>
  <c r="Q34" i="74"/>
  <c r="Q33" i="74"/>
  <c r="Q71" i="74"/>
  <c r="Q44" i="74"/>
  <c r="S13" i="74"/>
  <c r="U13" i="74" s="1"/>
  <c r="V13" i="74" s="1"/>
  <c r="R27" i="74"/>
  <c r="S27" i="74"/>
  <c r="U27" i="74" s="1"/>
  <c r="V27" i="74" s="1"/>
  <c r="S71" i="74"/>
  <c r="S70" i="74"/>
  <c r="U70" i="74" s="1"/>
  <c r="V70" i="74" s="1"/>
  <c r="S68" i="74"/>
  <c r="U68" i="74" s="1"/>
  <c r="S67" i="74"/>
  <c r="S66" i="74"/>
  <c r="S65" i="74"/>
  <c r="U65" i="74" s="1"/>
  <c r="S60" i="74"/>
  <c r="U60" i="74" s="1"/>
  <c r="V60" i="74" s="1"/>
  <c r="S57" i="74"/>
  <c r="U57" i="74" s="1"/>
  <c r="V57" i="74" s="1"/>
  <c r="S54" i="74"/>
  <c r="U54" i="74" s="1"/>
  <c r="V54" i="74" s="1"/>
  <c r="S53" i="74"/>
  <c r="U53" i="74" s="1"/>
  <c r="V53" i="74" s="1"/>
  <c r="S52" i="74"/>
  <c r="S50" i="74"/>
  <c r="U50" i="74" s="1"/>
  <c r="S49" i="74"/>
  <c r="U49" i="74" s="1"/>
  <c r="V49" i="74" s="1"/>
  <c r="S48" i="74"/>
  <c r="U48" i="74" s="1"/>
  <c r="S46" i="74"/>
  <c r="U46" i="74" s="1"/>
  <c r="V46" i="74" s="1"/>
  <c r="S44" i="74"/>
  <c r="U44" i="74" s="1"/>
  <c r="S43" i="74"/>
  <c r="S42" i="74"/>
  <c r="U42" i="74" s="1"/>
  <c r="S41" i="74"/>
  <c r="U41" i="74" s="1"/>
  <c r="S40" i="74"/>
  <c r="U40" i="74" s="1"/>
  <c r="S39" i="74"/>
  <c r="S38" i="74"/>
  <c r="S37" i="74"/>
  <c r="U37" i="74" s="1"/>
  <c r="S36" i="74"/>
  <c r="U36" i="74" s="1"/>
  <c r="V36" i="74" s="1"/>
  <c r="S35" i="74"/>
  <c r="V35" i="74" s="1"/>
  <c r="S34" i="74"/>
  <c r="V34" i="74" s="1"/>
  <c r="S33" i="74"/>
  <c r="V33" i="74" s="1"/>
  <c r="S32" i="74"/>
  <c r="U32" i="74" s="1"/>
  <c r="V32" i="74" s="1"/>
  <c r="S31" i="74"/>
  <c r="U31" i="74" s="1"/>
  <c r="V31" i="74" s="1"/>
  <c r="S30" i="74"/>
  <c r="U30" i="74" s="1"/>
  <c r="V30" i="74" s="1"/>
  <c r="S29" i="74"/>
  <c r="U29" i="74" s="1"/>
  <c r="V29" i="74" s="1"/>
  <c r="S26" i="74"/>
  <c r="U26" i="74" s="1"/>
  <c r="V26" i="74" s="1"/>
  <c r="S25" i="74"/>
  <c r="U25" i="74" s="1"/>
  <c r="V25" i="74" s="1"/>
  <c r="S24" i="74"/>
  <c r="U24" i="74" s="1"/>
  <c r="V24" i="74" s="1"/>
  <c r="S19" i="74"/>
  <c r="U19" i="74" s="1"/>
  <c r="V19" i="74" s="1"/>
  <c r="S18" i="74"/>
  <c r="U18" i="74" s="1"/>
  <c r="V18" i="74" s="1"/>
  <c r="S17" i="74"/>
  <c r="U17" i="74" s="1"/>
  <c r="V17" i="74" s="1"/>
  <c r="S16" i="74"/>
  <c r="U16" i="74" s="1"/>
  <c r="V16" i="74" s="1"/>
  <c r="S15" i="74"/>
  <c r="U15" i="74" s="1"/>
  <c r="S14" i="74"/>
  <c r="U14" i="74" s="1"/>
  <c r="V14" i="74" s="1"/>
  <c r="S10" i="74"/>
  <c r="U10" i="74" s="1"/>
  <c r="V10" i="74" s="1"/>
  <c r="S9" i="74"/>
  <c r="S8" i="74"/>
  <c r="S7" i="74"/>
  <c r="U7" i="74" s="1"/>
  <c r="V7" i="74" s="1"/>
  <c r="A71" i="74"/>
  <c r="A70" i="74"/>
  <c r="A69" i="74"/>
  <c r="A68" i="74"/>
  <c r="A67" i="74"/>
  <c r="A66" i="74"/>
  <c r="A65" i="74"/>
  <c r="U64" i="74"/>
  <c r="A64" i="74"/>
  <c r="V63" i="74"/>
  <c r="U63" i="74"/>
  <c r="A63" i="74"/>
  <c r="U62" i="74"/>
  <c r="V62" i="74" s="1"/>
  <c r="A62" i="74"/>
  <c r="U61" i="74"/>
  <c r="V61" i="74" s="1"/>
  <c r="A61" i="74"/>
  <c r="A60" i="74"/>
  <c r="U59" i="74"/>
  <c r="A59" i="74"/>
  <c r="U58" i="74"/>
  <c r="V58" i="74" s="1"/>
  <c r="A58" i="74"/>
  <c r="A57" i="74"/>
  <c r="V56" i="74"/>
  <c r="U56" i="74"/>
  <c r="A56" i="74"/>
  <c r="U55" i="74"/>
  <c r="V55" i="74" s="1"/>
  <c r="A55" i="74"/>
  <c r="A54" i="74"/>
  <c r="A53" i="74"/>
  <c r="A52" i="74"/>
  <c r="U51" i="74"/>
  <c r="V51" i="74"/>
  <c r="A51" i="74"/>
  <c r="A50" i="74"/>
  <c r="A49" i="74"/>
  <c r="A48" i="74"/>
  <c r="U47" i="74"/>
  <c r="V47" i="74"/>
  <c r="A47" i="74"/>
  <c r="A46" i="74"/>
  <c r="A45" i="74"/>
  <c r="A44" i="74"/>
  <c r="A43" i="74"/>
  <c r="A42" i="74"/>
  <c r="A41" i="74"/>
  <c r="A40" i="74"/>
  <c r="A39" i="74"/>
  <c r="A38" i="74"/>
  <c r="A37" i="74"/>
  <c r="A36" i="74"/>
  <c r="A35" i="74"/>
  <c r="A34" i="74"/>
  <c r="A33" i="74"/>
  <c r="A32" i="74"/>
  <c r="A31" i="74"/>
  <c r="A30" i="74"/>
  <c r="A29" i="74"/>
  <c r="U28" i="74"/>
  <c r="V28" i="74"/>
  <c r="A28" i="74"/>
  <c r="A27" i="74"/>
  <c r="A26" i="74"/>
  <c r="A25" i="74"/>
  <c r="A24" i="74"/>
  <c r="U23" i="74"/>
  <c r="V23" i="74"/>
  <c r="A23" i="74"/>
  <c r="U22" i="74"/>
  <c r="V22" i="74"/>
  <c r="A22" i="74"/>
  <c r="U21" i="74"/>
  <c r="V21" i="74"/>
  <c r="A21" i="74"/>
  <c r="U20" i="74"/>
  <c r="V20" i="74" s="1"/>
  <c r="A20" i="74"/>
  <c r="A19" i="74"/>
  <c r="A18" i="74"/>
  <c r="A17" i="74"/>
  <c r="A16" i="74"/>
  <c r="A15" i="74"/>
  <c r="A14" i="74"/>
  <c r="A13" i="74"/>
  <c r="A12" i="74"/>
  <c r="A11" i="74"/>
  <c r="A10" i="74"/>
  <c r="U9" i="74"/>
  <c r="V9" i="74" s="1"/>
  <c r="A9" i="74"/>
  <c r="U8" i="74"/>
  <c r="V8" i="74" s="1"/>
  <c r="A8" i="74"/>
  <c r="A7" i="74"/>
  <c r="Q28" i="71"/>
  <c r="V28" i="71" s="1"/>
  <c r="Q27" i="71"/>
  <c r="V27" i="71" s="1"/>
  <c r="Q51" i="71"/>
  <c r="Q50" i="71"/>
  <c r="Q49" i="71"/>
  <c r="Q48" i="71"/>
  <c r="Q47" i="71"/>
  <c r="Q46" i="71"/>
  <c r="Q45" i="71"/>
  <c r="Q44" i="71"/>
  <c r="Q43" i="71"/>
  <c r="Q16" i="71"/>
  <c r="Q12" i="71"/>
  <c r="Q23" i="71"/>
  <c r="Q22" i="71"/>
  <c r="Q21" i="71"/>
  <c r="S38" i="71"/>
  <c r="S33" i="71"/>
  <c r="S23" i="71"/>
  <c r="S22" i="71"/>
  <c r="U22" i="71" s="1"/>
  <c r="S16" i="71"/>
  <c r="U16" i="71" s="1"/>
  <c r="S15" i="71"/>
  <c r="U15" i="71" s="1"/>
  <c r="V15" i="71" s="1"/>
  <c r="S14" i="71"/>
  <c r="U14" i="71" s="1"/>
  <c r="V14" i="71" s="1"/>
  <c r="S12" i="71"/>
  <c r="U12" i="71" s="1"/>
  <c r="V12" i="71" s="1"/>
  <c r="S52" i="71"/>
  <c r="V52" i="71" s="1"/>
  <c r="S51" i="71"/>
  <c r="S50" i="71"/>
  <c r="U50" i="71" s="1"/>
  <c r="S49" i="71"/>
  <c r="S48" i="71"/>
  <c r="S47" i="71"/>
  <c r="U47" i="71" s="1"/>
  <c r="S46" i="71"/>
  <c r="U46" i="71" s="1"/>
  <c r="S45" i="71"/>
  <c r="U45" i="71" s="1"/>
  <c r="S44" i="71"/>
  <c r="S43" i="71"/>
  <c r="S37" i="71"/>
  <c r="S36" i="71"/>
  <c r="U36" i="71" s="1"/>
  <c r="V36" i="71" s="1"/>
  <c r="S35" i="71"/>
  <c r="U35" i="71" s="1"/>
  <c r="V35" i="71" s="1"/>
  <c r="S32" i="71"/>
  <c r="S31" i="71"/>
  <c r="U31" i="71" s="1"/>
  <c r="V31" i="71" s="1"/>
  <c r="S30" i="71"/>
  <c r="U30" i="71" s="1"/>
  <c r="V30" i="71" s="1"/>
  <c r="S29" i="71"/>
  <c r="S28" i="71"/>
  <c r="S27" i="71"/>
  <c r="U27" i="71" s="1"/>
  <c r="S26" i="71"/>
  <c r="U26" i="71" s="1"/>
  <c r="V26" i="71" s="1"/>
  <c r="S25" i="71"/>
  <c r="U25" i="71" s="1"/>
  <c r="V25" i="71" s="1"/>
  <c r="S21" i="71"/>
  <c r="S13" i="71"/>
  <c r="Q11" i="71"/>
  <c r="V11" i="71" s="1"/>
  <c r="Q10" i="71"/>
  <c r="V10" i="71" s="1"/>
  <c r="S8" i="71"/>
  <c r="S9" i="71"/>
  <c r="S10" i="71"/>
  <c r="U10" i="71" s="1"/>
  <c r="S11" i="71"/>
  <c r="U11" i="71" s="1"/>
  <c r="S7" i="71"/>
  <c r="U71" i="71"/>
  <c r="V71" i="71"/>
  <c r="A71" i="71"/>
  <c r="A70" i="71"/>
  <c r="U69" i="71"/>
  <c r="V69" i="71"/>
  <c r="A69" i="71"/>
  <c r="U68" i="71"/>
  <c r="V68" i="71" s="1"/>
  <c r="A68" i="71"/>
  <c r="U67" i="71"/>
  <c r="V67" i="71"/>
  <c r="A67" i="71"/>
  <c r="U66" i="71"/>
  <c r="V66" i="71" s="1"/>
  <c r="A66" i="71"/>
  <c r="U65" i="71"/>
  <c r="A65" i="71"/>
  <c r="U64" i="71"/>
  <c r="A64" i="71"/>
  <c r="U63" i="71"/>
  <c r="V63" i="71"/>
  <c r="A63" i="71"/>
  <c r="U62" i="71"/>
  <c r="V62" i="71" s="1"/>
  <c r="A62" i="71"/>
  <c r="U61" i="71"/>
  <c r="V61" i="71" s="1"/>
  <c r="A61" i="71"/>
  <c r="U60" i="71"/>
  <c r="V60" i="71" s="1"/>
  <c r="A60" i="71"/>
  <c r="U59" i="71"/>
  <c r="A59" i="71"/>
  <c r="U58" i="71"/>
  <c r="V58" i="71" s="1"/>
  <c r="A58" i="71"/>
  <c r="U57" i="71"/>
  <c r="V57" i="71"/>
  <c r="A57" i="71"/>
  <c r="U56" i="71"/>
  <c r="V56" i="71"/>
  <c r="A56" i="71"/>
  <c r="U55" i="71"/>
  <c r="V55" i="71" s="1"/>
  <c r="A55" i="71"/>
  <c r="U54" i="71"/>
  <c r="V54" i="71" s="1"/>
  <c r="A54" i="71"/>
  <c r="U53" i="71"/>
  <c r="V53" i="71"/>
  <c r="A53" i="71"/>
  <c r="U52" i="71"/>
  <c r="A52" i="71"/>
  <c r="U51" i="71"/>
  <c r="A51" i="71"/>
  <c r="A50" i="71"/>
  <c r="A49" i="71"/>
  <c r="A48" i="71"/>
  <c r="A47" i="71"/>
  <c r="A46" i="71"/>
  <c r="A45" i="71"/>
  <c r="U44" i="71"/>
  <c r="A44" i="71"/>
  <c r="U43" i="71"/>
  <c r="A43" i="71"/>
  <c r="U42" i="71"/>
  <c r="V42" i="71"/>
  <c r="A42" i="71"/>
  <c r="U41" i="71"/>
  <c r="V41" i="71"/>
  <c r="A41" i="71"/>
  <c r="U40" i="71"/>
  <c r="A40" i="71"/>
  <c r="U39" i="71"/>
  <c r="V39" i="71"/>
  <c r="A39" i="71"/>
  <c r="U38" i="71"/>
  <c r="V38" i="71" s="1"/>
  <c r="A38" i="71"/>
  <c r="U37" i="71"/>
  <c r="V37" i="71" s="1"/>
  <c r="A37" i="71"/>
  <c r="A36" i="71"/>
  <c r="A35" i="71"/>
  <c r="U34" i="71"/>
  <c r="V34" i="71" s="1"/>
  <c r="A34" i="71"/>
  <c r="U33" i="71"/>
  <c r="V33" i="71" s="1"/>
  <c r="A33" i="71"/>
  <c r="U32" i="71"/>
  <c r="V32" i="71" s="1"/>
  <c r="A32" i="71"/>
  <c r="A31" i="71"/>
  <c r="A30" i="71"/>
  <c r="U29" i="71"/>
  <c r="V29" i="71" s="1"/>
  <c r="A29" i="71"/>
  <c r="U28" i="71"/>
  <c r="A28" i="71"/>
  <c r="A27" i="71"/>
  <c r="A26" i="71"/>
  <c r="A25" i="71"/>
  <c r="U24" i="71"/>
  <c r="V24" i="71" s="1"/>
  <c r="A24" i="71"/>
  <c r="U23" i="71"/>
  <c r="A23" i="71"/>
  <c r="A22" i="71"/>
  <c r="U21" i="71"/>
  <c r="A21" i="71"/>
  <c r="U20" i="71"/>
  <c r="V20" i="71" s="1"/>
  <c r="A20" i="71"/>
  <c r="U19" i="71"/>
  <c r="V19" i="71" s="1"/>
  <c r="A19" i="71"/>
  <c r="U18" i="71"/>
  <c r="V18" i="71"/>
  <c r="A18" i="71"/>
  <c r="U17" i="71"/>
  <c r="V17" i="71" s="1"/>
  <c r="A17" i="71"/>
  <c r="A16" i="71"/>
  <c r="A15" i="71"/>
  <c r="A14" i="71"/>
  <c r="A13" i="71"/>
  <c r="A12" i="71"/>
  <c r="A11" i="71"/>
  <c r="A10" i="71"/>
  <c r="U9" i="71"/>
  <c r="V9" i="71" s="1"/>
  <c r="A9" i="71"/>
  <c r="U8" i="71"/>
  <c r="V8" i="71" s="1"/>
  <c r="A8" i="71"/>
  <c r="U7" i="71"/>
  <c r="A7" i="71"/>
  <c r="V18" i="81" l="1"/>
  <c r="U57" i="75"/>
  <c r="U33" i="74"/>
  <c r="V67" i="74"/>
  <c r="V38" i="74"/>
  <c r="U67" i="74"/>
  <c r="U49" i="75"/>
  <c r="V70" i="75"/>
  <c r="V67" i="75"/>
  <c r="U54" i="75"/>
  <c r="U18" i="75"/>
  <c r="V39" i="75"/>
  <c r="U16" i="75"/>
  <c r="U55" i="75"/>
  <c r="V48" i="74"/>
  <c r="V37" i="74"/>
  <c r="V43" i="74"/>
  <c r="U34" i="74"/>
  <c r="V66" i="74"/>
  <c r="V44" i="74"/>
  <c r="U35" i="74"/>
  <c r="U43" i="74"/>
  <c r="V68" i="74"/>
  <c r="V39" i="74"/>
  <c r="V50" i="74"/>
  <c r="U66" i="74"/>
  <c r="V41" i="74"/>
  <c r="U38" i="74"/>
  <c r="V42" i="74"/>
  <c r="V40" i="74"/>
  <c r="U39" i="74"/>
  <c r="V15" i="74"/>
  <c r="V65" i="74"/>
  <c r="V21" i="71"/>
  <c r="V48" i="71"/>
  <c r="V46" i="71"/>
  <c r="V47" i="71"/>
  <c r="V49" i="71"/>
  <c r="V16" i="71"/>
  <c r="V44" i="71"/>
  <c r="V45" i="71"/>
  <c r="V50" i="71"/>
  <c r="V22" i="71"/>
  <c r="V43" i="71"/>
  <c r="V51" i="71"/>
  <c r="V23" i="71"/>
  <c r="U48" i="71"/>
  <c r="U49" i="71"/>
  <c r="V23" i="82"/>
  <c r="U62" i="82"/>
  <c r="V66" i="82"/>
  <c r="U9" i="84"/>
  <c r="V9" i="84" s="1"/>
  <c r="V65" i="84" s="1"/>
  <c r="X9" i="84"/>
  <c r="V7" i="85"/>
  <c r="V23" i="85"/>
  <c r="U23" i="85"/>
  <c r="U35" i="85"/>
  <c r="V35" i="85" s="1"/>
  <c r="U51" i="85"/>
  <c r="V51" i="85" s="1"/>
  <c r="V53" i="85"/>
  <c r="U53" i="85"/>
  <c r="V55" i="85"/>
  <c r="U55" i="85"/>
  <c r="V62" i="85"/>
  <c r="U62" i="85"/>
  <c r="V66" i="85"/>
  <c r="U66" i="85"/>
  <c r="U22" i="84"/>
  <c r="U34" i="84"/>
  <c r="U50" i="84"/>
  <c r="V50" i="84" s="1"/>
  <c r="V52" i="84"/>
  <c r="U52" i="84"/>
  <c r="U54" i="84"/>
  <c r="U60" i="84"/>
  <c r="U64" i="84"/>
  <c r="V14" i="83"/>
  <c r="V9" i="83"/>
  <c r="V19" i="83"/>
  <c r="V66" i="83"/>
  <c r="U62" i="83"/>
  <c r="U35" i="83"/>
  <c r="V35" i="83" s="1"/>
  <c r="U53" i="83"/>
  <c r="U23" i="83"/>
  <c r="V69" i="83"/>
  <c r="V55" i="83"/>
  <c r="U69" i="83"/>
  <c r="V34" i="82"/>
  <c r="V36" i="82"/>
  <c r="V35" i="82"/>
  <c r="V55" i="82"/>
  <c r="U36" i="82"/>
  <c r="U46" i="82"/>
  <c r="V46" i="82" s="1"/>
  <c r="U69" i="82"/>
  <c r="V51" i="82"/>
  <c r="V69" i="82" s="1"/>
  <c r="V71" i="82" s="1"/>
  <c r="V67" i="81"/>
  <c r="V25" i="81"/>
  <c r="U57" i="81"/>
  <c r="V57" i="81" s="1"/>
  <c r="V68" i="81"/>
  <c r="V70" i="81"/>
  <c r="V49" i="81"/>
  <c r="V71" i="81"/>
  <c r="V66" i="81"/>
  <c r="V74" i="81"/>
  <c r="U59" i="81"/>
  <c r="V59" i="81" s="1"/>
  <c r="V53" i="81"/>
  <c r="V52" i="81"/>
  <c r="U16" i="81"/>
  <c r="V16" i="81" s="1"/>
  <c r="U29" i="81"/>
  <c r="V29" i="81" s="1"/>
  <c r="V23" i="81"/>
  <c r="U34" i="81"/>
  <c r="V34" i="81" s="1"/>
  <c r="U40" i="78"/>
  <c r="V39" i="78"/>
  <c r="V23" i="78"/>
  <c r="V34" i="78"/>
  <c r="V51" i="78"/>
  <c r="V52" i="78"/>
  <c r="V33" i="78"/>
  <c r="V30" i="78"/>
  <c r="V53" i="78"/>
  <c r="U37" i="78"/>
  <c r="U15" i="78"/>
  <c r="V15" i="78" s="1"/>
  <c r="V70" i="78"/>
  <c r="U39" i="78"/>
  <c r="V38" i="78"/>
  <c r="V40" i="78"/>
  <c r="V57" i="78"/>
  <c r="V58" i="78"/>
  <c r="V66" i="78"/>
  <c r="V62" i="78"/>
  <c r="V69" i="78"/>
  <c r="V61" i="78"/>
  <c r="V63" i="78"/>
  <c r="V16" i="78"/>
  <c r="U64" i="78"/>
  <c r="V67" i="78"/>
  <c r="V71" i="78"/>
  <c r="V59" i="78"/>
  <c r="V56" i="78"/>
  <c r="V68" i="78"/>
  <c r="U18" i="78"/>
  <c r="V18" i="78" s="1"/>
  <c r="U26" i="78"/>
  <c r="V26" i="78" s="1"/>
  <c r="U28" i="78"/>
  <c r="V28" i="78" s="1"/>
  <c r="U49" i="78"/>
  <c r="V49" i="78" s="1"/>
  <c r="U53" i="78"/>
  <c r="U55" i="78"/>
  <c r="V15" i="75"/>
  <c r="V56" i="75"/>
  <c r="V64" i="75"/>
  <c r="V37" i="75"/>
  <c r="V40" i="75"/>
  <c r="U39" i="75"/>
  <c r="U26" i="75"/>
  <c r="V71" i="75"/>
  <c r="V63" i="75"/>
  <c r="V34" i="75"/>
  <c r="U67" i="75"/>
  <c r="V58" i="75"/>
  <c r="U28" i="75"/>
  <c r="V66" i="75"/>
  <c r="V59" i="75"/>
  <c r="V69" i="75"/>
  <c r="V68" i="75"/>
  <c r="U50" i="75"/>
  <c r="V62" i="75"/>
  <c r="V38" i="75"/>
  <c r="U70" i="75"/>
  <c r="V54" i="76"/>
  <c r="V50" i="76"/>
  <c r="U73" i="76"/>
  <c r="V7" i="76"/>
  <c r="V73" i="76" s="1"/>
  <c r="V75" i="76" s="1"/>
  <c r="V49" i="76"/>
  <c r="V53" i="76"/>
  <c r="V55" i="76"/>
  <c r="U26" i="76"/>
  <c r="U28" i="76"/>
  <c r="U18" i="76"/>
  <c r="U27" i="75"/>
  <c r="V27" i="75" s="1"/>
  <c r="U48" i="75"/>
  <c r="V48" i="75" s="1"/>
  <c r="U53" i="75"/>
  <c r="V71" i="74"/>
  <c r="U71" i="74"/>
  <c r="U52" i="74"/>
  <c r="V7" i="71"/>
  <c r="U13" i="71"/>
  <c r="U70" i="71"/>
  <c r="V70" i="71" s="1"/>
  <c r="U72" i="74" l="1"/>
  <c r="V52" i="74"/>
  <c r="V72" i="74" s="1"/>
  <c r="V74" i="74" s="1"/>
  <c r="U69" i="85"/>
  <c r="V69" i="85"/>
  <c r="U65" i="84"/>
  <c r="Y65" i="84"/>
  <c r="V71" i="83"/>
  <c r="Y69" i="83"/>
  <c r="Y69" i="82"/>
  <c r="U78" i="81"/>
  <c r="V78" i="81"/>
  <c r="U73" i="78"/>
  <c r="V73" i="78"/>
  <c r="V75" i="78" s="1"/>
  <c r="U73" i="75"/>
  <c r="V73" i="75"/>
  <c r="V75" i="75" s="1"/>
  <c r="V13" i="71"/>
  <c r="V72" i="71" s="1"/>
  <c r="V74" i="71" s="1"/>
  <c r="U72" i="71"/>
  <c r="V71" i="85" l="1"/>
  <c r="Y69" i="85"/>
  <c r="V67" i="84"/>
  <c r="V80" i="81"/>
  <c r="Y78" i="8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 Phuong Anh [KLV-Kloud]</author>
  </authors>
  <commentList>
    <comment ref="P30" authorId="0" shapeId="0" xr:uid="{D30BEB74-7DA1-46D7-8EC4-DC07AA2079AE}">
      <text>
        <r>
          <rPr>
            <sz val="11"/>
            <color theme="1"/>
            <rFont val="Calibri"/>
            <family val="2"/>
            <scheme val="minor"/>
          </rPr>
          <t>Vo Phuong Anh [KLV-Kloud]:
FREE 5 TIẾNG LIB PER MONTH</t>
        </r>
      </text>
    </comment>
    <comment ref="P31" authorId="0" shapeId="0" xr:uid="{02966461-EBED-438C-A652-2C022FE49CAC}">
      <text>
        <r>
          <rPr>
            <sz val="11"/>
            <color theme="1"/>
            <rFont val="Calibri"/>
            <family val="2"/>
            <scheme val="minor"/>
          </rPr>
          <t>Vo Phuong Anh [KLV-Kloud]:
FREE 5 TIẾNG LIB PER MONTH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 Phuong Anh [KLV-Kloud]</author>
  </authors>
  <commentList>
    <comment ref="F40" authorId="0" shapeId="0" xr:uid="{A54CFBD0-E9CC-42FE-A1E6-525FA74A9AAD}">
      <text>
        <r>
          <rPr>
            <sz val="11"/>
            <color theme="1"/>
            <rFont val="Calibri"/>
            <family val="2"/>
            <scheme val="minor"/>
          </rPr>
          <t>Vo Phuong Anh [KLV-Kloud]:
theo booking form : 830</t>
        </r>
      </text>
    </comment>
    <comment ref="G40" authorId="0" shapeId="0" xr:uid="{4B2FF1BB-61A0-4BD5-A1E3-2F33CD329AFF}">
      <text>
        <r>
          <rPr>
            <sz val="11"/>
            <color theme="1"/>
            <rFont val="Calibri"/>
            <family val="2"/>
            <scheme val="minor"/>
          </rPr>
          <t>Vo Phuong Anh [KLV-Kloud]:
theo booking form 1730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 Phuong Anh [KLV-Kloud]</author>
  </authors>
  <commentList>
    <comment ref="E12" authorId="0" shapeId="0" xr:uid="{7D26298B-C45C-4206-BB80-C93752293E7B}">
      <text>
        <r>
          <rPr>
            <sz val="11"/>
            <color theme="1"/>
            <rFont val="Calibri"/>
            <family val="2"/>
            <scheme val="minor"/>
          </rPr>
          <t>Vo Phuong Anh [KLV-Kloud]:
theo booking form : 830</t>
        </r>
      </text>
    </comment>
    <comment ref="F12" authorId="0" shapeId="0" xr:uid="{C4F15D69-B495-4897-9724-62D43DC85F63}">
      <text>
        <r>
          <rPr>
            <sz val="11"/>
            <color theme="1"/>
            <rFont val="Calibri"/>
            <family val="2"/>
            <scheme val="minor"/>
          </rPr>
          <t>Vo Phuong Anh [KLV-Kloud]:
theo booking form 1730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Thanh Ngan [RE]</author>
  </authors>
  <commentList>
    <comment ref="K31" authorId="0" shapeId="0" xr:uid="{98AE8151-D997-43E6-A0FA-CA8EC4240F03}">
      <text>
        <r>
          <rPr>
            <sz val="11"/>
            <color theme="1"/>
            <rFont val="Calibri"/>
            <family val="2"/>
            <scheme val="minor"/>
          </rPr>
          <t xml:space="preserve">Le Thanh Ngan [RE]:
Le Thanh Ngan [RE]:
charge theo phí Pavilion VND 2,200,000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Thanh Ngan [KLV-KLOUD]</author>
  </authors>
  <commentList>
    <comment ref="U82" authorId="0" shapeId="0" xr:uid="{421E0231-1CBF-4760-80CB-4C61C0F32DEC}">
      <text>
        <r>
          <rPr>
            <b/>
            <sz val="9"/>
            <color indexed="81"/>
            <rFont val="Tahoma"/>
            <family val="2"/>
          </rPr>
          <t>Le Thanh Ngan [KLV-KLOUD]:</t>
        </r>
        <r>
          <rPr>
            <sz val="9"/>
            <color indexed="81"/>
            <rFont val="Tahoma"/>
            <family val="2"/>
          </rPr>
          <t xml:space="preserve">
 (Bao gồm 10% VAT)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Thanh Ngan [KLV-KLOUD]</author>
  </authors>
  <commentList>
    <comment ref="U81" authorId="0" shapeId="0" xr:uid="{F9AEF60B-3182-4669-A7F6-42202A442C41}">
      <text>
        <r>
          <rPr>
            <b/>
            <sz val="9"/>
            <color indexed="81"/>
            <rFont val="Tahoma"/>
            <family val="2"/>
          </rPr>
          <t>Le Thanh Ngan [KLV-KLOUD]:</t>
        </r>
        <r>
          <rPr>
            <sz val="9"/>
            <color indexed="81"/>
            <rFont val="Tahoma"/>
            <family val="2"/>
          </rPr>
          <t xml:space="preserve">
 (Bao gồm 10% VAT)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Thanh Ngan [KLV-KLOUD]</author>
  </authors>
  <commentList>
    <comment ref="Q7" authorId="0" shapeId="0" xr:uid="{0E745DE1-678F-4EC5-9D94-650008291600}">
      <text>
        <r>
          <rPr>
            <b/>
            <sz val="9"/>
            <color indexed="81"/>
            <rFont val="Tahoma"/>
            <family val="2"/>
          </rPr>
          <t>Le Thanh Ngan [KLV-KLOUD]:</t>
        </r>
        <r>
          <rPr>
            <sz val="9"/>
            <color indexed="81"/>
            <rFont val="Tahoma"/>
            <family val="2"/>
          </rPr>
          <t xml:space="preserve">
 (Bao gồm 10% VAT)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 Thanh Ngan [KLV-KLOUD]</author>
  </authors>
  <commentList>
    <comment ref="Q7" authorId="0" shapeId="0" xr:uid="{9C035F0A-F46F-417D-8678-B373D34046A9}">
      <text>
        <r>
          <rPr>
            <b/>
            <sz val="9"/>
            <color indexed="81"/>
            <rFont val="Tahoma"/>
            <family val="2"/>
          </rPr>
          <t>Le Thanh Ngan [KLV-KLOUD]:</t>
        </r>
        <r>
          <rPr>
            <sz val="9"/>
            <color indexed="81"/>
            <rFont val="Tahoma"/>
            <family val="2"/>
          </rPr>
          <t xml:space="preserve">
 (Bao gồm 10% VAT)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Vo Phuong Anh [KLOUD]</author>
  </authors>
  <commentList>
    <comment ref="J2" authorId="0" shapeId="0" xr:uid="{7175D66E-428E-44B6-A5B7-16AE2EC9A7A7}">
      <text>
        <r>
          <rPr>
            <b/>
            <sz val="9"/>
            <color indexed="81"/>
            <rFont val="Tahoma"/>
            <family val="2"/>
          </rPr>
          <t>Vo Phuong Anh [KLOUD]:</t>
        </r>
        <r>
          <rPr>
            <sz val="9"/>
            <color indexed="81"/>
            <rFont val="Tahoma"/>
            <family val="2"/>
          </rPr>
          <t xml:space="preserve">
hđ cũ: 4h FOC
hđ mới : 4h FOC</t>
        </r>
      </text>
    </comment>
    <comment ref="C23" authorId="0" shapeId="0" xr:uid="{684241EC-AC69-4FFF-9268-C37CB79EDDB8}">
      <text>
        <r>
          <rPr>
            <b/>
            <sz val="9"/>
            <color indexed="81"/>
            <rFont val="Tahoma"/>
            <family val="2"/>
          </rPr>
          <t>Vo Phuong Anh [KLOUD]:</t>
        </r>
        <r>
          <rPr>
            <sz val="9"/>
            <color indexed="81"/>
            <rFont val="Tahoma"/>
            <family val="2"/>
          </rPr>
          <t xml:space="preserve">
book block 4 tiếng -&gt; charge 3 tiếng</t>
        </r>
      </text>
    </comment>
    <comment ref="E23" authorId="0" shapeId="0" xr:uid="{C6916913-1441-435E-8755-E438D428ED12}">
      <text>
        <r>
          <rPr>
            <b/>
            <sz val="9"/>
            <color indexed="81"/>
            <rFont val="Tahoma"/>
            <family val="2"/>
          </rPr>
          <t>Vo Phuong Anh [KLOUD]:</t>
        </r>
        <r>
          <rPr>
            <sz val="9"/>
            <color indexed="81"/>
            <rFont val="Tahoma"/>
            <family val="2"/>
          </rPr>
          <t xml:space="preserve">
3h/buổi</t>
        </r>
      </text>
    </comment>
    <comment ref="E24" authorId="0" shapeId="0" xr:uid="{5E0C2CB8-1797-4397-A7EF-164EF38B0DE9}">
      <text>
        <r>
          <rPr>
            <b/>
            <sz val="9"/>
            <color indexed="81"/>
            <rFont val="Tahoma"/>
            <family val="2"/>
          </rPr>
          <t>Vo Phuong Anh [KLOUD]:</t>
        </r>
        <r>
          <rPr>
            <sz val="9"/>
            <color indexed="81"/>
            <rFont val="Tahoma"/>
            <family val="2"/>
          </rPr>
          <t xml:space="preserve">
6H/ngày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F8B2D2-2C09-46D7-B799-78E319F72D0D}" name="Connection" type="4" refreshedVersion="0" background="1" saveData="1">
    <webPr url="https://vnkloudwso.workspacesg.com/ViewBooking.aspx" htmlTables="1" htmlFormat="rtf">
      <tables count="1">
        <x v="2"/>
      </tables>
    </webPr>
  </connection>
  <connection id="2" xr16:uid="{81054B6E-EB29-44D1-9737-CDE9778D3B9D}" name="Connection1" type="4" refreshedVersion="8" background="1" saveData="1">
    <webPr url="https://en.wikipedia.org/wiki/List_of_BTS_live_performances" htmlTables="1" htmlFormat="rtf">
      <tables count="1">
        <x v="2"/>
      </tables>
    </web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<sst xmlns="http://schemas.openxmlformats.org/spreadsheetml/2006/main" count="10231" uniqueCount="2216">
  <si>
    <t xml:space="preserve">FACILITY MONTHLY CHARGED </t>
  </si>
  <si>
    <t>Paid and invoice issued by Finance</t>
  </si>
  <si>
    <t>FACILITIES CHARGED AT KLOUD</t>
  </si>
  <si>
    <t>KLOUD received, but not paid &amp; invoice issued</t>
  </si>
  <si>
    <t>1 MAR 2023 - 31 MAR 2023</t>
  </si>
  <si>
    <t>Not paid</t>
  </si>
  <si>
    <t>No.</t>
  </si>
  <si>
    <t>BookID</t>
  </si>
  <si>
    <t>Facility</t>
  </si>
  <si>
    <t>Book Date</t>
  </si>
  <si>
    <t>Start Time</t>
  </si>
  <si>
    <t>End Time</t>
  </si>
  <si>
    <t>subject</t>
  </si>
  <si>
    <t>Booked By</t>
  </si>
  <si>
    <t>Booked For</t>
  </si>
  <si>
    <t>No. Of Attendees</t>
  </si>
  <si>
    <t>Attendees' Email</t>
  </si>
  <si>
    <t>Remark</t>
  </si>
  <si>
    <t>Trans Date</t>
  </si>
  <si>
    <t>Status on 
WSO</t>
  </si>
  <si>
    <t>Discount
(%)</t>
  </si>
  <si>
    <t>Fee charge per day / half day (VND)</t>
  </si>
  <si>
    <t>Fee charge per hour (VND)</t>
  </si>
  <si>
    <t>Total hour(s)
used</t>
  </si>
  <si>
    <t>Additional sevices charged (VND)</t>
  </si>
  <si>
    <t>Amount (VND)</t>
  </si>
  <si>
    <t>Actual billing status</t>
  </si>
  <si>
    <t>10% VAT</t>
  </si>
  <si>
    <t>TOTAL</t>
  </si>
  <si>
    <t>Cash Payment</t>
  </si>
  <si>
    <t>Status</t>
  </si>
  <si>
    <t>4069</t>
  </si>
  <si>
    <t>VN Phòng Họp Lớn - Boardroom</t>
  </si>
  <si>
    <t>31/03/2023</t>
  </si>
  <si>
    <t>LGS booking/ Ms Eli</t>
  </si>
  <si>
    <t>thanhngan.le</t>
  </si>
  <si>
    <t>tuyetnhi.la</t>
  </si>
  <si>
    <t>12</t>
  </si>
  <si>
    <t>LGS</t>
  </si>
  <si>
    <t>30/3/2023 4:38:06 PM</t>
  </si>
  <si>
    <t>APPROVED</t>
  </si>
  <si>
    <t>100</t>
  </si>
  <si>
    <t>4068</t>
  </si>
  <si>
    <t>VN Thư Viện 1 - The Library 1</t>
  </si>
  <si>
    <t>30/03/2023</t>
  </si>
  <si>
    <t>Chanel booking/ Ms Thu</t>
  </si>
  <si>
    <t>3</t>
  </si>
  <si>
    <t>CHANEL</t>
  </si>
  <si>
    <t>30/3/2023 1:57:12 PM</t>
  </si>
  <si>
    <t>4067</t>
  </si>
  <si>
    <t>28/03/2023</t>
  </si>
  <si>
    <t>Talentnet booking/ Ms Thu</t>
  </si>
  <si>
    <t>eco.thuy.dinh</t>
  </si>
  <si>
    <t>TALENTNET</t>
  </si>
  <si>
    <t>28/3/2023 3:53:29 PM</t>
  </si>
  <si>
    <t>4066</t>
  </si>
  <si>
    <t>5</t>
  </si>
  <si>
    <t>28/3/2023 3:44:44 PM</t>
  </si>
  <si>
    <t>28/3/2023 1:22:57 PM</t>
  </si>
  <si>
    <t>4064</t>
  </si>
  <si>
    <t>Houlihan Lokey booking/ Mr Takahashi</t>
  </si>
  <si>
    <t>1</t>
  </si>
  <si>
    <t>HOULIHAN</t>
  </si>
  <si>
    <t>28/3/2023 12:17:43 PM</t>
  </si>
  <si>
    <t>10</t>
  </si>
  <si>
    <t>VN Phòng Học 3 - The Study 3</t>
  </si>
  <si>
    <t>23/03/2023</t>
  </si>
  <si>
    <t>Houlihan Lokey booking/ Ms Takahashi</t>
  </si>
  <si>
    <t>22/3/2023 5:53:54 PM</t>
  </si>
  <si>
    <t>4061</t>
  </si>
  <si>
    <t>22/03/2023</t>
  </si>
  <si>
    <t>Kvision booking/ Ms Trinh</t>
  </si>
  <si>
    <t>KASIKORN</t>
  </si>
  <si>
    <t>22/3/2023 5:37:01 PM</t>
  </si>
  <si>
    <t>4060</t>
  </si>
  <si>
    <t>VN Thư Viện 2 - The Library 2</t>
  </si>
  <si>
    <t>6</t>
  </si>
  <si>
    <t>22/3/2023 2:20:56 PM</t>
  </si>
  <si>
    <t>4059</t>
  </si>
  <si>
    <t>22/3/2023 2:19:50 PM</t>
  </si>
  <si>
    <t>4055</t>
  </si>
  <si>
    <t>21/03/2023</t>
  </si>
  <si>
    <t>Booking for V-ZUG - Ms. Kim</t>
  </si>
  <si>
    <t>V-ZUG</t>
  </si>
  <si>
    <t>21/3/2023 1:23:06 PM</t>
  </si>
  <si>
    <t>4054</t>
  </si>
  <si>
    <t>Reserve for massage session</t>
  </si>
  <si>
    <t>huyen.bui</t>
  </si>
  <si>
    <t>ngochuyen.bui</t>
  </si>
  <si>
    <t>KLOUD</t>
  </si>
  <si>
    <t>21/3/2023 10:43:05 AM</t>
  </si>
  <si>
    <t>4053</t>
  </si>
  <si>
    <t>Bright Capital - PSI</t>
  </si>
  <si>
    <t>BRIGHT CAPITAL</t>
  </si>
  <si>
    <t>20/3/2023 6:56:35 PM</t>
  </si>
  <si>
    <t>4052</t>
  </si>
  <si>
    <t>17/03/2023</t>
  </si>
  <si>
    <t>Kvision booking/ Mr Thang</t>
  </si>
  <si>
    <t>17/3/2023 10:51:39 AM</t>
  </si>
  <si>
    <t>4051</t>
  </si>
  <si>
    <t>8</t>
  </si>
  <si>
    <t>16/3/2023 5:36:47 PM</t>
  </si>
  <si>
    <t>4050</t>
  </si>
  <si>
    <t>15/3/2023 4:30:28 PM</t>
  </si>
  <si>
    <t>4049</t>
  </si>
  <si>
    <t>15/03/2023</t>
  </si>
  <si>
    <t>Enterprise Ireland booking/ Ms Thuy Anh</t>
  </si>
  <si>
    <t>EI</t>
  </si>
  <si>
    <t>15/3/2023 12:57:13 PM</t>
  </si>
  <si>
    <t>4048</t>
  </si>
  <si>
    <t>14/03/2023</t>
  </si>
  <si>
    <t>6012AL</t>
  </si>
  <si>
    <t>MCK</t>
  </si>
  <si>
    <t>14/3/2023 10:14:46 AM</t>
  </si>
  <si>
    <t>4047</t>
  </si>
  <si>
    <t>16/03/2023</t>
  </si>
  <si>
    <t>Kvision booking/ Ms Thang</t>
  </si>
  <si>
    <t>14/3/2023 10:06:50 AM</t>
  </si>
  <si>
    <t>4046</t>
  </si>
  <si>
    <t>13/03/2023</t>
  </si>
  <si>
    <t>Book for Yong Poh</t>
  </si>
  <si>
    <t>13/3/2023 2:57:44 PM</t>
  </si>
  <si>
    <t>4045</t>
  </si>
  <si>
    <t>Book for Ms Vi - Seiko</t>
  </si>
  <si>
    <t>SEIKO</t>
  </si>
  <si>
    <t>13/3/2023 12:32:50 PM</t>
  </si>
  <si>
    <t>4044</t>
  </si>
  <si>
    <t>KLOUD meeting</t>
  </si>
  <si>
    <t>13/3/2023 10:20:29 AM</t>
  </si>
  <si>
    <t>4043</t>
  </si>
  <si>
    <t>10/03/2023</t>
  </si>
  <si>
    <t>Booking for Chanel - Ms Thu</t>
  </si>
  <si>
    <t>HUYEN.BUI</t>
  </si>
  <si>
    <t>2</t>
  </si>
  <si>
    <t>4042</t>
  </si>
  <si>
    <t>Booking for Ms Vy - Chanel</t>
  </si>
  <si>
    <t>13</t>
  </si>
  <si>
    <t>4041</t>
  </si>
  <si>
    <t>4040</t>
  </si>
  <si>
    <t>ZWS324</t>
  </si>
  <si>
    <t>Ngan.Dang</t>
  </si>
  <si>
    <t>4039</t>
  </si>
  <si>
    <t>07/03/2023</t>
  </si>
  <si>
    <t>Ecolean booking</t>
  </si>
  <si>
    <t>4038</t>
  </si>
  <si>
    <t>4037</t>
  </si>
  <si>
    <t>08/03/2023</t>
  </si>
  <si>
    <t>Houlihan Lokey booking</t>
  </si>
  <si>
    <t>4036</t>
  </si>
  <si>
    <t>Houlihan booking</t>
  </si>
  <si>
    <t>CANCELL</t>
  </si>
  <si>
    <t>4035</t>
  </si>
  <si>
    <t>24/03/2023</t>
  </si>
  <si>
    <t>Chanel booking/ Ms Thu Vu</t>
  </si>
  <si>
    <t>4034</t>
  </si>
  <si>
    <t>4033</t>
  </si>
  <si>
    <t>20/03/2023</t>
  </si>
  <si>
    <t>4032</t>
  </si>
  <si>
    <t>4031</t>
  </si>
  <si>
    <t>03/03/2023</t>
  </si>
  <si>
    <t>Talenet/ Ecolean booking</t>
  </si>
  <si>
    <t>4030</t>
  </si>
  <si>
    <t>4029</t>
  </si>
  <si>
    <t>02/03/2023</t>
  </si>
  <si>
    <t>4028</t>
  </si>
  <si>
    <t>06/03/2023</t>
  </si>
  <si>
    <t>Chanel booking/ Ms Vy</t>
  </si>
  <si>
    <t>15</t>
  </si>
  <si>
    <t>2/3/2023 3:57:03 PM</t>
  </si>
  <si>
    <t>4027</t>
  </si>
  <si>
    <t>Booking.com booking/ Ms Quynh Mai Phan</t>
  </si>
  <si>
    <t>16</t>
  </si>
  <si>
    <t>BOOKING</t>
  </si>
  <si>
    <t>2/3/2023 2:41:13 PM</t>
  </si>
  <si>
    <t>CANCELLED</t>
  </si>
  <si>
    <t>Ecolean - Ms Thu</t>
  </si>
  <si>
    <t>4024</t>
  </si>
  <si>
    <t>01/03/2023</t>
  </si>
  <si>
    <t>1/3/2023 4:11:13 PM</t>
  </si>
  <si>
    <t>4023</t>
  </si>
  <si>
    <t>28/2/2023 3:20:47 PM</t>
  </si>
  <si>
    <t>Setup 2 more chairs</t>
  </si>
  <si>
    <t>28/2/2023 3:20:14 PM</t>
  </si>
  <si>
    <t>28/2/2023 3:19:20 PM</t>
  </si>
  <si>
    <t>28/2/2023 3:18:50 PM</t>
  </si>
  <si>
    <t>4018</t>
  </si>
  <si>
    <t>0881RU</t>
  </si>
  <si>
    <t>27/2/2023 11:50:22 AM</t>
  </si>
  <si>
    <t>27/2/2023 11:49:53 AM</t>
  </si>
  <si>
    <t>27/2/2023 11:49:27 AM</t>
  </si>
  <si>
    <t>23/2/2023 10:22:38 AM</t>
  </si>
  <si>
    <t>23/2/2023 10:21:48 AM</t>
  </si>
  <si>
    <t>4004</t>
  </si>
  <si>
    <t>17/2/2023 10:49:31 AM</t>
  </si>
  <si>
    <t>17/2/2023 10:15:33 AM</t>
  </si>
  <si>
    <t>ZYD825</t>
  </si>
  <si>
    <t>15/2/2023 10:28:55 AM</t>
  </si>
  <si>
    <t>N/A</t>
  </si>
  <si>
    <t>Pavilion</t>
  </si>
  <si>
    <t>SLP</t>
  </si>
  <si>
    <t>SLP_Tu Nguyen</t>
  </si>
  <si>
    <t>Ms An</t>
  </si>
  <si>
    <t>CHARGE 100% FEE</t>
  </si>
  <si>
    <t>CHARGE 50% FEE</t>
  </si>
  <si>
    <t>Booking.com booking</t>
  </si>
  <si>
    <t>Ms Quynh Mai Phan</t>
  </si>
  <si>
    <t>Classroom</t>
  </si>
  <si>
    <t>29/03/2023</t>
  </si>
  <si>
    <t>U SHAPE</t>
  </si>
  <si>
    <t>Ms Phuc</t>
  </si>
  <si>
    <t>Sitting with one table and seats around</t>
  </si>
  <si>
    <t>1 FEB 2023 - 28 FEB  2023</t>
  </si>
  <si>
    <t>Phuc Pham</t>
  </si>
  <si>
    <t>CHARGE 50%</t>
  </si>
  <si>
    <t>Ms Vy</t>
  </si>
  <si>
    <t>50</t>
  </si>
  <si>
    <t>20/2/2023</t>
  </si>
  <si>
    <t>Ms Thao</t>
  </si>
  <si>
    <t>UA</t>
  </si>
  <si>
    <t>15/2/2023</t>
  </si>
  <si>
    <t>27/02/2023</t>
  </si>
  <si>
    <t>27/2/2023 12:04:41 PM</t>
  </si>
  <si>
    <t>HN0317</t>
  </si>
  <si>
    <t>24/2/2023 2:28:39 PM</t>
  </si>
  <si>
    <t>22/02/2023</t>
  </si>
  <si>
    <t>22/2/2023 10:47:34 AM</t>
  </si>
  <si>
    <t>22/2/2023 10:47:07 AM</t>
  </si>
  <si>
    <t>21/02/2023</t>
  </si>
  <si>
    <t>gca.s61</t>
  </si>
  <si>
    <t>21/2/2023 10:56:21 AM</t>
  </si>
  <si>
    <t>Ms Vi Nguyen - SEIKO</t>
  </si>
  <si>
    <t>20/2/2023 4:09:25 PM</t>
  </si>
  <si>
    <t>20/2/2023 4:02:37 PM</t>
  </si>
  <si>
    <t>24/02/2023</t>
  </si>
  <si>
    <t>McKinsey/ Charge code to be provided</t>
  </si>
  <si>
    <t>17/2/2023 4:50:33 PM</t>
  </si>
  <si>
    <t>Citibank booking/ Ms Mai</t>
  </si>
  <si>
    <t>17/2/2023 10:53:39 AM</t>
  </si>
  <si>
    <t>17/2/2023 10:53:17 AM</t>
  </si>
  <si>
    <t>17/02/2023</t>
  </si>
  <si>
    <t>Xcoal booking/ Mr Hai</t>
  </si>
  <si>
    <t>xc.hai.phan</t>
  </si>
  <si>
    <t>XCOAL</t>
  </si>
  <si>
    <t>17/2/2023 10:10:08 AM</t>
  </si>
  <si>
    <t>Citi booking/ Ms Mai</t>
  </si>
  <si>
    <t>citi.tram.do</t>
  </si>
  <si>
    <t>CITIBANK</t>
  </si>
  <si>
    <t>16/2/2023 4:21:04 PM</t>
  </si>
  <si>
    <t>16/2/2023 4:20:44 PM</t>
  </si>
  <si>
    <t>Ms Anh Phan booking</t>
  </si>
  <si>
    <t>Bright Capital &amp; RISA Partners</t>
  </si>
  <si>
    <t>16/2/2023 2:55:39 PM</t>
  </si>
  <si>
    <t>Ms Phan Anh booking</t>
  </si>
  <si>
    <t>16/2/2023 2:36:42 PM</t>
  </si>
  <si>
    <t>Ecolean booking/ Ms Thu</t>
  </si>
  <si>
    <t>ECOLEAN</t>
  </si>
  <si>
    <t>15/2/2023 5:56:01 PM</t>
  </si>
  <si>
    <t>14/02/2023</t>
  </si>
  <si>
    <t>Booking - Ms. Phuc Pham</t>
  </si>
  <si>
    <t>phuonganh.vo</t>
  </si>
  <si>
    <t>add 3-5 gh? t? pavilion</t>
  </si>
  <si>
    <t>14/2/2023 1:06:59 PM</t>
  </si>
  <si>
    <t>add thêm 3-5 gh? t? pavilion</t>
  </si>
  <si>
    <t>14/2/2023 1:06:20 PM</t>
  </si>
  <si>
    <t>Booking for Cadence - Mr. Thang</t>
  </si>
  <si>
    <t>add 2 chairs from pavilion</t>
  </si>
  <si>
    <t>CADENCE</t>
  </si>
  <si>
    <t>14/2/2023 11:01:29 AM</t>
  </si>
  <si>
    <t>23/02/2023</t>
  </si>
  <si>
    <t>Chanel - Ms. Vy (Ms Th?m – FBP training)</t>
  </si>
  <si>
    <t>13/2/2023 10:26:54 AM</t>
  </si>
  <si>
    <t>Chanel - Ms. Vy ((Ms Th?m – FBP training)</t>
  </si>
  <si>
    <t>13/2/2023 10:26:12 AM</t>
  </si>
  <si>
    <t>20/02/2023</t>
  </si>
  <si>
    <t>13/2/2023 10:25:31 AM</t>
  </si>
  <si>
    <t>16/02/2023</t>
  </si>
  <si>
    <t>15/02/2023</t>
  </si>
  <si>
    <t>13/02/2023</t>
  </si>
  <si>
    <t>3981</t>
  </si>
  <si>
    <t>Cadence booking/ Mr Long</t>
  </si>
  <si>
    <t>9/2/2023 1:15:30 PM</t>
  </si>
  <si>
    <t>3980</t>
  </si>
  <si>
    <t>09/02/2023</t>
  </si>
  <si>
    <t>Cosmo booking/ Ms Kazuya</t>
  </si>
  <si>
    <t>COSMOS</t>
  </si>
  <si>
    <t>9/2/2023 11:44:34 AM</t>
  </si>
  <si>
    <t>Viet Petro booking/ Mr Thanh</t>
  </si>
  <si>
    <t>VIET PETRO</t>
  </si>
  <si>
    <t>Cosmos booking</t>
  </si>
  <si>
    <t>3977</t>
  </si>
  <si>
    <t>La Tuyet Nhi booking</t>
  </si>
  <si>
    <t>8/2/2023 10:37:03 AM</t>
  </si>
  <si>
    <t>3976</t>
  </si>
  <si>
    <t>7/2/2023 4:46:41 PM</t>
  </si>
  <si>
    <t>Houlihan Lokey booking/ Ms Huong</t>
  </si>
  <si>
    <t>3972</t>
  </si>
  <si>
    <t>03/02/2023</t>
  </si>
  <si>
    <t>3/2/2023 3:00:40 PM</t>
  </si>
  <si>
    <t>1 hour FOC</t>
  </si>
  <si>
    <t>3967</t>
  </si>
  <si>
    <t>1/2/2023 3:28:35 PM</t>
  </si>
  <si>
    <t>Houlihan booking/ Ms Huong</t>
  </si>
  <si>
    <t>Chanel booking/ Ms Trang</t>
  </si>
  <si>
    <t>30/1/2023 5:48:24 PM</t>
  </si>
  <si>
    <t>30/1/2023 5:47:26 PM</t>
  </si>
  <si>
    <t>30/1/2023 5:46:58 PM</t>
  </si>
  <si>
    <t>30/1/2023 5:46:24 PM</t>
  </si>
  <si>
    <t>30/1/2023 5:45:57 PM</t>
  </si>
  <si>
    <t>30/1/2023 5:45:31 PM</t>
  </si>
  <si>
    <t>3957</t>
  </si>
  <si>
    <t>07/02/2023</t>
  </si>
  <si>
    <t>30/1/2023 5:45:01 PM</t>
  </si>
  <si>
    <t>Booking for Ecolean/ Ms Thu Le</t>
  </si>
  <si>
    <t>30/1/2023 11:30:14 AM</t>
  </si>
  <si>
    <t>CCZYD788 và Z6SWCE</t>
  </si>
  <si>
    <t>18/1/2023 2:36:17 PM</t>
  </si>
  <si>
    <t>8 hours FOC</t>
  </si>
  <si>
    <t>Booking for Chanel/ Ms Vy</t>
  </si>
  <si>
    <t>16/1/2023 10:36:41 AM</t>
  </si>
  <si>
    <t>1 JAN 2023 - 31 JAN  2023</t>
  </si>
  <si>
    <t>Booking.com - Ms. Phuc's</t>
  </si>
  <si>
    <t>Ms. Phuc</t>
  </si>
  <si>
    <t>Z3ILHO</t>
  </si>
  <si>
    <t>charge 100% fee</t>
  </si>
  <si>
    <t>charge 50% fee</t>
  </si>
  <si>
    <t>3953</t>
  </si>
  <si>
    <t>13/01/2023</t>
  </si>
  <si>
    <t>Z5RHDP</t>
  </si>
  <si>
    <t>13/1/2023 11:08:30 AM</t>
  </si>
  <si>
    <t>MCK - NOT YET PROVIDE CODE</t>
  </si>
  <si>
    <t>mck.an.vu</t>
  </si>
  <si>
    <t>3951</t>
  </si>
  <si>
    <t>12/01/2023</t>
  </si>
  <si>
    <t>Booking for Citibank/ Ms Nhu Phung</t>
  </si>
  <si>
    <t>12/1/2023 3:53:47 PM</t>
  </si>
  <si>
    <t>3950</t>
  </si>
  <si>
    <t>11/01/2023</t>
  </si>
  <si>
    <t>Booking for Kvision/ Ms Trinh</t>
  </si>
  <si>
    <t>11/1/2023 6:42:27 PM</t>
  </si>
  <si>
    <t>3949</t>
  </si>
  <si>
    <t>9779DA</t>
  </si>
  <si>
    <t>11/1/2023 3:04:47 PM</t>
  </si>
  <si>
    <t>3948</t>
  </si>
  <si>
    <t>11/1/2023 3:03:32 PM</t>
  </si>
  <si>
    <t>3946</t>
  </si>
  <si>
    <t>11/1/2023 3:01:00 PM</t>
  </si>
  <si>
    <t>3945</t>
  </si>
  <si>
    <t>11/1/2023 2:59:12 PM</t>
  </si>
  <si>
    <t>3944</t>
  </si>
  <si>
    <t>18/01/2023</t>
  </si>
  <si>
    <t>Booking for Ecolean/ Ms Thu</t>
  </si>
  <si>
    <t>10/1/2023 3:24:50 PM</t>
  </si>
  <si>
    <t>17/01/2023</t>
  </si>
  <si>
    <t>3942</t>
  </si>
  <si>
    <t>16/01/2023</t>
  </si>
  <si>
    <t>3941</t>
  </si>
  <si>
    <t>10/1/2023 3:22:30 PM</t>
  </si>
  <si>
    <t>3939</t>
  </si>
  <si>
    <t>10/1/2023 10:24:44 AM</t>
  </si>
  <si>
    <t>Booking for Ms Van</t>
  </si>
  <si>
    <t>VAN KLV</t>
  </si>
  <si>
    <t>3937</t>
  </si>
  <si>
    <t>Booking for Houlihan Lokey/ Ms Huong</t>
  </si>
  <si>
    <t>3935</t>
  </si>
  <si>
    <t>3934</t>
  </si>
  <si>
    <t>Booking for LGS/ Ms Eli</t>
  </si>
  <si>
    <t>4</t>
  </si>
  <si>
    <t>5/1/2023 4:59:02 PM</t>
  </si>
  <si>
    <t>3933</t>
  </si>
  <si>
    <t>5/1/2023 4:58:03 PM</t>
  </si>
  <si>
    <t>3932</t>
  </si>
  <si>
    <t>Booking for Tungaloy</t>
  </si>
  <si>
    <t>TUNGALOY</t>
  </si>
  <si>
    <t>4/1/2023 6:00:44 PM</t>
  </si>
  <si>
    <t>3931</t>
  </si>
  <si>
    <t>VN Phòng Học 2 - The Study 2</t>
  </si>
  <si>
    <t>4/1/2023 5:59:53 PM</t>
  </si>
  <si>
    <t>3930</t>
  </si>
  <si>
    <t>04/01/2023</t>
  </si>
  <si>
    <t>4/1/2023 12:23:00 PM</t>
  </si>
  <si>
    <t>3929</t>
  </si>
  <si>
    <t>Chanel - An's Booking</t>
  </si>
  <si>
    <t>3/1/2023 4:40:28 PM</t>
  </si>
  <si>
    <t>3928</t>
  </si>
  <si>
    <t>3/1/2023 4:40:17 PM</t>
  </si>
  <si>
    <t>3927</t>
  </si>
  <si>
    <t>28/12/2022 5:58:32 PM</t>
  </si>
  <si>
    <t>3879</t>
  </si>
  <si>
    <t>20/01/2023</t>
  </si>
  <si>
    <t>1/12/2022 1:06:55 PM</t>
  </si>
  <si>
    <t>19/01/2023</t>
  </si>
  <si>
    <t>-</t>
  </si>
  <si>
    <t>3874</t>
  </si>
  <si>
    <t>1/12/2022 1:01:31 PM</t>
  </si>
  <si>
    <t>3873</t>
  </si>
  <si>
    <t>1/12/2022 1:00:42 PM</t>
  </si>
  <si>
    <t>3870</t>
  </si>
  <si>
    <t>09/01/2023</t>
  </si>
  <si>
    <t>1/12/2022 12:54:50 PM</t>
  </si>
  <si>
    <t>3869</t>
  </si>
  <si>
    <t>06/01/2023</t>
  </si>
  <si>
    <t>1/12/2022 12:54:24 PM</t>
  </si>
  <si>
    <t>1 Jan 2023 - 31 Jan 2023</t>
  </si>
  <si>
    <t>Discount</t>
  </si>
  <si>
    <t>Amount (sub to VAT 8% VND)</t>
  </si>
  <si>
    <t>10:00am</t>
  </si>
  <si>
    <t>12:00pm</t>
  </si>
  <si>
    <t>CANCELED</t>
  </si>
  <si>
    <t>4:00pm</t>
  </si>
  <si>
    <t>5:00pm</t>
  </si>
  <si>
    <t>1 Feb 2023 - 29 Feb 2023</t>
  </si>
  <si>
    <t>03:00pm</t>
  </si>
  <si>
    <t>06:00pm</t>
  </si>
  <si>
    <t>Library 1</t>
  </si>
  <si>
    <t>12am</t>
  </si>
  <si>
    <t>03:30pm</t>
  </si>
  <si>
    <t>U shape setting, no projector is needed</t>
  </si>
  <si>
    <t>1 Mar 2023 - 31 Mar 2023</t>
  </si>
  <si>
    <t>8:30am</t>
  </si>
  <si>
    <t>10:30am</t>
  </si>
  <si>
    <t>The Library 2</t>
  </si>
  <si>
    <t>9am</t>
  </si>
  <si>
    <t>6pm</t>
  </si>
  <si>
    <t>5pm</t>
  </si>
  <si>
    <t>The Board Room</t>
  </si>
  <si>
    <t>11am</t>
  </si>
  <si>
    <t>1pm</t>
  </si>
  <si>
    <t>12pm</t>
  </si>
  <si>
    <t>1 Apr 2023 - 30 Apr 2023</t>
  </si>
  <si>
    <t>1 APR 2023 - 30 APR 2023</t>
  </si>
  <si>
    <t>4120</t>
  </si>
  <si>
    <t>28/04/2023</t>
  </si>
  <si>
    <t>Kvision booking/ Mr. Thang</t>
  </si>
  <si>
    <t>27/4/2023 5:37:56 PM</t>
  </si>
  <si>
    <t>4118</t>
  </si>
  <si>
    <t>25/04/2023</t>
  </si>
  <si>
    <t>Booking for Seiko - Mr. Khoa</t>
  </si>
  <si>
    <t>25/4/2023 3:27:20 PM</t>
  </si>
  <si>
    <t>4117</t>
  </si>
  <si>
    <t>Booking for Seiko/ Mr. Khoa</t>
  </si>
  <si>
    <t>25/4/2023 10:04:52 AM</t>
  </si>
  <si>
    <t>4116</t>
  </si>
  <si>
    <t>Seiko booking/ Ms Vi</t>
  </si>
  <si>
    <t>9</t>
  </si>
  <si>
    <t>24/4/2023 5:42:05 PM</t>
  </si>
  <si>
    <t>24/04/2023</t>
  </si>
  <si>
    <t>24/4/2023 5:39:42 PM</t>
  </si>
  <si>
    <t>4114</t>
  </si>
  <si>
    <t>Ms. Quynh</t>
  </si>
  <si>
    <t>24/4/2023 5:38:21 PM</t>
  </si>
  <si>
    <t>7</t>
  </si>
  <si>
    <t>24/4/2023 1:53:21 PM</t>
  </si>
  <si>
    <t>4112</t>
  </si>
  <si>
    <t>26/04/2023</t>
  </si>
  <si>
    <t>24/4/2023 11:15:07 AM</t>
  </si>
  <si>
    <t>4111</t>
  </si>
  <si>
    <t>24/4/2023 11:14:32 AM</t>
  </si>
  <si>
    <t>4110</t>
  </si>
  <si>
    <t>Booking for Mr. Khoa - Seiko</t>
  </si>
  <si>
    <t>24/4/2023 11:04:11 AM</t>
  </si>
  <si>
    <t>4109</t>
  </si>
  <si>
    <t>24/4/2023 11:03:33 AM</t>
  </si>
  <si>
    <t>4104</t>
  </si>
  <si>
    <t>20/04/2023</t>
  </si>
  <si>
    <t>20/4/2023 9:54:30 AM</t>
  </si>
  <si>
    <t>4103</t>
  </si>
  <si>
    <t>18/04/2023</t>
  </si>
  <si>
    <t>18/4/2023 5:09:12 PM</t>
  </si>
  <si>
    <t>4102</t>
  </si>
  <si>
    <t>Chanel-Booked by Thu Vu</t>
  </si>
  <si>
    <t>Ms. Huong – interview</t>
  </si>
  <si>
    <t>18/4/2023 2:13:30 PM</t>
  </si>
  <si>
    <t>4101</t>
  </si>
  <si>
    <t>18/4/2023 10:27:30 AM</t>
  </si>
  <si>
    <t>4097</t>
  </si>
  <si>
    <t>17/04/2023</t>
  </si>
  <si>
    <t>17/4/2023 3:00:50 PM</t>
  </si>
  <si>
    <t>4096</t>
  </si>
  <si>
    <t>17/4/2023 10:16:58 AM</t>
  </si>
  <si>
    <t>4095</t>
  </si>
  <si>
    <t>14/04/2023</t>
  </si>
  <si>
    <t>14/4/2023 11:07:25 AM</t>
  </si>
  <si>
    <t>4094</t>
  </si>
  <si>
    <t>UOB booking/ Ms Mai</t>
  </si>
  <si>
    <t>UOB</t>
  </si>
  <si>
    <t>14/4/2023 10:22:02 AM</t>
  </si>
  <si>
    <t>4093</t>
  </si>
  <si>
    <t>13/4/2023 2:42:20 PM</t>
  </si>
  <si>
    <t>4092</t>
  </si>
  <si>
    <t>13/04/2023</t>
  </si>
  <si>
    <t>4091</t>
  </si>
  <si>
    <t>12/04/2023</t>
  </si>
  <si>
    <t>4090</t>
  </si>
  <si>
    <t>19/04/2023</t>
  </si>
  <si>
    <t>Set up Board Room for STB meeting on 20/4</t>
  </si>
  <si>
    <t>25</t>
  </si>
  <si>
    <t>STB</t>
  </si>
  <si>
    <t>không bill</t>
  </si>
  <si>
    <t>4089</t>
  </si>
  <si>
    <t>4088</t>
  </si>
  <si>
    <t>11/04/2023</t>
  </si>
  <si>
    <t>Ecolean Talentnet booking/ Ms Uyen</t>
  </si>
  <si>
    <t>4087</t>
  </si>
  <si>
    <t>4086</t>
  </si>
  <si>
    <t>4085</t>
  </si>
  <si>
    <t>4084</t>
  </si>
  <si>
    <t>4083</t>
  </si>
  <si>
    <t>4082</t>
  </si>
  <si>
    <t>Ms. Ng?c training FBP</t>
  </si>
  <si>
    <t>4081</t>
  </si>
  <si>
    <t>4080</t>
  </si>
  <si>
    <t>21/04/2023</t>
  </si>
  <si>
    <t>Reserve for STB</t>
  </si>
  <si>
    <t>20</t>
  </si>
  <si>
    <t>4079</t>
  </si>
  <si>
    <t>4078</t>
  </si>
  <si>
    <t>07/04/2023</t>
  </si>
  <si>
    <t>Book for UOB/ Ms Nguyen Thi Mai</t>
  </si>
  <si>
    <t>4077</t>
  </si>
  <si>
    <t>06/04/2023</t>
  </si>
  <si>
    <t>Book for Keppel-Ms Loan</t>
  </si>
  <si>
    <t>4076</t>
  </si>
  <si>
    <t>Book for Ms Huong Chanel</t>
  </si>
  <si>
    <t>4075</t>
  </si>
  <si>
    <t>6/4/2023 10:40:55 AM</t>
  </si>
  <si>
    <t>4074</t>
  </si>
  <si>
    <t>6/4/2023 10:34:14 AM</t>
  </si>
  <si>
    <t>Ms Quynh</t>
  </si>
  <si>
    <t>4071</t>
  </si>
  <si>
    <t>camera and projector screen</t>
  </si>
  <si>
    <t>5/4/2023 6:11:11 PM</t>
  </si>
  <si>
    <t>4070</t>
  </si>
  <si>
    <t>04/04/2023</t>
  </si>
  <si>
    <t>Book for KVision</t>
  </si>
  <si>
    <t>4/4/2023 11:21:13 AM</t>
  </si>
  <si>
    <t>Enterprise Ireland/ Ms Thuy Anh</t>
  </si>
  <si>
    <t>27/3/2023 3:15:41 PM</t>
  </si>
  <si>
    <t>22/3/2023 10:01:16 AM</t>
  </si>
  <si>
    <t>22/3/2023 10:00:18 AM</t>
  </si>
  <si>
    <t>4056</t>
  </si>
  <si>
    <t>22/3/2023 9:59:51 AM</t>
  </si>
  <si>
    <t>Boardroom</t>
  </si>
  <si>
    <t>16-5-2023</t>
  </si>
  <si>
    <t>8:30</t>
  </si>
  <si>
    <t>12:30</t>
  </si>
  <si>
    <t>Mr Ulrich-team meeting (Chanel booking/ Ms Thu)</t>
  </si>
  <si>
    <t>Ms Thu</t>
  </si>
  <si>
    <t>Approved</t>
  </si>
  <si>
    <t>1 JUN 2023 - 30 JUN 2023</t>
  </si>
  <si>
    <t>1/6/2023</t>
  </si>
  <si>
    <t>UA booking</t>
  </si>
  <si>
    <t>Ms. Thao</t>
  </si>
  <si>
    <t>u shape for 30 people</t>
  </si>
  <si>
    <t>26/6/2023</t>
  </si>
  <si>
    <t>Booking.com</t>
  </si>
  <si>
    <t>Ms phuc</t>
  </si>
  <si>
    <t>30</t>
  </si>
  <si>
    <t>27/6/2023</t>
  </si>
  <si>
    <t>U shape setting</t>
  </si>
  <si>
    <t>28/6/2023</t>
  </si>
  <si>
    <t>U shape setting and Camera, projector</t>
  </si>
  <si>
    <t>29/6/2023</t>
  </si>
  <si>
    <t>2pm</t>
  </si>
  <si>
    <t>4pm</t>
  </si>
  <si>
    <t>Circle setting, no table</t>
  </si>
  <si>
    <t>1 MAY 2023 - 30 MAY 2023</t>
  </si>
  <si>
    <t>4183</t>
  </si>
  <si>
    <t>30/05/2023</t>
  </si>
  <si>
    <t>30/5/2023 4:52:29 PM</t>
  </si>
  <si>
    <t>FGF</t>
  </si>
  <si>
    <t>4182</t>
  </si>
  <si>
    <t>Ms Thuy - interview</t>
  </si>
  <si>
    <t>29/5/2023 3:01:31 PM</t>
  </si>
  <si>
    <t>4181</t>
  </si>
  <si>
    <t>29/05/2023</t>
  </si>
  <si>
    <t>Ms Trang - Interview</t>
  </si>
  <si>
    <t>29/5/2023 10:36:42 AM</t>
  </si>
  <si>
    <t>4180</t>
  </si>
  <si>
    <t>Ms Huong - Interview</t>
  </si>
  <si>
    <t>29/5/2023 10:07:18 AM</t>
  </si>
  <si>
    <t>29/5/2023 10:06:58 AM</t>
  </si>
  <si>
    <t>4175</t>
  </si>
  <si>
    <t>25/05/2023</t>
  </si>
  <si>
    <t>24/5/2023 6:34:22 PM</t>
  </si>
  <si>
    <t>24/05/2023</t>
  </si>
  <si>
    <t>TH0779</t>
  </si>
  <si>
    <t>23/5/2023 3:40:45 PM</t>
  </si>
  <si>
    <t>4173</t>
  </si>
  <si>
    <t>Ms Huong - interview</t>
  </si>
  <si>
    <t>23/5/2023 11:08:20 AM</t>
  </si>
  <si>
    <t>4172</t>
  </si>
  <si>
    <t>23/5/2023 11:07:58 AM</t>
  </si>
  <si>
    <t>4171</t>
  </si>
  <si>
    <t>23/5/2023 11:07:42 AM</t>
  </si>
  <si>
    <t>4170</t>
  </si>
  <si>
    <t>23/5/2023 11:07:23 AM</t>
  </si>
  <si>
    <t>4169</t>
  </si>
  <si>
    <t>23/5/2023 11:06:36 AM</t>
  </si>
  <si>
    <t>4168</t>
  </si>
  <si>
    <t>23/5/2023 10:52:58 AM</t>
  </si>
  <si>
    <t>4167</t>
  </si>
  <si>
    <t>23/5/2023 10:52:42 AM</t>
  </si>
  <si>
    <t>4166</t>
  </si>
  <si>
    <t>23/5/2023 10:48:11 AM</t>
  </si>
  <si>
    <t>4165</t>
  </si>
  <si>
    <t>23/5/2023 10:47:05 AM</t>
  </si>
  <si>
    <t>4164</t>
  </si>
  <si>
    <t>23/5/2023 10:46:47 AM</t>
  </si>
  <si>
    <t>4163</t>
  </si>
  <si>
    <t>23/5/2023 10:46:08 AM</t>
  </si>
  <si>
    <t>4162</t>
  </si>
  <si>
    <t>23/05/2023</t>
  </si>
  <si>
    <t>22/5/2023 6:18:33 PM</t>
  </si>
  <si>
    <t>4161</t>
  </si>
  <si>
    <t>22/5/2023 5:56:02 PM</t>
  </si>
  <si>
    <t>4160</t>
  </si>
  <si>
    <t>22/5/2023 5:55:10 PM</t>
  </si>
  <si>
    <t>4159</t>
  </si>
  <si>
    <t>22/5/2023 1:04:45 PM</t>
  </si>
  <si>
    <t>4158</t>
  </si>
  <si>
    <t>Mr Khoa</t>
  </si>
  <si>
    <t>22/5/2023 12:04:46 PM</t>
  </si>
  <si>
    <t>4157</t>
  </si>
  <si>
    <t>22/05/2023</t>
  </si>
  <si>
    <t>UOB booking/ Ms Loan</t>
  </si>
  <si>
    <t>22/5/2023 11:58:10 AM</t>
  </si>
  <si>
    <t>4156</t>
  </si>
  <si>
    <t>Ms. Vy Huynh</t>
  </si>
  <si>
    <t>22/5/2023 10:50:19 AM</t>
  </si>
  <si>
    <t>4155</t>
  </si>
  <si>
    <t>Ms Vy Huynh</t>
  </si>
  <si>
    <t>22/5/2023 10:49:42 AM</t>
  </si>
  <si>
    <t>4154</t>
  </si>
  <si>
    <t>- Ulrich team meeting</t>
  </si>
  <si>
    <t>22/5/2023 10:49:03 AM</t>
  </si>
  <si>
    <t>4153</t>
  </si>
  <si>
    <t>4816BY</t>
  </si>
  <si>
    <t>22/5/2023 10:14:19 AM</t>
  </si>
  <si>
    <t>4152</t>
  </si>
  <si>
    <t>22/5/2023 10:12:57 AM</t>
  </si>
  <si>
    <t>4151</t>
  </si>
  <si>
    <t>Tungaloy Singapore booking/ Ms Tuye</t>
  </si>
  <si>
    <t>22/5/2023 9:54:56 AM</t>
  </si>
  <si>
    <t>4150</t>
  </si>
  <si>
    <t>19/05/2023</t>
  </si>
  <si>
    <t>Ms Quynh - Interview</t>
  </si>
  <si>
    <t>18/5/2023 6:22:37 PM</t>
  </si>
  <si>
    <t>4149</t>
  </si>
  <si>
    <t>18/05/2023</t>
  </si>
  <si>
    <t>Ms Quynh - interview</t>
  </si>
  <si>
    <t>18/5/2023 12:08:30 PM</t>
  </si>
  <si>
    <t>4148</t>
  </si>
  <si>
    <t>18/5/2023 10:43:49 AM</t>
  </si>
  <si>
    <t>4147</t>
  </si>
  <si>
    <t>18/5/2023 10:21:24 AM</t>
  </si>
  <si>
    <t>4146</t>
  </si>
  <si>
    <t>17/05/2023</t>
  </si>
  <si>
    <t>Ms Huong-interview</t>
  </si>
  <si>
    <t>17/5/2023 4:15:29 PM</t>
  </si>
  <si>
    <t>4144</t>
  </si>
  <si>
    <t>KVISION</t>
  </si>
  <si>
    <t>17/5/2023 1:08:46 PM</t>
  </si>
  <si>
    <t>4143</t>
  </si>
  <si>
    <t>Interview</t>
  </si>
  <si>
    <t>17/5/2023 10:10:25 AM</t>
  </si>
  <si>
    <t>4142</t>
  </si>
  <si>
    <t>Chanel Booking/ Ms Thu</t>
  </si>
  <si>
    <t>Mr. Ulrich - Team meeting</t>
  </si>
  <si>
    <t>16/5/2023 11:35:03 AM</t>
  </si>
  <si>
    <t>4141</t>
  </si>
  <si>
    <t>Chanel Booking/ Ms. Thu</t>
  </si>
  <si>
    <t>16/5/2023 10:17:52 AM</t>
  </si>
  <si>
    <t>Kvision Booking/ Ms. Trinh</t>
  </si>
  <si>
    <t>15/5/2023 5:18:39 PM</t>
  </si>
  <si>
    <t>15/05/2023</t>
  </si>
  <si>
    <t>Chanel booking/ Ms. Thu</t>
  </si>
  <si>
    <t>15/5/2023 2:55:25 PM</t>
  </si>
  <si>
    <t>4138</t>
  </si>
  <si>
    <t>15/5/2023 2:54:52 PM</t>
  </si>
  <si>
    <t>4137</t>
  </si>
  <si>
    <t>11/05/2023</t>
  </si>
  <si>
    <t>Chanel Booking/ Ms.Vy</t>
  </si>
  <si>
    <t>Ms Huong – interview</t>
  </si>
  <si>
    <t>11/5/2023 3:50:31 PM</t>
  </si>
  <si>
    <t>Chanel - No booking email in advance</t>
  </si>
  <si>
    <t>Xcoal Booking/Mr. Hai</t>
  </si>
  <si>
    <t>16/05/2023</t>
  </si>
  <si>
    <t>Mr Ulrich – team meeting</t>
  </si>
  <si>
    <t>4133</t>
  </si>
  <si>
    <t>Chanel Booking/Ms.Vy</t>
  </si>
  <si>
    <t>11/5/2023 2:34:11 PM</t>
  </si>
  <si>
    <t>Xcoal Booking/ Mr. Hai Phan</t>
  </si>
  <si>
    <t>Cosmos Booking/Kazuya</t>
  </si>
  <si>
    <t>LGS booking/ Ms Grace</t>
  </si>
  <si>
    <t>4128</t>
  </si>
  <si>
    <t>09/05/2023</t>
  </si>
  <si>
    <t>8/5/2023 6:18:09 PM</t>
  </si>
  <si>
    <t>UOB booking/ Ms Hang</t>
  </si>
  <si>
    <t>Tungaloy Singapore booking/ Ms Tuyen</t>
  </si>
  <si>
    <t>SINGAPORE</t>
  </si>
  <si>
    <t>Ms. Tham &amp; Ms Ngoc – Book training FBP</t>
  </si>
  <si>
    <t>27/4/2023 4:17:02 PM</t>
  </si>
  <si>
    <t>26/05/2023</t>
  </si>
  <si>
    <t>Ms. Tham – training FBP</t>
  </si>
  <si>
    <t>21/4/2023 1:27:33 PM</t>
  </si>
  <si>
    <t>Ms. Tham – FBP Training</t>
  </si>
  <si>
    <t>21/4/2023 1:25:27 PM</t>
  </si>
  <si>
    <t>21/4/2023 1:24:57 PM</t>
  </si>
  <si>
    <t>21/4/2023 1:24:27 PM</t>
  </si>
  <si>
    <t>17/4/2023 3:06:08 PM</t>
  </si>
  <si>
    <t>17/4/2023 3:04:29 PM</t>
  </si>
  <si>
    <t>17/4/2023 3:04:00 PM</t>
  </si>
  <si>
    <t>16/5/2023</t>
  </si>
  <si>
    <t>830</t>
  </si>
  <si>
    <t>1230</t>
  </si>
  <si>
    <t>4241</t>
  </si>
  <si>
    <t>30/06/2023</t>
  </si>
  <si>
    <t>Chanel Booking/ Ms Huong</t>
  </si>
  <si>
    <t>30/6/2023 11:13:54 AM</t>
  </si>
  <si>
    <t>4240</t>
  </si>
  <si>
    <t>29/06/2023</t>
  </si>
  <si>
    <t>Seiko reservation/ Ms. Vi</t>
  </si>
  <si>
    <t>29/6/2023 10:11:44 AM</t>
  </si>
  <si>
    <t>4239</t>
  </si>
  <si>
    <t>28/06/2023</t>
  </si>
  <si>
    <t>28/6/2023 3:37:18 PM</t>
  </si>
  <si>
    <t>4238</t>
  </si>
  <si>
    <t>28/6/2023 12:55:26 PM</t>
  </si>
  <si>
    <t>Chanel booking/ Ms Thu/ Ms. Thuy – Meeting vendor</t>
  </si>
  <si>
    <t>28/6/2023 11:09:19 AM</t>
  </si>
  <si>
    <t>4236</t>
  </si>
  <si>
    <t>27/06/2023</t>
  </si>
  <si>
    <t>Booking.com reservation/ Ms Phuc</t>
  </si>
  <si>
    <t>27/6/2023 4:00:38 PM</t>
  </si>
  <si>
    <t>SI1584</t>
  </si>
  <si>
    <t>27/6/2023 3:52:28 PM</t>
  </si>
  <si>
    <t>4234</t>
  </si>
  <si>
    <t>27/6/2023 1:22:47 PM</t>
  </si>
  <si>
    <t>FOC</t>
  </si>
  <si>
    <t>4232</t>
  </si>
  <si>
    <t>26/06/2023</t>
  </si>
  <si>
    <t>Chanel booking/ Ms Thu-meeting</t>
  </si>
  <si>
    <t>26/6/2023 11:58:32 AM</t>
  </si>
  <si>
    <t>4231</t>
  </si>
  <si>
    <t>26/6/2023 10:19:37 AM</t>
  </si>
  <si>
    <t>4230</t>
  </si>
  <si>
    <t>26/6/2023 10:13:31 AM</t>
  </si>
  <si>
    <t>4229</t>
  </si>
  <si>
    <t>Chanel booking/ Ms Thu/ Ms. Linh-meeting</t>
  </si>
  <si>
    <t>26/6/2023 9:50:35 AM</t>
  </si>
  <si>
    <t>4228</t>
  </si>
  <si>
    <t>26/6/2023 9:49:31 AM</t>
  </si>
  <si>
    <t>4227</t>
  </si>
  <si>
    <t>26/6/2023 9:49:11 AM</t>
  </si>
  <si>
    <t>4225</t>
  </si>
  <si>
    <t>Booking.com booking/ Ms Phuc</t>
  </si>
  <si>
    <t>22/6/2023 10:49:20 AM</t>
  </si>
  <si>
    <t>4224</t>
  </si>
  <si>
    <t>22/6/2023 10:48:52 AM</t>
  </si>
  <si>
    <t>4223</t>
  </si>
  <si>
    <t>22/6/2023 10:30:31 AM</t>
  </si>
  <si>
    <t>4222</t>
  </si>
  <si>
    <t>22/06/2023</t>
  </si>
  <si>
    <t>22/6/2023 10:04:30 AM</t>
  </si>
  <si>
    <t>4221</t>
  </si>
  <si>
    <t>21/06/2023</t>
  </si>
  <si>
    <t>Booking for Mr. Huy - ECOLEAN</t>
  </si>
  <si>
    <t>No booking via email in advance</t>
  </si>
  <si>
    <t>21/6/2023 6:07:09 PM</t>
  </si>
  <si>
    <t>4220</t>
  </si>
  <si>
    <t>Chanel booking/ Ms Thu/ Meeting Vendor (Ms. Thu – EXO – Vietlink)</t>
  </si>
  <si>
    <t>20/6/2023 5:10:48 PM</t>
  </si>
  <si>
    <t>4219</t>
  </si>
  <si>
    <t>20/6/2023 5:10:26 PM</t>
  </si>
  <si>
    <t>4218</t>
  </si>
  <si>
    <t>Chanel booking/ Ms Thu/ Mr. Tri</t>
  </si>
  <si>
    <t>20/6/2023 5:09:31 PM</t>
  </si>
  <si>
    <t>4217</t>
  </si>
  <si>
    <t>20/6/2023 10:51:16 AM</t>
  </si>
  <si>
    <t>4216</t>
  </si>
  <si>
    <t>20/6/2023 10:50:49 AM</t>
  </si>
  <si>
    <t>4215</t>
  </si>
  <si>
    <t>20/06/2023</t>
  </si>
  <si>
    <t>Chanel booking/ Ms Thu/ Mr. Tri – interview</t>
  </si>
  <si>
    <t>19/6/2023 6:21:13 PM</t>
  </si>
  <si>
    <t>4214</t>
  </si>
  <si>
    <t>15/6/2023 3:35:41 PM</t>
  </si>
  <si>
    <t>4213</t>
  </si>
  <si>
    <t>15/06/2023</t>
  </si>
  <si>
    <t>14/6/2023 12:23:54 PM</t>
  </si>
  <si>
    <t>4212</t>
  </si>
  <si>
    <t>Chanel booking/ Ms. Thuy Truc – FAS training</t>
  </si>
  <si>
    <t>14/6/2023 11:51:09 AM</t>
  </si>
  <si>
    <t>4211</t>
  </si>
  <si>
    <t>14/6/2023 11:50:42 AM</t>
  </si>
  <si>
    <t>4210</t>
  </si>
  <si>
    <t>14/6/2023 11:50:16 AM</t>
  </si>
  <si>
    <t>4209</t>
  </si>
  <si>
    <t>16/06/2023</t>
  </si>
  <si>
    <t>Chanel booking/ Ms Thu/ Ms Thuy interview</t>
  </si>
  <si>
    <t>14/6/2023 11:39:13 AM</t>
  </si>
  <si>
    <t>4208</t>
  </si>
  <si>
    <t>14/06/2023</t>
  </si>
  <si>
    <t>14/6/2023 11:36:48 AM</t>
  </si>
  <si>
    <t>4207</t>
  </si>
  <si>
    <t>14/6/2023 11:35:38 AM</t>
  </si>
  <si>
    <t>4206</t>
  </si>
  <si>
    <t>14/6/2023 11:35:18 AM</t>
  </si>
  <si>
    <t>4205</t>
  </si>
  <si>
    <t>14/6/2023 11:35:07 AM</t>
  </si>
  <si>
    <t>4204</t>
  </si>
  <si>
    <t>Ecolean reservation/ Ms Thu</t>
  </si>
  <si>
    <t>camera and projector setup</t>
  </si>
  <si>
    <t>13/6/2023 11:02:56 AM</t>
  </si>
  <si>
    <t>4202</t>
  </si>
  <si>
    <t>13/06/2023</t>
  </si>
  <si>
    <t>KLOUD booking</t>
  </si>
  <si>
    <t>4201</t>
  </si>
  <si>
    <t>Chanel booking/ Ms Thu/ Ms. Tram - FBP team meeting</t>
  </si>
  <si>
    <t>12/6/2023 1:09:26 PM</t>
  </si>
  <si>
    <t>4200</t>
  </si>
  <si>
    <t>9/6/2023 12:48:45 PM</t>
  </si>
  <si>
    <t>Kvision boooking/ Mr Thang</t>
  </si>
  <si>
    <t>ZYD788</t>
  </si>
  <si>
    <t>4197</t>
  </si>
  <si>
    <t>08/06/2023</t>
  </si>
  <si>
    <t>Ms. Trang – guest meeting</t>
  </si>
  <si>
    <t>8/6/2023 12:48:23 PM</t>
  </si>
  <si>
    <t>4196</t>
  </si>
  <si>
    <t>7/6/2023 4:30:45 PM</t>
  </si>
  <si>
    <t>Mckinsey booking</t>
  </si>
  <si>
    <t>4192</t>
  </si>
  <si>
    <t>05/06/2023</t>
  </si>
  <si>
    <t>5/6/2023 11:10:07 AM</t>
  </si>
  <si>
    <t>Crocs booking/ Ms Tram</t>
  </si>
  <si>
    <t>ZYU335</t>
  </si>
  <si>
    <t>KLOUD booking - audit</t>
  </si>
  <si>
    <t>4187</t>
  </si>
  <si>
    <t>02/06/2023</t>
  </si>
  <si>
    <t>Mck Booking</t>
  </si>
  <si>
    <t>31/5/2023 4:45:41 PM</t>
  </si>
  <si>
    <t>31/5/2023 4:40:47 PM</t>
  </si>
  <si>
    <t>Crocs booking/ Ms Ella</t>
  </si>
  <si>
    <t>26/5/2023 12:28:35 PM</t>
  </si>
  <si>
    <t>26/5/2023 12:28:10 PM</t>
  </si>
  <si>
    <t>26/5/2023 12:27:47 PM</t>
  </si>
  <si>
    <t>17/5/2023 1:16:50 PM</t>
  </si>
  <si>
    <t>1 JUL 2023 - 31 JUL 2023</t>
  </si>
  <si>
    <t>BILLED</t>
  </si>
  <si>
    <t>4287</t>
  </si>
  <si>
    <t>31/07/2023</t>
  </si>
  <si>
    <t>Ecolean reservation/ Ms Thuy</t>
  </si>
  <si>
    <t>31/7/2023 4:20:59 PM</t>
  </si>
  <si>
    <t>4285</t>
  </si>
  <si>
    <t>Chanel booking/ Ms Thu/ Mr. Ulrich meeting</t>
  </si>
  <si>
    <t>28/7/2023 5:12:40 PM</t>
  </si>
  <si>
    <t>4281</t>
  </si>
  <si>
    <t>28/07/2023</t>
  </si>
  <si>
    <t>Ecolean Reservation/ Mr Huy</t>
  </si>
  <si>
    <t>28/7/2023 9:55:22 AM</t>
  </si>
  <si>
    <t>4280</t>
  </si>
  <si>
    <t>Ecolean reservation/ Mr Huy</t>
  </si>
  <si>
    <t>26/7/2023 6:16:23 PM</t>
  </si>
  <si>
    <t>26/07/2023</t>
  </si>
  <si>
    <t>Ecolean reservation/ Ms. Thu</t>
  </si>
  <si>
    <t>25/7/2023 6:27:34 PM</t>
  </si>
  <si>
    <t>4278</t>
  </si>
  <si>
    <t>27/07/2023</t>
  </si>
  <si>
    <t>Chanel booking/ Ms Thu/ Mr. Ulrich – team meeting</t>
  </si>
  <si>
    <t>24/7/2023 3:07:13 PM</t>
  </si>
  <si>
    <t>24/7/2023 3:07:02 PM</t>
  </si>
  <si>
    <t>4276</t>
  </si>
  <si>
    <t>25/07/2023</t>
  </si>
  <si>
    <t>projector screen</t>
  </si>
  <si>
    <t>24/7/2023 1:08:58 PM</t>
  </si>
  <si>
    <t>4275</t>
  </si>
  <si>
    <t>Chanel booking/ Ms Thu/ Ms. Linh</t>
  </si>
  <si>
    <t>24/7/2023 11:08:08 AM</t>
  </si>
  <si>
    <t>4274</t>
  </si>
  <si>
    <t>Chanel booking/ Ms Thu/ Joey’s Team fashion briefing</t>
  </si>
  <si>
    <t>24/7/2023 11:06:54 AM</t>
  </si>
  <si>
    <t>4273</t>
  </si>
  <si>
    <t>24/7/2023 11:06:32 AM</t>
  </si>
  <si>
    <t>4272</t>
  </si>
  <si>
    <t>19/07/2023</t>
  </si>
  <si>
    <t>Chanel booking/ Ms Thu/ Ms Huong meeting</t>
  </si>
  <si>
    <t>19/7/2023 12:48:35 PM</t>
  </si>
  <si>
    <t>4271</t>
  </si>
  <si>
    <t>Chanel booking/ Ms Thu/ Ms. Linh meeting</t>
  </si>
  <si>
    <t>18/7/2023 5:38:40 PM</t>
  </si>
  <si>
    <t>4270</t>
  </si>
  <si>
    <t>20/07/2023</t>
  </si>
  <si>
    <t>Kvision reservation/ Mr Thang</t>
  </si>
  <si>
    <t>18/7/2023 3:56:37 PM</t>
  </si>
  <si>
    <t>4269</t>
  </si>
  <si>
    <t>Chanel booking/ Ms Thu/ Ms. Tram/ Ruby for FBP meeting</t>
  </si>
  <si>
    <t>18/7/2023 1:01:26 PM</t>
  </si>
  <si>
    <t>4268</t>
  </si>
  <si>
    <t>Chanel booking/ Ms Thu/ Ms. Hyojeong meeting</t>
  </si>
  <si>
    <t>18/7/2023 1:00:21 PM</t>
  </si>
  <si>
    <t>4267</t>
  </si>
  <si>
    <t>18/7/2023 12:44:45 PM</t>
  </si>
  <si>
    <t>4266</t>
  </si>
  <si>
    <t>18/07/2023</t>
  </si>
  <si>
    <t>hien.lam</t>
  </si>
  <si>
    <t>Hien.Lam</t>
  </si>
  <si>
    <t>0</t>
  </si>
  <si>
    <t>quanghien.lam@kloudsco.com</t>
  </si>
  <si>
    <t>18/7/2023 10:50:06 AM</t>
  </si>
  <si>
    <t>4265</t>
  </si>
  <si>
    <t>14/07/2023</t>
  </si>
  <si>
    <t>14/7/2023 5:31:27 PM</t>
  </si>
  <si>
    <t>4264</t>
  </si>
  <si>
    <t>14/7/2023 5:30:23 PM</t>
  </si>
  <si>
    <t>4263</t>
  </si>
  <si>
    <t>17/07/2023</t>
  </si>
  <si>
    <t>Seiko reservation/ Ms Vi</t>
  </si>
  <si>
    <t>14/7/2023 3:42:36 PM</t>
  </si>
  <si>
    <t>4262</t>
  </si>
  <si>
    <t>14/7/2023 3:41:09 PM</t>
  </si>
  <si>
    <t>4261</t>
  </si>
  <si>
    <t>13/07/2023</t>
  </si>
  <si>
    <t>Cleantech Solar reservation/</t>
  </si>
  <si>
    <t>paid</t>
  </si>
  <si>
    <t>CLEANTECH</t>
  </si>
  <si>
    <t>13/7/2023 6:28:26 PM</t>
  </si>
  <si>
    <t>4260</t>
  </si>
  <si>
    <t>Cleantech Solar reservation</t>
  </si>
  <si>
    <t>13/7/2023 6:14:01 PM</t>
  </si>
  <si>
    <t>4259</t>
  </si>
  <si>
    <t>11/07/2023</t>
  </si>
  <si>
    <t>UOB_Tran Thi Thuy Hang/Duong Phuong Loan booking</t>
  </si>
  <si>
    <t>4258</t>
  </si>
  <si>
    <t>10/07/2023</t>
  </si>
  <si>
    <t>Chanel booking/ Ms Thu/ Ms. Trang Interview</t>
  </si>
  <si>
    <t>4257</t>
  </si>
  <si>
    <t>Chanel booking/ Ms Thu/ Ms. Trang - Interview</t>
  </si>
  <si>
    <t>4256</t>
  </si>
  <si>
    <t>07/07/2023</t>
  </si>
  <si>
    <t>Chanel booking/ Ms Thu/ Ms Trang</t>
  </si>
  <si>
    <t>4255</t>
  </si>
  <si>
    <t>Honda Trading reservation/ paid</t>
  </si>
  <si>
    <t>HONDA</t>
  </si>
  <si>
    <t>4254</t>
  </si>
  <si>
    <t>Chanel booking/ Ms Thu/ Mr. Quyet team meeting</t>
  </si>
  <si>
    <t>4253</t>
  </si>
  <si>
    <t>4252</t>
  </si>
  <si>
    <t>4251</t>
  </si>
  <si>
    <t>nhung.duong</t>
  </si>
  <si>
    <t>nduong@gcakk.com</t>
  </si>
  <si>
    <t>4250</t>
  </si>
  <si>
    <t>12/07/2023</t>
  </si>
  <si>
    <t>Chanel booking/ Ms Thu/ Procoach demo</t>
  </si>
  <si>
    <t>4249</t>
  </si>
  <si>
    <t>UA reservation/ Ms Yen</t>
  </si>
  <si>
    <t>4248</t>
  </si>
  <si>
    <t>06/07/2023</t>
  </si>
  <si>
    <t>Chanel booking/ Ms Thu/ Team building org team meeting</t>
  </si>
  <si>
    <t>4247</t>
  </si>
  <si>
    <t>Chanel booking/ Ms Thu/ Mr. Tri HR training</t>
  </si>
  <si>
    <t>4246</t>
  </si>
  <si>
    <t>05/07/2023</t>
  </si>
  <si>
    <t>Chanel booking/ Ms Thu/ Mr. Tri Interview</t>
  </si>
  <si>
    <t>5/7/2023 11:56:35 AM</t>
  </si>
  <si>
    <t>4245</t>
  </si>
  <si>
    <t>KLOUD reservation/ anh Tan</t>
  </si>
  <si>
    <t>4/7/2023 6:39:25 PM</t>
  </si>
  <si>
    <t>Chanel booking/ Ms Thu/ Ms. An book for ELC meeting</t>
  </si>
  <si>
    <t>4242</t>
  </si>
  <si>
    <t>Cosmos reservation</t>
  </si>
  <si>
    <t>4/7/2023 10:57:59 AM</t>
  </si>
  <si>
    <t>4226</t>
  </si>
  <si>
    <t>Mck reservation/ Ms Duong</t>
  </si>
  <si>
    <t>22/6/2023 10:53:42 AM</t>
  </si>
  <si>
    <t>LGS booking</t>
  </si>
  <si>
    <t>21/07/2023</t>
  </si>
  <si>
    <t>31/5/2023 4:41:29 PM</t>
  </si>
  <si>
    <t>31/5/2023 11:29:27 AM</t>
  </si>
  <si>
    <t>Title</t>
  </si>
  <si>
    <t>Dates</t>
  </si>
  <si>
    <t>Associated album(s)</t>
  </si>
  <si>
    <t>Continent(s)</t>
  </si>
  <si>
    <t>Shows</t>
  </si>
  <si>
    <t>Gross</t>
  </si>
  <si>
    <t>Attendance</t>
  </si>
  <si>
    <t>Ref.</t>
  </si>
  <si>
    <t>The Red Bullet Tour</t>
  </si>
  <si>
    <t>October 17, 2014 – August 29, 2015</t>
  </si>
  <si>
    <t>2 Cool 4 Skool</t>
  </si>
  <si>
    <t>Asia</t>
  </si>
  <si>
    <t>—</t>
  </si>
  <si>
    <t>[8]</t>
  </si>
  <si>
    <t>O!RUL8,2?</t>
  </si>
  <si>
    <t>Australia</t>
  </si>
  <si>
    <t>Skool Luv Affair</t>
  </si>
  <si>
    <t>North America</t>
  </si>
  <si>
    <t>Dark &amp; Wild</t>
  </si>
  <si>
    <t>South America</t>
  </si>
  <si>
    <t>Wake Up: Open Your Eyes Japan Tour</t>
  </si>
  <si>
    <t>February 10, 2015 – February 19, 2015</t>
  </si>
  <si>
    <t>Wake Up</t>
  </si>
  <si>
    <t>[9]</t>
  </si>
  <si>
    <t>The Most Beautiful Moment in Life On Stage Tour</t>
  </si>
  <si>
    <t>November 27, 2015 – August 14, 2016</t>
  </si>
  <si>
    <r>
      <t>The Most Beautiful Moment in Life, Pt. 1</t>
    </r>
    <r>
      <rPr>
        <sz val="10"/>
        <color theme="1"/>
        <rFont val="Calibri"/>
        <family val="2"/>
        <scheme val="minor"/>
      </rPr>
      <t xml:space="preserve"> and </t>
    </r>
    <r>
      <rPr>
        <i/>
        <sz val="10"/>
        <color theme="1"/>
        <rFont val="Calibri"/>
        <family val="2"/>
        <scheme val="minor"/>
      </rPr>
      <t>Pt. 2</t>
    </r>
  </si>
  <si>
    <t>[10]</t>
  </si>
  <si>
    <t>The Most Beautiful Moment in Life: Young Forever</t>
  </si>
  <si>
    <t>Charge 50% fee</t>
  </si>
  <si>
    <t>The Wings Tour</t>
  </si>
  <si>
    <t>February 18, 2017 – December 10, 2017</t>
  </si>
  <si>
    <t>Wings</t>
  </si>
  <si>
    <t>$6,610,510+ (3 shows)</t>
  </si>
  <si>
    <t>[11]</t>
  </si>
  <si>
    <t>30/8/2023 5:12:18 PM</t>
  </si>
  <si>
    <t>You Never Walk Alone</t>
  </si>
  <si>
    <t>30/8/2023 3:08:36 PM</t>
  </si>
  <si>
    <t>29/8/2023 2:26:24 PM</t>
  </si>
  <si>
    <t>Oceania</t>
  </si>
  <si>
    <t>28/8/2023 6:23:25 PM</t>
  </si>
  <si>
    <t>Love Yourself World Tour</t>
  </si>
  <si>
    <t>August 25, 2018 – October 29, 2019</t>
  </si>
  <si>
    <r>
      <t>Love Yourself: Her</t>
    </r>
    <r>
      <rPr>
        <sz val="10"/>
        <color theme="1"/>
        <rFont val="Calibri"/>
        <family val="2"/>
        <scheme val="minor"/>
      </rPr>
      <t xml:space="preserve">, </t>
    </r>
    <r>
      <rPr>
        <i/>
        <sz val="10"/>
        <color theme="1"/>
        <rFont val="Calibri"/>
        <family val="2"/>
        <scheme val="minor"/>
      </rPr>
      <t>Tear</t>
    </r>
    <r>
      <rPr>
        <sz val="10"/>
        <color theme="1"/>
        <rFont val="Calibri"/>
        <family val="2"/>
        <scheme val="minor"/>
      </rPr>
      <t xml:space="preserve"> and </t>
    </r>
    <r>
      <rPr>
        <i/>
        <sz val="10"/>
        <color theme="1"/>
        <rFont val="Calibri"/>
        <family val="2"/>
        <scheme val="minor"/>
      </rPr>
      <t>Answer</t>
    </r>
  </si>
  <si>
    <t>$187,523,511+ (38 shows)</t>
  </si>
  <si>
    <t>[12]</t>
  </si>
  <si>
    <t>28/8/2023 6:21:12 PM</t>
  </si>
  <si>
    <t>Map of the Soul: Persona</t>
  </si>
  <si>
    <t>VINSO</t>
  </si>
  <si>
    <t>28/8/2023 4:21:31 PM</t>
  </si>
  <si>
    <t>Europe</t>
  </si>
  <si>
    <t>28/8/2023 4:21:13 PM</t>
  </si>
  <si>
    <t>28/8/2023 3:23:59 PM</t>
  </si>
  <si>
    <t>Map of the Soul Tour</t>
  </si>
  <si>
    <t>Cancelled</t>
  </si>
  <si>
    <t>[13]</t>
  </si>
  <si>
    <t>28/8/2023 12:21:33 PM</t>
  </si>
  <si>
    <t>Map of the Soul: 7</t>
  </si>
  <si>
    <t>GTM</t>
  </si>
  <si>
    <t>24/8/2023 5:14:55 PM</t>
  </si>
  <si>
    <t>24/8/2023 10:57:53 AM</t>
  </si>
  <si>
    <t>4320</t>
  </si>
  <si>
    <t>17/08/2023</t>
  </si>
  <si>
    <t>Ecolean reservation/ Ms Trinh</t>
  </si>
  <si>
    <t>17/8/2023 1:04:53 PM</t>
  </si>
  <si>
    <t>4319</t>
  </si>
  <si>
    <t>24/08/2023</t>
  </si>
  <si>
    <t>GTM Asia reservation/ Mr Loic</t>
  </si>
  <si>
    <t>17/8/2023 11:11:08 AM</t>
  </si>
  <si>
    <t>4318</t>
  </si>
  <si>
    <t>17/8/2023 10:50:47 AM</t>
  </si>
  <si>
    <t>4317</t>
  </si>
  <si>
    <t>16/08/2023</t>
  </si>
  <si>
    <t>16/8/2023 5:54:59 PM</t>
  </si>
  <si>
    <t>4316</t>
  </si>
  <si>
    <t>16/8/2023 5:53:07 PM</t>
  </si>
  <si>
    <t>4315</t>
  </si>
  <si>
    <t>16/8/2023 5:52:49 PM</t>
  </si>
  <si>
    <t>4314</t>
  </si>
  <si>
    <t>Ecolean reservation</t>
  </si>
  <si>
    <t>16/8/2023 1:19:07 PM</t>
  </si>
  <si>
    <t>4313</t>
  </si>
  <si>
    <t>18/08/2023</t>
  </si>
  <si>
    <t>Booking.com reservation/ Ms. Tracy</t>
  </si>
  <si>
    <t>16/8/2023 10:36:27 AM</t>
  </si>
  <si>
    <t>4312</t>
  </si>
  <si>
    <t>16/8/2023 10:36:14 AM</t>
  </si>
  <si>
    <t>4311</t>
  </si>
  <si>
    <t>16/8/2023 10:35:20 AM</t>
  </si>
  <si>
    <t>4310</t>
  </si>
  <si>
    <t>Seiko Reservation /Ms. Vi - replacing Booking ID 4304</t>
  </si>
  <si>
    <t>Cancel ID 4304 - Replacing Booking ID 4304</t>
  </si>
  <si>
    <t>15/8/2023 6:12:31 PM</t>
  </si>
  <si>
    <t>4309</t>
  </si>
  <si>
    <t>Chanel booking/ Ms Thu/ Ms. Capucine interview</t>
  </si>
  <si>
    <t>15/8/2023 3:18:13 PM</t>
  </si>
  <si>
    <t>4308</t>
  </si>
  <si>
    <t>15/08/2023</t>
  </si>
  <si>
    <t>Ecolean reservation/ Ms Uyen</t>
  </si>
  <si>
    <t>15/8/2023 2:26:18 PM</t>
  </si>
  <si>
    <t>4307</t>
  </si>
  <si>
    <t>15/8/2023 11:29:55 AM</t>
  </si>
  <si>
    <t>4306</t>
  </si>
  <si>
    <t>Booking for Nguyen Thi Bich Lieu - UOB</t>
  </si>
  <si>
    <t>1 Extended hour</t>
  </si>
  <si>
    <t>4305</t>
  </si>
  <si>
    <t>11/08/2023</t>
  </si>
  <si>
    <t>Booking for Nguyen Thi Bich Lieu</t>
  </si>
  <si>
    <t>Support ch? ng?i nhi?u.</t>
  </si>
  <si>
    <t>4304</t>
  </si>
  <si>
    <t>Seiko Reservation/Ms Vi</t>
  </si>
  <si>
    <t>4303</t>
  </si>
  <si>
    <t>14/08/2023</t>
  </si>
  <si>
    <t>Booking for Chanel - Mr. Trí – Interview</t>
  </si>
  <si>
    <t>4302</t>
  </si>
  <si>
    <t>Booking for MCK - Ms. An Vu -Charge code to be updated</t>
  </si>
  <si>
    <t>MCKINSEY</t>
  </si>
  <si>
    <t>McKinsey/ Ms An Vu</t>
  </si>
  <si>
    <t>Kasikorn Reservation/Mr Thang</t>
  </si>
  <si>
    <t>UOB Reservation/Ms Loan</t>
  </si>
  <si>
    <t>UOB Reservation/Ms Long</t>
  </si>
  <si>
    <t>Ecolean Reservation/Ms Thu</t>
  </si>
  <si>
    <t>ECOLEAN - Booking for Mr. Huy</t>
  </si>
  <si>
    <t>Chanel booking/ Ms Thu/ – Ms. Khanh Vy – FBP team meeting</t>
  </si>
  <si>
    <t>GTM reservation/ Mr Loic</t>
  </si>
  <si>
    <t>Chanel booking/ Ms Thu/ Ms Trang interview</t>
  </si>
  <si>
    <t>Chanel booking/ Ms Thu/ Ms. Thuy – CFO In-tray exercise</t>
  </si>
  <si>
    <t>31/7/2023 10:50:25 AM</t>
  </si>
  <si>
    <t>Crocs reservation/ Mr Andrew</t>
  </si>
  <si>
    <t>CROCS</t>
  </si>
  <si>
    <t>28/7/2023 3:40:24 PM</t>
  </si>
  <si>
    <t>28/7/2023 3:40:00 PM</t>
  </si>
  <si>
    <t>Chanel booking/ Ms Thu/ Ms Huong interview</t>
  </si>
  <si>
    <t>28/7/2023 11:24:52 AM</t>
  </si>
  <si>
    <t>Chanel booking/ Ms Thu/ Ms. Thuy – ELC meeting My Chanel</t>
  </si>
  <si>
    <t>27/6/2023 10:16:14 AM</t>
  </si>
  <si>
    <t>31/08/2023</t>
  </si>
  <si>
    <t>Chanel booking/ Ms Thu/ Ms. Huong</t>
  </si>
  <si>
    <t>30/8/2023 3:37:44 PM</t>
  </si>
  <si>
    <t>Chanel booking/ Ms Thu/ Tri interview</t>
  </si>
  <si>
    <t>30/8/2023 11:41:28 AM</t>
  </si>
  <si>
    <t>30/8/2023 11:40:32 AM</t>
  </si>
  <si>
    <t>Chanel booking/ Ms Thu/ Ms. Thuy Interview</t>
  </si>
  <si>
    <t>29/8/2023 2:29:18 PM</t>
  </si>
  <si>
    <t>29/8/2023 2:29:02 PM</t>
  </si>
  <si>
    <t>LGS Booking/Ms. Grace</t>
  </si>
  <si>
    <t>31/8/2023 11:07:18 AM</t>
  </si>
  <si>
    <t>1 Sep 2023 - 30 Sep 2023</t>
  </si>
  <si>
    <t>29/9/2023</t>
  </si>
  <si>
    <t>4:30pm</t>
  </si>
  <si>
    <t>5:30pm</t>
  </si>
  <si>
    <t>Booking.com reservation/ Ms. Phuc</t>
  </si>
  <si>
    <t xml:space="preserve">Projector, 3tables, 18 pax total </t>
  </si>
  <si>
    <t>1 Oct 2023 - 31 Oct 2023</t>
  </si>
  <si>
    <t>Booking.com reservation/ Ms Vy</t>
  </si>
  <si>
    <t>U-shape (table +chair 18pax), snack table, projector, 2 flipcharts</t>
  </si>
  <si>
    <t>The Library 1</t>
  </si>
  <si>
    <t>18/10/2023</t>
  </si>
  <si>
    <t>11:00am</t>
  </si>
  <si>
    <t>UA reservation/ Ms. Yen</t>
  </si>
  <si>
    <t>Ms Yen</t>
  </si>
  <si>
    <t xml:space="preserve">25pax/ table </t>
  </si>
  <si>
    <t>From:</t>
  </si>
  <si>
    <t>To:</t>
  </si>
  <si>
    <t>Tenant</t>
  </si>
  <si>
    <t>Subject</t>
  </si>
  <si>
    <t>Calculated Hours</t>
  </si>
  <si>
    <t>Total FOC hours</t>
  </si>
  <si>
    <t>Actual billing Amount</t>
  </si>
  <si>
    <t>LGS reservation</t>
  </si>
  <si>
    <t>Eli Cao</t>
  </si>
  <si>
    <t>11</t>
  </si>
  <si>
    <t>Cao, Eli &lt;eli.cao@lowes.com&gt;</t>
  </si>
  <si>
    <t>discount</t>
  </si>
  <si>
    <t>6/3/2024 1:41 PM</t>
  </si>
  <si>
    <t>GOOGLE</t>
  </si>
  <si>
    <t>Pavillion</t>
  </si>
  <si>
    <t xml:space="preserve">Google Private Event </t>
  </si>
  <si>
    <t>Tien Quach JLL</t>
  </si>
  <si>
    <t xml:space="preserve">Quach, Tien &lt;Tien.Quach@jll.com&gt; </t>
  </si>
  <si>
    <t>35 Pax (chairs only)</t>
  </si>
  <si>
    <t>6/13/2024 9:25am</t>
  </si>
  <si>
    <t>approved</t>
  </si>
  <si>
    <t>Chanel reservation</t>
  </si>
  <si>
    <t>Ms. Chi</t>
  </si>
  <si>
    <t>Chi NGUYEN HOANG PHUONG &lt;chi.nguyenhp@chanel.com&gt;</t>
  </si>
  <si>
    <t>Discount contract: s60, 61, 63</t>
  </si>
  <si>
    <t>6/7/2024 11:36AM</t>
  </si>
  <si>
    <t>Ms. Ngoc</t>
  </si>
  <si>
    <t>6/17/2024 3:38pm</t>
  </si>
  <si>
    <t>Total</t>
  </si>
  <si>
    <t>Discount Amount</t>
  </si>
  <si>
    <t>VAT 10%</t>
  </si>
  <si>
    <t>Total billing</t>
  </si>
  <si>
    <t>May - Dec Tues, Wed, Thurs 10-12 and 2-5pm</t>
  </si>
  <si>
    <t>From</t>
  </si>
  <si>
    <t>Start Session 1</t>
  </si>
  <si>
    <t>End Session 1</t>
  </si>
  <si>
    <t>Break:</t>
  </si>
  <si>
    <t>To</t>
  </si>
  <si>
    <t>Start Session 2</t>
  </si>
  <si>
    <t>End Session 2</t>
  </si>
  <si>
    <t>Weekday</t>
  </si>
  <si>
    <t>Break</t>
  </si>
  <si>
    <t>Total hours for billing</t>
  </si>
  <si>
    <t xml:space="preserve">Recurring Meeting reservation package </t>
  </si>
  <si>
    <t xml:space="preserve"> </t>
  </si>
  <si>
    <t xml:space="preserve">  </t>
  </si>
  <si>
    <t>`</t>
  </si>
  <si>
    <t>Chanel</t>
  </si>
  <si>
    <t>6/11/2024</t>
  </si>
  <si>
    <t>Chanel reservation - Ms. Chi</t>
  </si>
  <si>
    <t>6/1/2024 2:26pm</t>
  </si>
  <si>
    <t>SEIKO RESERVATION</t>
  </si>
  <si>
    <t>Anh Khoa</t>
  </si>
  <si>
    <t>6/1/2024 11:20am</t>
  </si>
  <si>
    <t>6/14/2024</t>
  </si>
  <si>
    <t>Ms. Cheryl</t>
  </si>
  <si>
    <t>FOC based on contract</t>
  </si>
  <si>
    <t>6/12/2024 9:16am</t>
  </si>
  <si>
    <t>6/12/2024 2:42pm</t>
  </si>
  <si>
    <t>6/20/2024</t>
  </si>
  <si>
    <t>Booking.com reservation/ for lunch event</t>
  </si>
  <si>
    <t>Ms. Chau</t>
  </si>
  <si>
    <t xml:space="preserve">20 </t>
  </si>
  <si>
    <t>Screen &amp; projector</t>
  </si>
  <si>
    <t>6/20/2024 9:45am</t>
  </si>
  <si>
    <t>6/21/2024</t>
  </si>
  <si>
    <t>Ms. Tracy</t>
  </si>
  <si>
    <t>U shape- camera setup FOC</t>
  </si>
  <si>
    <t>5/28/2024 12:11pm</t>
  </si>
  <si>
    <t>DAIWA</t>
  </si>
  <si>
    <t>DAIWA RESERVATION</t>
  </si>
  <si>
    <t>Ms. Thuy</t>
  </si>
  <si>
    <t>6/12/2024 11:41am</t>
  </si>
  <si>
    <t>Chanel reservation - Ms. Ngoc</t>
  </si>
  <si>
    <t>6/17/2024 12:43pm</t>
  </si>
  <si>
    <t>6/18/2024 9:16am</t>
  </si>
  <si>
    <t>6/27/2024</t>
  </si>
  <si>
    <t xml:space="preserve">Chanel reservation - Ms. Ngoc </t>
  </si>
  <si>
    <t>17</t>
  </si>
  <si>
    <t xml:space="preserve">6/20/2024 10am </t>
  </si>
  <si>
    <t>Cancel</t>
  </si>
  <si>
    <t>BOOKING.COM</t>
  </si>
  <si>
    <t>6/28/2024</t>
  </si>
  <si>
    <t>Booking.com reservation</t>
  </si>
  <si>
    <t xml:space="preserve">15 </t>
  </si>
  <si>
    <t>Projector, table and chairs, U shape</t>
  </si>
  <si>
    <t>6/3/2024</t>
  </si>
  <si>
    <t>Chanel reservation - Ms. Vân</t>
  </si>
  <si>
    <t>6/3/2024 10:11:00 AM</t>
  </si>
  <si>
    <t>6/4/2024</t>
  </si>
  <si>
    <t>5/29/2024 9:40 am</t>
  </si>
  <si>
    <t>6/5/2024</t>
  </si>
  <si>
    <t>5/29/2024 10:15am</t>
  </si>
  <si>
    <t>6/5/2024 1:44 PM</t>
  </si>
  <si>
    <t>Ms. Quynh Anh</t>
  </si>
  <si>
    <t>5/29/2024 4:06pm</t>
  </si>
  <si>
    <t>6/19/2024</t>
  </si>
  <si>
    <t>KLOUD RESERVATION</t>
  </si>
  <si>
    <t>Ngan</t>
  </si>
  <si>
    <t>6/26/2024</t>
  </si>
  <si>
    <t>6/20/2024 9:23am</t>
  </si>
  <si>
    <t>6/25/2024</t>
  </si>
  <si>
    <t>6/20/2024 10:15am</t>
  </si>
  <si>
    <t>cancel</t>
  </si>
  <si>
    <t xml:space="preserve">6/26/2024 </t>
  </si>
  <si>
    <t>Enterprise Ireland</t>
  </si>
  <si>
    <t>Enterprise Ireland reservation _ Ms. Thuy Anh</t>
  </si>
  <si>
    <t>Ms. Thuy Anh</t>
  </si>
  <si>
    <t>6/20/2024 11:40am</t>
  </si>
  <si>
    <t>approve</t>
  </si>
  <si>
    <t>6/24/2024</t>
  </si>
  <si>
    <t>6/24/2024 9:15am</t>
  </si>
  <si>
    <t xml:space="preserve">Subtotal: </t>
  </si>
  <si>
    <t xml:space="preserve">Total FOC amount per month (Sub. VAT): </t>
  </si>
  <si>
    <t>Total recharge amount (Sub. VAT):</t>
  </si>
  <si>
    <t>No.2</t>
  </si>
  <si>
    <t>VIETPETRO</t>
  </si>
  <si>
    <t>Viet Petro reservation</t>
  </si>
  <si>
    <t>Ms Bang</t>
  </si>
  <si>
    <t>6/5/2024 10:43</t>
  </si>
  <si>
    <t>Chanel reservation/ Ms. Chi</t>
  </si>
  <si>
    <t>Ms Chi</t>
  </si>
  <si>
    <t>Discount contract S60, S61, S62</t>
  </si>
  <si>
    <t xml:space="preserve">1/5/2024 5:42 </t>
  </si>
  <si>
    <t xml:space="preserve">4/16/2024 5:27 </t>
  </si>
  <si>
    <t>4/24/2024 5:00</t>
  </si>
  <si>
    <t xml:space="preserve">5/1/2024 5:42 </t>
  </si>
  <si>
    <t>Kazuya</t>
  </si>
  <si>
    <t xml:space="preserve">5/3/2024 1:40 </t>
  </si>
  <si>
    <t>KLOUD reservation</t>
  </si>
  <si>
    <t>Ms Nhi</t>
  </si>
  <si>
    <t>Daiwa reservation</t>
  </si>
  <si>
    <t xml:space="preserve">CROCS Reservation </t>
  </si>
  <si>
    <t>Winnie</t>
  </si>
  <si>
    <t>Friday, May 10, 2024 4:02 PM</t>
  </si>
  <si>
    <t>Canceled</t>
  </si>
  <si>
    <t>LGS Reservation</t>
  </si>
  <si>
    <t>Friday, May 10, 2024 2:56 PM</t>
  </si>
  <si>
    <t xml:space="preserve">KASIKORN Reservation </t>
  </si>
  <si>
    <t>Set up camera</t>
  </si>
  <si>
    <t>Mr. Kazuya</t>
  </si>
  <si>
    <t>9048CI01</t>
  </si>
  <si>
    <t>Ms. An</t>
  </si>
  <si>
    <t>canceled</t>
  </si>
  <si>
    <t>Chanel reservation/ Ms. Ngoc</t>
  </si>
  <si>
    <t>CDI</t>
  </si>
  <si>
    <t>CDI reservation</t>
  </si>
  <si>
    <t>Ms. Nghiep</t>
  </si>
  <si>
    <t>discount contract: s60, 61, 63</t>
  </si>
  <si>
    <t>1 JAN 2024 - 31 JAN 2024</t>
  </si>
  <si>
    <t>29/01/2024</t>
  </si>
  <si>
    <t>29/1/2024 10:01:33 AM</t>
  </si>
  <si>
    <t>Tungaloy Singapore reservation/ Ms. Tuyen</t>
  </si>
  <si>
    <t>17/1/2024 12:27:12 PM</t>
  </si>
  <si>
    <t>26/1/2024</t>
  </si>
  <si>
    <t>1600</t>
  </si>
  <si>
    <t>1800</t>
  </si>
  <si>
    <t>Booking.com reservation/ Ms. Chau</t>
  </si>
  <si>
    <t>24/01/2024</t>
  </si>
  <si>
    <t>Chanel booking/ Ms Huong</t>
  </si>
  <si>
    <t>24/1/2024 10:50:26 AM</t>
  </si>
  <si>
    <t>25/01/2024</t>
  </si>
  <si>
    <t>Kvision reservation/ Mr. Bach</t>
  </si>
  <si>
    <t>22/1/2024 10:30:44 AM</t>
  </si>
  <si>
    <t>Kvision reservation/ Mr. Thang</t>
  </si>
  <si>
    <t>22/1/2024 10:22:51 AM</t>
  </si>
  <si>
    <t>Discount contract: s60-61-63</t>
  </si>
  <si>
    <t>24/1/2024 12:44:48 PM</t>
  </si>
  <si>
    <t>22/01/2024</t>
  </si>
  <si>
    <t>Ecolean Reservation / Ms.Tram</t>
  </si>
  <si>
    <t>22/1/2024 3:05:54 PM</t>
  </si>
  <si>
    <t>Chanel booking/ Ms Thu/ Ms. Chi meeting</t>
  </si>
  <si>
    <t>24/1/2024 12:43:53 PM</t>
  </si>
  <si>
    <t>23/01/2024</t>
  </si>
  <si>
    <t>23/1/2024 2:36:31 PM</t>
  </si>
  <si>
    <t>Daiwa reservation/ Ms. Thuy</t>
  </si>
  <si>
    <t>22/1/2024 6:40:11 PM</t>
  </si>
  <si>
    <t>22/1/2024 10:22:11 AM</t>
  </si>
  <si>
    <t>22/1/2024 3:10:52 PM</t>
  </si>
  <si>
    <t>22/1/2024 10:26:30 AM</t>
  </si>
  <si>
    <t>18/01/2024</t>
  </si>
  <si>
    <t>Set up camera support</t>
  </si>
  <si>
    <t>18/1/2024 11:07:54 AM</t>
  </si>
  <si>
    <t>Ecolean Reservation / Mr.Ali</t>
  </si>
  <si>
    <t>22/1/2024 10:07:15 AM</t>
  </si>
  <si>
    <t>19/01/2024</t>
  </si>
  <si>
    <t>19/1/2024 10:40:09 AM</t>
  </si>
  <si>
    <t>16/01/2024</t>
  </si>
  <si>
    <t>Chanel booking/ Ms Thu/ Phuong's meeting</t>
  </si>
  <si>
    <t>Discount contract: S60, s61, s62</t>
  </si>
  <si>
    <t>16/1/2024 6:45:21 PM</t>
  </si>
  <si>
    <t>4597</t>
  </si>
  <si>
    <t>Camera setup</t>
  </si>
  <si>
    <t>17/01/2024</t>
  </si>
  <si>
    <t>discount contract: S60, S61, S62</t>
  </si>
  <si>
    <t>16/1/2024 6:48:40 PM</t>
  </si>
  <si>
    <t>Tungaloy Singapore/ Ms. Tuyen</t>
  </si>
  <si>
    <t>16/1/2024 2:11:46 PM</t>
  </si>
  <si>
    <t>Ecolean reservation/ Mr. Ali</t>
  </si>
  <si>
    <t>16/1/2024 4:40:21 PM</t>
  </si>
  <si>
    <t>16/1/2024 10:43:57 AM</t>
  </si>
  <si>
    <t>Discount Contract: S60, S61, S62</t>
  </si>
  <si>
    <t>16/1/2024 3:42:57 PM</t>
  </si>
  <si>
    <t>4596</t>
  </si>
  <si>
    <t>15/01/2024</t>
  </si>
  <si>
    <t>15/1/2024 2:30:45 PM</t>
  </si>
  <si>
    <t>UOB Reservation</t>
  </si>
  <si>
    <t>15/1/2024 10:13:12 AM</t>
  </si>
  <si>
    <t>4595</t>
  </si>
  <si>
    <t>12/01/2024</t>
  </si>
  <si>
    <t>4612</t>
  </si>
  <si>
    <t>10/01/2024</t>
  </si>
  <si>
    <t>4624</t>
  </si>
  <si>
    <t>Ecolean Reservation</t>
  </si>
  <si>
    <t>4623</t>
  </si>
  <si>
    <t>4622</t>
  </si>
  <si>
    <t>4619</t>
  </si>
  <si>
    <t>09/01/2024</t>
  </si>
  <si>
    <t>4620</t>
  </si>
  <si>
    <t>26/01/2024</t>
  </si>
  <si>
    <t>Chanel booking/ Ms Thu/ Mr. Tri booking</t>
  </si>
  <si>
    <t>Discount contract s60, s61, s63</t>
  </si>
  <si>
    <t>4621</t>
  </si>
  <si>
    <t>4618</t>
  </si>
  <si>
    <t>Ecolean reservation/ Ms. Trinh</t>
  </si>
  <si>
    <t>4617</t>
  </si>
  <si>
    <t>Ecolean reservation/ Mr. Huy</t>
  </si>
  <si>
    <t>4616</t>
  </si>
  <si>
    <t>4615</t>
  </si>
  <si>
    <t>4614</t>
  </si>
  <si>
    <t>Chanel booking/ Ms Thu/ Ms. Ruby booking</t>
  </si>
  <si>
    <t>4613</t>
  </si>
  <si>
    <t>Chanel booking/ Ms Thu/ Ms. An booking</t>
  </si>
  <si>
    <t>4611</t>
  </si>
  <si>
    <t>08/01/2024</t>
  </si>
  <si>
    <t>4608</t>
  </si>
  <si>
    <t>UOB reservation/ Ms. Lieu</t>
  </si>
  <si>
    <t>4610</t>
  </si>
  <si>
    <t>Discount Contract: S60-S61-S63</t>
  </si>
  <si>
    <t>4609</t>
  </si>
  <si>
    <t>4607</t>
  </si>
  <si>
    <t>Ecolean Reservation / Ms Trinh</t>
  </si>
  <si>
    <t>4606</t>
  </si>
  <si>
    <t>Ecolean Reservation /Ms Trinh</t>
  </si>
  <si>
    <t>4594</t>
  </si>
  <si>
    <t>4598</t>
  </si>
  <si>
    <t>4591</t>
  </si>
  <si>
    <t>Chanel booking/ Ms Thu/ Ms. Vy’s meeting</t>
  </si>
  <si>
    <t>Contract: S60-61-63</t>
  </si>
  <si>
    <t>4601</t>
  </si>
  <si>
    <t>4605</t>
  </si>
  <si>
    <t>Chanel booking/ Ms Thu/ Ms. Chi</t>
  </si>
  <si>
    <t>Charge code discount: s60-61-63</t>
  </si>
  <si>
    <t>4603</t>
  </si>
  <si>
    <t>4604</t>
  </si>
  <si>
    <t>Ecolean Reversation/ Mr Huy</t>
  </si>
  <si>
    <t>4602</t>
  </si>
  <si>
    <t>1100</t>
  </si>
  <si>
    <t>1200</t>
  </si>
  <si>
    <t>Ecolean reservation/ Ms. Uyen</t>
  </si>
  <si>
    <t>4593</t>
  </si>
  <si>
    <t>4589</t>
  </si>
  <si>
    <t>29/12/2023 10:43:25 AM</t>
  </si>
  <si>
    <t>4588</t>
  </si>
  <si>
    <t>29/12/2023 10:43:09 AM</t>
  </si>
  <si>
    <t>4592</t>
  </si>
  <si>
    <t>KLOUD Meeting</t>
  </si>
  <si>
    <t>4587</t>
  </si>
  <si>
    <t>29/12/2023 10:37:35 AM</t>
  </si>
  <si>
    <t>4586</t>
  </si>
  <si>
    <t>29/12/2023 10:36:22 AM</t>
  </si>
  <si>
    <t>4590</t>
  </si>
  <si>
    <t>1 FEB 2024 - 29 FEB 2024</t>
  </si>
  <si>
    <t>4681</t>
  </si>
  <si>
    <t>29/02/2024</t>
  </si>
  <si>
    <t>LGS reservation/ Ms Eli</t>
  </si>
  <si>
    <t>29/2/2024 12:17:27 PM</t>
  </si>
  <si>
    <t>4679</t>
  </si>
  <si>
    <t>Booking.com reservation/ Ms Lan Anh</t>
  </si>
  <si>
    <t>28/2/2024 4:33:46 PM</t>
  </si>
  <si>
    <t>Booking.com reservation/ Ms Chau</t>
  </si>
  <si>
    <t>28/2/2024 1:00:29 PM</t>
  </si>
  <si>
    <t>4674</t>
  </si>
  <si>
    <t>27/02/2024</t>
  </si>
  <si>
    <t>26/2/2024 4:54:11 PM</t>
  </si>
  <si>
    <t>4672</t>
  </si>
  <si>
    <t>23/02/2024</t>
  </si>
  <si>
    <t>Seiko reservation/ Ms. Vy</t>
  </si>
  <si>
    <t>21/2/2024 2:04:21 PM</t>
  </si>
  <si>
    <t>4671</t>
  </si>
  <si>
    <t>21/02/2024</t>
  </si>
  <si>
    <t>21/2/2024 2:03:04 PM</t>
  </si>
  <si>
    <t>4670</t>
  </si>
  <si>
    <t>21/2/2024 2:02:46 PM</t>
  </si>
  <si>
    <t>4665</t>
  </si>
  <si>
    <t>20/2/2024 10:12:41 AM</t>
  </si>
  <si>
    <t>4664</t>
  </si>
  <si>
    <t>20/2/2024 10:12:24 AM</t>
  </si>
  <si>
    <t>4663</t>
  </si>
  <si>
    <t>20/02/2024</t>
  </si>
  <si>
    <t>Kvision reservation/ Ms. Tran</t>
  </si>
  <si>
    <t>19/2/2024 5:10:46 PM</t>
  </si>
  <si>
    <t>4662</t>
  </si>
  <si>
    <t>Chanel booking/ Ms Thu/ Mr. Quyet</t>
  </si>
  <si>
    <t>Discount contract S60,61,63</t>
  </si>
  <si>
    <t>19/2/2024 11:49:37 AM</t>
  </si>
  <si>
    <t>4661</t>
  </si>
  <si>
    <t>19/02/2024</t>
  </si>
  <si>
    <t>19/2/2024 11:49:05 AM</t>
  </si>
  <si>
    <t>4660</t>
  </si>
  <si>
    <t>19/2/2024 11:13:30 AM</t>
  </si>
  <si>
    <t>4658</t>
  </si>
  <si>
    <t>05/02/2024</t>
  </si>
  <si>
    <t>Chanel booking/ Ms Thu/ Ms. Alex</t>
  </si>
  <si>
    <t>discount contract s60-61-63</t>
  </si>
  <si>
    <t>4657</t>
  </si>
  <si>
    <t>4656</t>
  </si>
  <si>
    <t>02/02/2024</t>
  </si>
  <si>
    <t>Chanel booking/ Ms Thu/ Ms. Huong meeting</t>
  </si>
  <si>
    <t>Discount contract: s61,62,63</t>
  </si>
  <si>
    <t>4628</t>
  </si>
  <si>
    <t>Z0012402</t>
  </si>
  <si>
    <t>MCK BRANCH</t>
  </si>
  <si>
    <t>4600</t>
  </si>
  <si>
    <t>16/02/2024</t>
  </si>
  <si>
    <t>4599</t>
  </si>
  <si>
    <t>1 DEC 2023 - 31 DEC 2023</t>
  </si>
  <si>
    <t>4585</t>
  </si>
  <si>
    <t>22/12/2023</t>
  </si>
  <si>
    <t>22/12/2023 4:21:32 PM</t>
  </si>
  <si>
    <t>4584</t>
  </si>
  <si>
    <t>19/12/2023</t>
  </si>
  <si>
    <t>LGS reservation/ Ms. Eli</t>
  </si>
  <si>
    <t>18/12/2023 2:37:49 PM</t>
  </si>
  <si>
    <t>4583</t>
  </si>
  <si>
    <t>15/12/2023</t>
  </si>
  <si>
    <t>15/12/2023 11:37:18 AM</t>
  </si>
  <si>
    <t>4582</t>
  </si>
  <si>
    <t>14/12/2023</t>
  </si>
  <si>
    <t>13/12/2023 2:53:17 PM</t>
  </si>
  <si>
    <t>4581</t>
  </si>
  <si>
    <t>13/12/2023</t>
  </si>
  <si>
    <t>13/12/2023 10:04:25 AM</t>
  </si>
  <si>
    <t>4580</t>
  </si>
  <si>
    <t>0900</t>
  </si>
  <si>
    <t>1030</t>
  </si>
  <si>
    <t>12/12/2023</t>
  </si>
  <si>
    <t>Ecolean Reserver/ Mr. Huy</t>
  </si>
  <si>
    <t>4578</t>
  </si>
  <si>
    <t>11/12/2023</t>
  </si>
  <si>
    <t>Ecolean Reservation/ Mr. Huy Tran</t>
  </si>
  <si>
    <t>11/12/2023 12:39:04 PM</t>
  </si>
  <si>
    <t>4576</t>
  </si>
  <si>
    <t>08/12/2023</t>
  </si>
  <si>
    <t>4575</t>
  </si>
  <si>
    <t>Ecolean-Change from Lib1</t>
  </si>
  <si>
    <t>Charge Boardroom only.</t>
  </si>
  <si>
    <t>4574</t>
  </si>
  <si>
    <t>07/12/2023</t>
  </si>
  <si>
    <t>Ecolean Reservation/ Ms Thuy</t>
  </si>
  <si>
    <t>4573</t>
  </si>
  <si>
    <t>6020kz01</t>
  </si>
  <si>
    <t>4572</t>
  </si>
  <si>
    <t>4571</t>
  </si>
  <si>
    <t>4570</t>
  </si>
  <si>
    <t>06/12/2023</t>
  </si>
  <si>
    <t>4569</t>
  </si>
  <si>
    <t>4568</t>
  </si>
  <si>
    <t>Ecolean reservation/ Ms. Tram</t>
  </si>
  <si>
    <t>4567</t>
  </si>
  <si>
    <t>Chanel booking/ Ms Thu/ Ms. Quyet - Meeting</t>
  </si>
  <si>
    <t>Contract No. S60-61-63</t>
  </si>
  <si>
    <t>2H FOC</t>
  </si>
  <si>
    <t>4566</t>
  </si>
  <si>
    <t>4565</t>
  </si>
  <si>
    <t>05/12/2023</t>
  </si>
  <si>
    <t>Ecolean reservation/ Ms. Thuy</t>
  </si>
  <si>
    <t>4564</t>
  </si>
  <si>
    <t>Cadence reservation/ Mr. Long</t>
  </si>
  <si>
    <t>4563</t>
  </si>
  <si>
    <t>4562</t>
  </si>
  <si>
    <t>Chanel booking/ Ms Thu/ Ms. Quyet – Meeting</t>
  </si>
  <si>
    <t>4561</t>
  </si>
  <si>
    <t>4560</t>
  </si>
  <si>
    <t>04/12/2023</t>
  </si>
  <si>
    <t>4559</t>
  </si>
  <si>
    <t>4553</t>
  </si>
  <si>
    <t>29/11/2023 3:08:40 PM</t>
  </si>
  <si>
    <t>4538</t>
  </si>
  <si>
    <t>14</t>
  </si>
  <si>
    <t>21/11/2023 6:14:16 PM</t>
  </si>
  <si>
    <t>4533</t>
  </si>
  <si>
    <t>20/11/2023 4:33:42 PM</t>
  </si>
  <si>
    <t>4533A</t>
  </si>
  <si>
    <t>4530</t>
  </si>
  <si>
    <t>Chanel booking/ Ms Thu/ Ms. Ngoc FBP Training</t>
  </si>
  <si>
    <t>20/11/2023 11:28:12 AM</t>
  </si>
  <si>
    <t>3H FOC</t>
  </si>
  <si>
    <t>4522</t>
  </si>
  <si>
    <t>17/11/2023 12:04:50 PM</t>
  </si>
  <si>
    <t>4521</t>
  </si>
  <si>
    <t>17/11/2023 12:04:28 PM</t>
  </si>
  <si>
    <t>4520</t>
  </si>
  <si>
    <t>17/11/2023 12:03:52 PM</t>
  </si>
  <si>
    <t>4519</t>
  </si>
  <si>
    <t>17/11/2023 12:03:29 PM</t>
  </si>
  <si>
    <t>4518</t>
  </si>
  <si>
    <t>17/11/2023 12:03:14 PM</t>
  </si>
  <si>
    <t>4517</t>
  </si>
  <si>
    <t>17/11/2023 12:02:44 PM</t>
  </si>
  <si>
    <t>4516</t>
  </si>
  <si>
    <t>17/11/2023 12:01:09 PM</t>
  </si>
  <si>
    <t>4515</t>
  </si>
  <si>
    <t>17/11/2023 11:51:32 AM</t>
  </si>
  <si>
    <t>4514</t>
  </si>
  <si>
    <t>17/11/2023 11:51:09 AM</t>
  </si>
  <si>
    <t>4513</t>
  </si>
  <si>
    <t>17/11/2023 11:50:37 AM</t>
  </si>
  <si>
    <t>4512</t>
  </si>
  <si>
    <t>17/11/2023 11:44:52 AM</t>
  </si>
  <si>
    <t>4511</t>
  </si>
  <si>
    <t>29/12/2023</t>
  </si>
  <si>
    <t>Camera support</t>
  </si>
  <si>
    <t>16/11/2023 10:21:32 AM</t>
  </si>
  <si>
    <t>4510</t>
  </si>
  <si>
    <t>16/11/2023 10:21:08 AM</t>
  </si>
  <si>
    <t>4509</t>
  </si>
  <si>
    <t>16/11/2023 10:20:35 AM</t>
  </si>
  <si>
    <t>4503</t>
  </si>
  <si>
    <t>14/11/2023 4:48:38 PM</t>
  </si>
  <si>
    <t>4500</t>
  </si>
  <si>
    <t>13/11/2023 5:35:13 PM</t>
  </si>
  <si>
    <t>4499</t>
  </si>
  <si>
    <t>13/11/2023 5:34:46 PM</t>
  </si>
  <si>
    <t>4498</t>
  </si>
  <si>
    <t>13/11/2023 5:34:21 PM</t>
  </si>
  <si>
    <t>4497</t>
  </si>
  <si>
    <t>13/11/2023 5:33:58 PM</t>
  </si>
  <si>
    <t>4479</t>
  </si>
  <si>
    <t>Booking.com reservation/ Ms Tracy</t>
  </si>
  <si>
    <t>support camera</t>
  </si>
  <si>
    <t>31/10/2023 10:48:18 AM</t>
  </si>
  <si>
    <t>18/12/2023</t>
  </si>
  <si>
    <t>900</t>
  </si>
  <si>
    <t>1 NOV 2023 - 31 NOV 2023</t>
  </si>
  <si>
    <t>30/11/2023</t>
  </si>
  <si>
    <t>30/11/2023 12:59:33 PM</t>
  </si>
  <si>
    <t>29/11/2023 5:35:46 PM</t>
  </si>
  <si>
    <t>29/11/2023 4:05:32 PM</t>
  </si>
  <si>
    <t>4555</t>
  </si>
  <si>
    <t>29/11/2023</t>
  </si>
  <si>
    <t>29/11/2023 3:46:33 PM</t>
  </si>
  <si>
    <t>4554</t>
  </si>
  <si>
    <t>29/11/2023 3:45:19 PM</t>
  </si>
  <si>
    <t>4552</t>
  </si>
  <si>
    <t>1130</t>
  </si>
  <si>
    <t>29/11/2023 10:48:03 AM</t>
  </si>
  <si>
    <t>29/11/2023 10:12:05 AM</t>
  </si>
  <si>
    <t>4550</t>
  </si>
  <si>
    <t>Ms. Diem - VPS revised 2nd</t>
  </si>
  <si>
    <t>DIEM VPS</t>
  </si>
  <si>
    <t>Replacing booking 4546</t>
  </si>
  <si>
    <t>28/11/2023 6:13:17 PM</t>
  </si>
  <si>
    <t>28/11/2023</t>
  </si>
  <si>
    <t>Ecolean Reservation/Ms Uyen</t>
  </si>
  <si>
    <t>28/11/2023 1:12:43 PM</t>
  </si>
  <si>
    <t>4548</t>
  </si>
  <si>
    <t>27/11/2023</t>
  </si>
  <si>
    <t>Ecolean - Mr. Huy</t>
  </si>
  <si>
    <t>27/11/2023 6:26:35 PM</t>
  </si>
  <si>
    <t>4547</t>
  </si>
  <si>
    <t>Ecolean - Ms. Trinh Truong</t>
  </si>
  <si>
    <t>27/11/2023 5:56:59 PM</t>
  </si>
  <si>
    <t>4546</t>
  </si>
  <si>
    <t>Ms. Diem - VPS revised</t>
  </si>
  <si>
    <t>Revised of Booking 4545</t>
  </si>
  <si>
    <t>27/11/2023 5:14:32 PM</t>
  </si>
  <si>
    <t>4545</t>
  </si>
  <si>
    <t>Ms. Diem - VPS</t>
  </si>
  <si>
    <t>VPS</t>
  </si>
  <si>
    <t>27/11/2023 3:45:10 PM</t>
  </si>
  <si>
    <t>4544</t>
  </si>
  <si>
    <t>Ecolean - Ms. Trinh</t>
  </si>
  <si>
    <t>27/11/2023 3:03:55 PM</t>
  </si>
  <si>
    <t>4543</t>
  </si>
  <si>
    <t>Ecolean - Anh Huy</t>
  </si>
  <si>
    <t>27/11/2023 2:59:25 PM</t>
  </si>
  <si>
    <t>4542</t>
  </si>
  <si>
    <t>Urgent booking - No email in advance</t>
  </si>
  <si>
    <t>27/11/2023 11:08:29 AM</t>
  </si>
  <si>
    <t>4541</t>
  </si>
  <si>
    <t>Viet Petro</t>
  </si>
  <si>
    <t>No booking notice via email in advance</t>
  </si>
  <si>
    <t>27/11/2023 10:28:24 AM</t>
  </si>
  <si>
    <t>4540</t>
  </si>
  <si>
    <t>22/11/2023</t>
  </si>
  <si>
    <t>Kasikorn reservation/ Mr. Thang</t>
  </si>
  <si>
    <t>22/11/2023 4:16:20 PM</t>
  </si>
  <si>
    <t>4539</t>
  </si>
  <si>
    <t>Chanel booking/ Ms Thu/ Ms. Linh Nguyen – Team meeting</t>
  </si>
  <si>
    <t>22/11/2023 2:27:44 PM</t>
  </si>
  <si>
    <t>4537</t>
  </si>
  <si>
    <t>21/11/2023 6:13:27 PM</t>
  </si>
  <si>
    <t>4536</t>
  </si>
  <si>
    <t>Chanel booking/ Ms Thu/ YEP – Vendor meeting</t>
  </si>
  <si>
    <t>21/11/2023 11:58:08 AM</t>
  </si>
  <si>
    <t>4535</t>
  </si>
  <si>
    <t>21/11/2023</t>
  </si>
  <si>
    <t>21/11/2023 11:57:48 AM</t>
  </si>
  <si>
    <t>4534</t>
  </si>
  <si>
    <t>20/11/2023</t>
  </si>
  <si>
    <t>Cadence reservation/ Ms. Vy</t>
  </si>
  <si>
    <t>20/11/2023 5:39:44 PM</t>
  </si>
  <si>
    <t>4532</t>
  </si>
  <si>
    <t>20/11/2023 2:53:30 PM</t>
  </si>
  <si>
    <t>4531</t>
  </si>
  <si>
    <t>20/11/2023 2:06:41 PM</t>
  </si>
  <si>
    <t>4529</t>
  </si>
  <si>
    <t>Chanel Reservation/ Ms Thu Vu</t>
  </si>
  <si>
    <t>20/11/2023 10:56:42 AM</t>
  </si>
  <si>
    <t>4528</t>
  </si>
  <si>
    <t>20/11/2023 10:23:07 AM</t>
  </si>
  <si>
    <t>4527</t>
  </si>
  <si>
    <t>17/11/2023 5:04:12 PM</t>
  </si>
  <si>
    <t>4526</t>
  </si>
  <si>
    <t>17/11/2023 5:02:55 PM</t>
  </si>
  <si>
    <t>4525</t>
  </si>
  <si>
    <t>17/11/2023 5:02:39 PM</t>
  </si>
  <si>
    <t>4524</t>
  </si>
  <si>
    <t>17/11/2023 5:02:16 PM</t>
  </si>
  <si>
    <t>4523</t>
  </si>
  <si>
    <t>17/11/2023 5:02:01 PM</t>
  </si>
  <si>
    <t>4508</t>
  </si>
  <si>
    <t>16/11/2023</t>
  </si>
  <si>
    <t>16/11/2023 10:15:46 AM</t>
  </si>
  <si>
    <t>15/11/2023</t>
  </si>
  <si>
    <t>Cosmos reservation/ Mr. Kazuya</t>
  </si>
  <si>
    <t>15/11/2023 3:47:55 PM</t>
  </si>
  <si>
    <t>15/11/2023 3:00:13 PM</t>
  </si>
  <si>
    <t>15/11/2023 12:51:30 PM</t>
  </si>
  <si>
    <t>15/11/2023 12:17:37 PM</t>
  </si>
  <si>
    <t>Chanel booking/ Ms Thu/ Ms. Linh Nguyen - PR meeting</t>
  </si>
  <si>
    <t>13/11/2023 5:38:07 PM</t>
  </si>
  <si>
    <t>Chanel booking/ Ms Thu/ Ms. Thuy Linh meeting</t>
  </si>
  <si>
    <t>13/11/2023 5:37:34 PM</t>
  </si>
  <si>
    <t>24/11/2023</t>
  </si>
  <si>
    <t>13/11/2023 5:33:29 PM</t>
  </si>
  <si>
    <t>13/11/2023</t>
  </si>
  <si>
    <t>13/11/2023 2:36:52 PM</t>
  </si>
  <si>
    <t>UOB reservation/ Ms. Loan</t>
  </si>
  <si>
    <t>13/11/2023 10:32:01 AM</t>
  </si>
  <si>
    <t>09/11/2023</t>
  </si>
  <si>
    <t>Chanel booking/ Ms Thu/ Ms. Linh Nguyen – PR Meeting</t>
  </si>
  <si>
    <t>17/11/2023</t>
  </si>
  <si>
    <t>Booking.com reservation/ Ms. Lan Anh</t>
  </si>
  <si>
    <t>Chanel booking/ Ms Thu/ Ms. Bich Ngoc – FAS meeting</t>
  </si>
  <si>
    <t>CHANEL-S606162</t>
  </si>
  <si>
    <t>Chanel booking/ Ms Thu/ Ms. Ngoc – FAS</t>
  </si>
  <si>
    <t>Chanel booking/ Ms Thu/ Ms. Trang interview</t>
  </si>
  <si>
    <t>31/10/2023 5:08:19 PM</t>
  </si>
  <si>
    <t>31/10/2023 12:03:03 PM</t>
  </si>
  <si>
    <t>31/10/2023 10:47:59 AM</t>
  </si>
  <si>
    <t>31/10/2023 10:47:36 AM</t>
  </si>
  <si>
    <t>31/10/2023 10:47:16 AM</t>
  </si>
  <si>
    <t>Chanel booking/ Ms Thu/ Ms. Ngoc Thai – FBP training</t>
  </si>
  <si>
    <t>19/10/2023 4:26:15 PM</t>
  </si>
  <si>
    <t>19/10/2023 4:25:48 PM</t>
  </si>
  <si>
    <t>19/10/2023 4:25:16 PM</t>
  </si>
  <si>
    <t>19/10/2023 4:24:50 PM</t>
  </si>
  <si>
    <t>4456</t>
  </si>
  <si>
    <t>19/10/2023 4:24:21 PM</t>
  </si>
  <si>
    <t>4455</t>
  </si>
  <si>
    <t>1730</t>
  </si>
  <si>
    <t>19/10/2023 4:23:41 PM</t>
  </si>
  <si>
    <t>19/10/2023 4:23:17 PM</t>
  </si>
  <si>
    <t>17/10/2023 5:52:38 PM</t>
  </si>
  <si>
    <t>16/10/2023 5:21:50 PM</t>
  </si>
  <si>
    <t>camera setup</t>
  </si>
  <si>
    <t>21/9/2023 10:49:58 AM</t>
  </si>
  <si>
    <t>21/9/2023 10:49:22 AM</t>
  </si>
  <si>
    <t>4386</t>
  </si>
  <si>
    <t>21/9/2023 10:49:05 AM</t>
  </si>
  <si>
    <t>4377</t>
  </si>
  <si>
    <t>Tungaloy booking - Tuyen</t>
  </si>
  <si>
    <t>19/9/2023 4:42:06 PM</t>
  </si>
  <si>
    <t>4376</t>
  </si>
  <si>
    <t>Tungaloy Full-day - Tuyen</t>
  </si>
  <si>
    <t>19/9/2023 4:41:24 PM</t>
  </si>
  <si>
    <t>Sedona Meeting room</t>
  </si>
  <si>
    <t>1900</t>
  </si>
  <si>
    <t xml:space="preserve"> Booking.com</t>
  </si>
  <si>
    <t>Support booking Meeting room at Sedona for Booking.com</t>
  </si>
  <si>
    <t>1 Nov 2023 - 30 Nov 2023</t>
  </si>
  <si>
    <t>17.11.2023</t>
  </si>
  <si>
    <t>7pm</t>
  </si>
  <si>
    <t>VND 14,370,048</t>
  </si>
  <si>
    <t>1 OCT 2023 - 31 OCT 2023</t>
  </si>
  <si>
    <t>4475</t>
  </si>
  <si>
    <t>31/10/2023</t>
  </si>
  <si>
    <t>31/10/2023 10:29:24 AM</t>
  </si>
  <si>
    <t>4474</t>
  </si>
  <si>
    <t>30/10/2023</t>
  </si>
  <si>
    <t>30/10/2023 12:55:57 PM</t>
  </si>
  <si>
    <t>4473</t>
  </si>
  <si>
    <t>30/10/2023 9:59:34 AM</t>
  </si>
  <si>
    <t>27/10/2023</t>
  </si>
  <si>
    <t>26/10/2023 4:03:49 PM</t>
  </si>
  <si>
    <t>4471</t>
  </si>
  <si>
    <t>26/10/2023 3:05:51 PM</t>
  </si>
  <si>
    <t>26/10/2023 3:04:39 PM</t>
  </si>
  <si>
    <t>4469</t>
  </si>
  <si>
    <t>26/10/2023</t>
  </si>
  <si>
    <t>HTL reservation/ Ms. Thanh</t>
  </si>
  <si>
    <t>CHEW KWANG YONG</t>
  </si>
  <si>
    <t>26/10/2023 2:35:39 PM</t>
  </si>
  <si>
    <t>4468</t>
  </si>
  <si>
    <t>25/10/2023</t>
  </si>
  <si>
    <t>Chanel booking/ Ms Thu/ HR team meeting</t>
  </si>
  <si>
    <t>25/10/2023 5:10:32 PM</t>
  </si>
  <si>
    <t>4467</t>
  </si>
  <si>
    <t>Ecolean Reservation/Ms Thuy</t>
  </si>
  <si>
    <t>25/10/2023 2:30:08 PM</t>
  </si>
  <si>
    <t>4466</t>
  </si>
  <si>
    <t>24/10/2023</t>
  </si>
  <si>
    <t>Ecolean - Ms. Thu Le</t>
  </si>
  <si>
    <t>24/10/2023 1:07:35 PM</t>
  </si>
  <si>
    <t>4465</t>
  </si>
  <si>
    <t>Ecolean Reservation/Mr Ali</t>
  </si>
  <si>
    <t>24/10/2023 10:08:01 AM</t>
  </si>
  <si>
    <t>4464</t>
  </si>
  <si>
    <t>Chanel booking/ Ms Thu/ Ms. Thuy interview</t>
  </si>
  <si>
    <t>23/10/2023 12:39:48 PM</t>
  </si>
  <si>
    <t>PARTIALLY CHARGED</t>
  </si>
  <si>
    <t>4463</t>
  </si>
  <si>
    <t>23/10/2023</t>
  </si>
  <si>
    <t>20/10/2023 5:55:54 PM</t>
  </si>
  <si>
    <t>4462</t>
  </si>
  <si>
    <t>20/10/2023</t>
  </si>
  <si>
    <t>Chanel booking/ Ms Thu/ Ulrich interview</t>
  </si>
  <si>
    <t>19/10/2023 5:23:48 PM</t>
  </si>
  <si>
    <t>4461</t>
  </si>
  <si>
    <t>19/10/2023 5:23:35 PM</t>
  </si>
  <si>
    <t>4453</t>
  </si>
  <si>
    <t>19/10/2023 1:04:32 PM</t>
  </si>
  <si>
    <t>4452</t>
  </si>
  <si>
    <t>19/10/2023</t>
  </si>
  <si>
    <t>Seiko revised booking-Mr. Khoa</t>
  </si>
  <si>
    <t>18/10/2023 2:14:28 PM</t>
  </si>
  <si>
    <t>4451</t>
  </si>
  <si>
    <t>Cadence reservation/ Mr. Huy</t>
  </si>
  <si>
    <t>18/10/2023 12:40:20 PM</t>
  </si>
  <si>
    <t>4450</t>
  </si>
  <si>
    <t>Cadence reservation/ Mr Long</t>
  </si>
  <si>
    <t>18/10/2023 10:09:55 AM</t>
  </si>
  <si>
    <t>4449</t>
  </si>
  <si>
    <t>18/10/2023 10:09:16 AM</t>
  </si>
  <si>
    <t>4447</t>
  </si>
  <si>
    <t>Chanel booking/ Ms Thu/ Ms. Khanh Vy meeting</t>
  </si>
  <si>
    <t>17/10/2023 1:14:29 PM</t>
  </si>
  <si>
    <t>4446</t>
  </si>
  <si>
    <t>17/10/2023</t>
  </si>
  <si>
    <t>Chanel booking/ Ms Thu/ Ms.Thuy interview</t>
  </si>
  <si>
    <t>17/10/2023 9:59:52 AM</t>
  </si>
  <si>
    <t>4444</t>
  </si>
  <si>
    <t>Seiko reservation/ Mr Khoa</t>
  </si>
  <si>
    <t>16/10/2023 5:19:37 PM</t>
  </si>
  <si>
    <t>4443</t>
  </si>
  <si>
    <t>16/10/2023 1:10:06 PM</t>
  </si>
  <si>
    <t>4442</t>
  </si>
  <si>
    <t>16/10/2023</t>
  </si>
  <si>
    <t>16/10/2023 11:47:35 AM</t>
  </si>
  <si>
    <t>4441</t>
  </si>
  <si>
    <t>UA reservation/ Mr Brian</t>
  </si>
  <si>
    <t>13/10/2023 6:07:44 PM</t>
  </si>
  <si>
    <t>4440</t>
  </si>
  <si>
    <t>13/10/2023</t>
  </si>
  <si>
    <t>13/10/2023 6:06:07 PM</t>
  </si>
  <si>
    <t>4439</t>
  </si>
  <si>
    <t>13/10/2023 10:46:28 AM</t>
  </si>
  <si>
    <t>4438</t>
  </si>
  <si>
    <t>4437</t>
  </si>
  <si>
    <t>12/10/2023</t>
  </si>
  <si>
    <t>Kvision reservation/ Ms Tran</t>
  </si>
  <si>
    <t>4436</t>
  </si>
  <si>
    <t>Chanel booking/ Ms Thu/ Mr. Tri meeting</t>
  </si>
  <si>
    <t>4435</t>
  </si>
  <si>
    <t>4434</t>
  </si>
  <si>
    <t>Chanel booking/ Ms Thu/ Ulrich’s meeting</t>
  </si>
  <si>
    <t>4433</t>
  </si>
  <si>
    <t>4431</t>
  </si>
  <si>
    <t>Chanel booking/ Ms Thu/ Ms. Duong's PR meeting</t>
  </si>
  <si>
    <t>4430</t>
  </si>
  <si>
    <t>Chanel booking/ Ms Thu/ Ms. Thuy meeting</t>
  </si>
  <si>
    <t>4429</t>
  </si>
  <si>
    <t>4428</t>
  </si>
  <si>
    <t>4427</t>
  </si>
  <si>
    <t>4426</t>
  </si>
  <si>
    <t>Chanel booking/ Ms Thu/ Mr Duc meeting</t>
  </si>
  <si>
    <t>4425</t>
  </si>
  <si>
    <t>Chanel booking/ Ms Thu/ Hoai Trinh meeting</t>
  </si>
  <si>
    <t>4424</t>
  </si>
  <si>
    <t>4423</t>
  </si>
  <si>
    <t>4422</t>
  </si>
  <si>
    <t>Enterprise Singapore/ Ms Kim Phuong</t>
  </si>
  <si>
    <t>19</t>
  </si>
  <si>
    <t>ENTERPRISE SING</t>
  </si>
  <si>
    <t>4421</t>
  </si>
  <si>
    <t>4420</t>
  </si>
  <si>
    <t>4419</t>
  </si>
  <si>
    <t>4418</t>
  </si>
  <si>
    <t>Ecolean reservation/ Mr Ali</t>
  </si>
  <si>
    <t>4417</t>
  </si>
  <si>
    <t>HTL reservation</t>
  </si>
  <si>
    <t>4416</t>
  </si>
  <si>
    <t>4415</t>
  </si>
  <si>
    <t>4414</t>
  </si>
  <si>
    <t>1400</t>
  </si>
  <si>
    <t>1500</t>
  </si>
  <si>
    <t>KLOUD reservation for meeting client</t>
  </si>
  <si>
    <t>Kasikorn reservation/ Mr Thang</t>
  </si>
  <si>
    <t>4407</t>
  </si>
  <si>
    <t>4406</t>
  </si>
  <si>
    <t>Ecolean Reservation /Mr Ali</t>
  </si>
  <si>
    <t>4404</t>
  </si>
  <si>
    <t>Chanel booking/ Ms Thu/ Ms. Trang’s Meeting</t>
  </si>
  <si>
    <t>28/9/2023 3:27:41 PM</t>
  </si>
  <si>
    <t>4403</t>
  </si>
  <si>
    <t>28/9/2023 2:55:07 PM</t>
  </si>
  <si>
    <t>28/9/2023 2:54:40 PM</t>
  </si>
  <si>
    <t>Chanel booking/ Ms Thu/ Ms. Thuy's event</t>
  </si>
  <si>
    <t>27/9/2023 6:29:30 PM</t>
  </si>
  <si>
    <t>27/9/2023 6:29:17 PM</t>
  </si>
  <si>
    <t>27/9/2023 5:26:50 PM</t>
  </si>
  <si>
    <t>Chanel booking/ Ms Thu/ Ms. Thuy Book for ELC meeting</t>
  </si>
  <si>
    <t>26/9/2023 4:33:41 PM</t>
  </si>
  <si>
    <t>26/9/2023 12:22:51 PM</t>
  </si>
  <si>
    <t>4385</t>
  </si>
  <si>
    <t>21/9/2023 10:48:43 AM</t>
  </si>
  <si>
    <t>4384</t>
  </si>
  <si>
    <t>21/9/2023 10:48:26 AM</t>
  </si>
  <si>
    <t>4383</t>
  </si>
  <si>
    <t>21/9/2023 10:48:09 AM</t>
  </si>
  <si>
    <t>4382</t>
  </si>
  <si>
    <t>21/9/2023 10:47:49 AM</t>
  </si>
  <si>
    <t>1 Dec 2023 - 31 Dec 2023</t>
  </si>
  <si>
    <t>9:30am</t>
  </si>
  <si>
    <t>Chanel booking/ Ms. Thu/ Ms. Ngoc - FAS</t>
  </si>
  <si>
    <t>Contract No. 1056355/S60-61-63</t>
  </si>
  <si>
    <t>9/11/2023</t>
  </si>
  <si>
    <t>12:30pm</t>
  </si>
  <si>
    <t>Projector, U shape for 20pax</t>
  </si>
  <si>
    <t>1 SEP 2023 - 30 SEP 2023</t>
  </si>
  <si>
    <t>4405</t>
  </si>
  <si>
    <t>29/09/2023</t>
  </si>
  <si>
    <t>29/9/2023 2:40:35 PM</t>
  </si>
  <si>
    <t>4398</t>
  </si>
  <si>
    <t>27/09/2023</t>
  </si>
  <si>
    <t>UOB reservation/ Ms Lieu</t>
  </si>
  <si>
    <t>27/9/2023 4:05:46 PM</t>
  </si>
  <si>
    <t>4397</t>
  </si>
  <si>
    <t>27/9/2023 3:49:17 PM</t>
  </si>
  <si>
    <t>28/09/2023</t>
  </si>
  <si>
    <t>Chanel booking/ Ms Thu/ Ms. Huong interview</t>
  </si>
  <si>
    <t>27/9/2023 11:11:32 AM</t>
  </si>
  <si>
    <t>4393</t>
  </si>
  <si>
    <t>25/9/2023 10:36:05 AM</t>
  </si>
  <si>
    <t>22/09/2023</t>
  </si>
  <si>
    <t>22/9/2023 10:46:33 AM</t>
  </si>
  <si>
    <t>4391</t>
  </si>
  <si>
    <t>22/9/2023 10:15:13 AM</t>
  </si>
  <si>
    <t>4390</t>
  </si>
  <si>
    <t>22/9/2023 10:14:54 AM</t>
  </si>
  <si>
    <t>4389</t>
  </si>
  <si>
    <t>21/09/2023</t>
  </si>
  <si>
    <t>Cosmos reservation/ Mr Kazuya</t>
  </si>
  <si>
    <t>21/9/2023 2:32:11 PM</t>
  </si>
  <si>
    <t>4381</t>
  </si>
  <si>
    <t>21/9/2023 10:47:28 AM</t>
  </si>
  <si>
    <t>4380</t>
  </si>
  <si>
    <t>Booking.com reservation/ MsTracy</t>
  </si>
  <si>
    <t>camera support</t>
  </si>
  <si>
    <t>20/9/2023 11:49:28 AM</t>
  </si>
  <si>
    <t>4379</t>
  </si>
  <si>
    <t>20/09/2023</t>
  </si>
  <si>
    <t>20/9/2023 10:53:21 AM</t>
  </si>
  <si>
    <t>4378</t>
  </si>
  <si>
    <t>Chanel Booking - Ms. Thùy interview</t>
  </si>
  <si>
    <t>20/9/2023 10:03:49 AM</t>
  </si>
  <si>
    <t>4375</t>
  </si>
  <si>
    <t>HTL booking - Ms. Thanh Nguyen</t>
  </si>
  <si>
    <t>HTL</t>
  </si>
  <si>
    <t>19/9/2023 3:13:18 PM</t>
  </si>
  <si>
    <t>4374</t>
  </si>
  <si>
    <t>Kvision booking - Mr. Thang Bui</t>
  </si>
  <si>
    <t>19/9/2023 2:50:35 PM</t>
  </si>
  <si>
    <t>4373</t>
  </si>
  <si>
    <t>19/9/2023 2:50:15 PM</t>
  </si>
  <si>
    <t>4372</t>
  </si>
  <si>
    <t>19/09/2023</t>
  </si>
  <si>
    <t>Chanel - Mr. Joey booking</t>
  </si>
  <si>
    <t>Chanel - replacing 4371</t>
  </si>
  <si>
    <t>19/9/2023 10:42:55 AM</t>
  </si>
  <si>
    <t>4371</t>
  </si>
  <si>
    <t>18/09/2023</t>
  </si>
  <si>
    <t>Chanel Reservation/ Ms Huong</t>
  </si>
  <si>
    <t>18/9/2023 11:07:26 AM</t>
  </si>
  <si>
    <t>4370</t>
  </si>
  <si>
    <t>Ecolean Reservation/ Mr Ali</t>
  </si>
  <si>
    <t>18/9/2023 10:18:10 AM</t>
  </si>
  <si>
    <t>4369</t>
  </si>
  <si>
    <t>16/09/2023</t>
  </si>
  <si>
    <t>HTL reservation/ Ms Thanh</t>
  </si>
  <si>
    <t>15/9/2023 4:43:20 PM</t>
  </si>
  <si>
    <t>4368</t>
  </si>
  <si>
    <t>26/09/2023</t>
  </si>
  <si>
    <t>Chanel booking/ Ms Thu/ Ms. Huynh Interview</t>
  </si>
  <si>
    <t>15/9/2023 12:11:55 PM</t>
  </si>
  <si>
    <t>4367</t>
  </si>
  <si>
    <t>15/09/2023</t>
  </si>
  <si>
    <t>Bi-Weekly meeting</t>
  </si>
  <si>
    <t>14/9/2023 6:14:49 PM</t>
  </si>
  <si>
    <t>4366</t>
  </si>
  <si>
    <t>14/9/2023 4:58:27 PM</t>
  </si>
  <si>
    <t>4365</t>
  </si>
  <si>
    <t>14/9/2023 4:57:24 PM</t>
  </si>
  <si>
    <t>4364</t>
  </si>
  <si>
    <t>14/9/2023 11:57:39 AM</t>
  </si>
  <si>
    <t>4363</t>
  </si>
  <si>
    <t>14/09/2023</t>
  </si>
  <si>
    <t>14/9/2023 10:47:46 AM</t>
  </si>
  <si>
    <t>4362</t>
  </si>
  <si>
    <t>13/09/2023</t>
  </si>
  <si>
    <t>4361</t>
  </si>
  <si>
    <t>12/09/2023</t>
  </si>
  <si>
    <t>Ecolean Reservation/ Ms Thu</t>
  </si>
  <si>
    <t>4360</t>
  </si>
  <si>
    <t>Chanel booking/ Ms Thu/ Ms Huong</t>
  </si>
  <si>
    <t>4359</t>
  </si>
  <si>
    <t>4358</t>
  </si>
  <si>
    <t>Chanel booking/ Ms Thu/ Mr. Thanh – guest (T) meeting</t>
  </si>
  <si>
    <t>4357</t>
  </si>
  <si>
    <t>08/09/2023</t>
  </si>
  <si>
    <t>Ecolean Booking - Chi Thuy</t>
  </si>
  <si>
    <t>4356</t>
  </si>
  <si>
    <t>UOB reservation/ Ms Loan</t>
  </si>
  <si>
    <t>4355</t>
  </si>
  <si>
    <t>4354</t>
  </si>
  <si>
    <t>4353</t>
  </si>
  <si>
    <t>4352</t>
  </si>
  <si>
    <t>4351</t>
  </si>
  <si>
    <t>4350</t>
  </si>
  <si>
    <t>Camera conference (FOC)</t>
  </si>
  <si>
    <t>4349</t>
  </si>
  <si>
    <t>4348</t>
  </si>
  <si>
    <t>UOB reservation/ Mr Tien</t>
  </si>
  <si>
    <t>4347</t>
  </si>
  <si>
    <t>Chanel booking/ Ms Thu/ Mr. Joey – Team meeting</t>
  </si>
  <si>
    <t>4346</t>
  </si>
  <si>
    <t>Chew Kwang Yong reservation</t>
  </si>
  <si>
    <t>4345</t>
  </si>
  <si>
    <t>4344</t>
  </si>
  <si>
    <t>4341</t>
  </si>
  <si>
    <t>Crocs reservation/ Ms Hannah</t>
  </si>
  <si>
    <t>30/8/2023 4:59:29 PM</t>
  </si>
  <si>
    <t>4338</t>
  </si>
  <si>
    <t>Chanel booking/ Ms Thu/ Mr. Quyet – Team FAS meeting</t>
  </si>
  <si>
    <t>30/8/2023 3:08:02 PM</t>
  </si>
  <si>
    <t>4327</t>
  </si>
  <si>
    <t>Chanel booking/ Ms Thu/ Mr. Quyet meeting team Rex</t>
  </si>
  <si>
    <t>support 2 more chairs</t>
  </si>
  <si>
    <t>28/8/2023 1:36:44 PM</t>
  </si>
  <si>
    <t>4325</t>
  </si>
  <si>
    <t>28/8/2023 10:21:25 AM</t>
  </si>
  <si>
    <t>4324</t>
  </si>
  <si>
    <t>28/8/2023 10:20:48 AM</t>
  </si>
  <si>
    <t>4323</t>
  </si>
  <si>
    <t>28/8/2023 10:19:57 AM</t>
  </si>
  <si>
    <t>1630</t>
  </si>
  <si>
    <t>1 MAR 2024 - 31 MAR 2024</t>
  </si>
  <si>
    <t>4703</t>
  </si>
  <si>
    <t>28/03/2024</t>
  </si>
  <si>
    <t>GTM reservation</t>
  </si>
  <si>
    <t>27/3/2024 5:29:25 PM</t>
  </si>
  <si>
    <t>4697</t>
  </si>
  <si>
    <t>27/03/2024</t>
  </si>
  <si>
    <t>27/3/2024 10:11:58 AM</t>
  </si>
  <si>
    <t>21/03/2024</t>
  </si>
  <si>
    <t>1700</t>
  </si>
  <si>
    <t>21/3/2024 12:09:25 PM</t>
  </si>
  <si>
    <t>4693</t>
  </si>
  <si>
    <t>21/3/2024 10:28:22 AM</t>
  </si>
  <si>
    <t>4692</t>
  </si>
  <si>
    <t>14/3/2024 6:24:55 PM</t>
  </si>
  <si>
    <t>4691</t>
  </si>
  <si>
    <t>14/3/2024 6:24:43 PM</t>
  </si>
  <si>
    <t>4690</t>
  </si>
  <si>
    <t>18/03/2024</t>
  </si>
  <si>
    <t>14/3/2024 6:24:08 PM</t>
  </si>
  <si>
    <t>4689</t>
  </si>
  <si>
    <t>14/03/2024</t>
  </si>
  <si>
    <t>LGS reservation/ Ms. Cheryl</t>
  </si>
  <si>
    <t>13/3/2024 3:53:35 PM</t>
  </si>
  <si>
    <t>4688</t>
  </si>
  <si>
    <t>13/03/2024</t>
  </si>
  <si>
    <t>4685</t>
  </si>
  <si>
    <t>Booking.com - Ms. Vy Do</t>
  </si>
  <si>
    <t>Yâu c?u set up camera</t>
  </si>
  <si>
    <t>4684</t>
  </si>
  <si>
    <t>08/03/2024</t>
  </si>
  <si>
    <t>4683</t>
  </si>
  <si>
    <t>05/03/2024</t>
  </si>
  <si>
    <t>29/2/2024 3:50:33 PM</t>
  </si>
  <si>
    <t>4682</t>
  </si>
  <si>
    <t>15/03/2024</t>
  </si>
  <si>
    <t>HAO12820</t>
  </si>
  <si>
    <t>29/2/2024 1:00:00 PM</t>
  </si>
  <si>
    <t>4680</t>
  </si>
  <si>
    <t>04/03/2024</t>
  </si>
  <si>
    <t>29/2/2024 10:27:39 AM</t>
  </si>
  <si>
    <t>4677</t>
  </si>
  <si>
    <t>12/03/2024</t>
  </si>
  <si>
    <t>Chanel booking/ Ms Chi</t>
  </si>
  <si>
    <t>Discount contract: S60,61,63</t>
  </si>
  <si>
    <t>28/2/2024 11:38:15 AM</t>
  </si>
  <si>
    <t>4676</t>
  </si>
  <si>
    <t>01/03/2024</t>
  </si>
  <si>
    <t>26/2/2024 5:05:00 PM</t>
  </si>
  <si>
    <t>4675</t>
  </si>
  <si>
    <t>02/03/2024</t>
  </si>
  <si>
    <t>26/2/2024 4:57:05 PM</t>
  </si>
  <si>
    <t>4673</t>
  </si>
  <si>
    <t>Chanel booking/ Ms Chi/ Joey meeting</t>
  </si>
  <si>
    <t>Discount contract s60,61,63</t>
  </si>
  <si>
    <t>22/2/2024 11:45:53 AM</t>
  </si>
  <si>
    <t>4669</t>
  </si>
  <si>
    <t>29/03/2024</t>
  </si>
  <si>
    <t>20/2/2024 10:19:10 AM</t>
  </si>
  <si>
    <t>4668</t>
  </si>
  <si>
    <t>22/03/2024</t>
  </si>
  <si>
    <t>20/2/2024 10:15:59 AM</t>
  </si>
  <si>
    <t>4667</t>
  </si>
  <si>
    <t>20/2/2024 10:15:38 AM</t>
  </si>
  <si>
    <t>4666</t>
  </si>
  <si>
    <t>20/2/2024 10:13:17 AM</t>
  </si>
  <si>
    <t>4659</t>
  </si>
  <si>
    <t>Booking.com reservation/ Ms. Vy</t>
  </si>
  <si>
    <t>set up 15 seats U shape + projector</t>
  </si>
  <si>
    <t>set up 18 seats U shape + projector</t>
  </si>
  <si>
    <t xml:space="preserve"> Price list</t>
  </si>
  <si>
    <t>Rate per hour</t>
  </si>
  <si>
    <t>Special offers</t>
  </si>
  <si>
    <t>MCKINSEY BRANCH</t>
  </si>
  <si>
    <t xml:space="preserve">được free VND 2,000,000 booking meeting facilities mỗi tháng (không cộng gộp cho tháng sau) </t>
  </si>
  <si>
    <t xml:space="preserve">được free  3 tiếng booking boardroom mỗi tháng (không cộng gộp cho tháng sau) </t>
  </si>
  <si>
    <t>VN Phòng Học 1 - The Study 1</t>
  </si>
  <si>
    <t>10% discount khi book phòng</t>
  </si>
  <si>
    <t>Complimentary 5 hours usage of Lib per month</t>
  </si>
  <si>
    <t xml:space="preserve">được free  5 tiếng booking meeting facilities mỗi tháng (không cộng gộp cho tháng sau) </t>
  </si>
  <si>
    <t>server room proposed 15% trước, có thể giảm đc 3%</t>
  </si>
  <si>
    <t>option 2 có thể giảm 5%</t>
  </si>
  <si>
    <t>promotion giữ nguyên</t>
  </si>
  <si>
    <t>no commission cho IO</t>
  </si>
  <si>
    <t>Per Hour</t>
  </si>
  <si>
    <t>Types of Facilities/Services</t>
  </si>
  <si>
    <t>Reserve Rate</t>
  </si>
  <si>
    <t>Member's Rate</t>
  </si>
  <si>
    <t>Non-Member's Rate</t>
  </si>
  <si>
    <t>Half Day</t>
  </si>
  <si>
    <t>Virtual Office</t>
  </si>
  <si>
    <t>(1) Business Address</t>
  </si>
  <si>
    <t>NA</t>
  </si>
  <si>
    <t>Full Day</t>
  </si>
  <si>
    <t>(2) Telephone Answering</t>
  </si>
  <si>
    <t>(1) &amp; (2) Business Address +</t>
  </si>
  <si>
    <t>The Study Room</t>
  </si>
  <si>
    <t>Hotdesks</t>
  </si>
  <si>
    <t>2 hours per month</t>
  </si>
  <si>
    <t>5 hours per month</t>
  </si>
  <si>
    <t>5 days per month</t>
  </si>
  <si>
    <t>10 hours per month</t>
  </si>
  <si>
    <t>10 days per month</t>
  </si>
  <si>
    <t>Library 1/Library 2</t>
  </si>
  <si>
    <t>15 days per month</t>
  </si>
  <si>
    <t>Unlimited</t>
  </si>
  <si>
    <t> </t>
  </si>
  <si>
    <t>Reserve</t>
  </si>
  <si>
    <r>
      <t>Member</t>
    </r>
    <r>
      <rPr>
        <b/>
        <sz val="9"/>
        <color rgb="FF1F497D"/>
        <rFont val="Calibri"/>
        <family val="2"/>
      </rPr>
      <t>s</t>
    </r>
  </si>
  <si>
    <r>
      <t>Non-Member</t>
    </r>
    <r>
      <rPr>
        <b/>
        <sz val="9"/>
        <color rgb="FF1F497D"/>
        <rFont val="Calibri"/>
        <family val="2"/>
      </rPr>
      <t>s</t>
    </r>
  </si>
  <si>
    <t>Pavilion (Event Space)</t>
  </si>
  <si>
    <t>1 APR 2024 - 30 APR 2024</t>
  </si>
  <si>
    <t>4726</t>
  </si>
  <si>
    <t>24/04/2024</t>
  </si>
  <si>
    <t>24/4/2024 11:08:17 AM</t>
  </si>
  <si>
    <t>4725</t>
  </si>
  <si>
    <t>23/04/2024</t>
  </si>
  <si>
    <t>23/4/2024 12:12:26 PM</t>
  </si>
  <si>
    <t>1000</t>
  </si>
  <si>
    <t>Viet Petro Reservation/ Mr Thanh</t>
  </si>
  <si>
    <t>23/4/2024 9:54:03 AM</t>
  </si>
  <si>
    <t>4723</t>
  </si>
  <si>
    <t>19/04/2024</t>
  </si>
  <si>
    <t>Petro reservation</t>
  </si>
  <si>
    <t>19/4/2024 10:04:38 AM</t>
  </si>
  <si>
    <t>4722</t>
  </si>
  <si>
    <t>19/4/2024 10:04:24 AM</t>
  </si>
  <si>
    <t>4719</t>
  </si>
  <si>
    <t>16/04/2024</t>
  </si>
  <si>
    <t>16/4/2024 10:36:47 AM</t>
  </si>
  <si>
    <t>4718</t>
  </si>
  <si>
    <t>15/04/2024</t>
  </si>
  <si>
    <t>Chanel Reservation/ Ms Chi</t>
  </si>
  <si>
    <t>15/4/2024 3:43:03 PM</t>
  </si>
  <si>
    <t>4717</t>
  </si>
  <si>
    <t>15/4/2024 12:20:16 PM</t>
  </si>
  <si>
    <t>4716</t>
  </si>
  <si>
    <t>12/04/2024</t>
  </si>
  <si>
    <t>8711RL01</t>
  </si>
  <si>
    <t>4715</t>
  </si>
  <si>
    <t>17/04/2024</t>
  </si>
  <si>
    <t>Chanel Reservation</t>
  </si>
  <si>
    <t>Apply Discount</t>
  </si>
  <si>
    <t>4714</t>
  </si>
  <si>
    <t>11/04/2024</t>
  </si>
  <si>
    <t>SEIKO Booking revised 1st - Ms. Vy</t>
  </si>
  <si>
    <t>SEIKO REVISED</t>
  </si>
  <si>
    <t>4713</t>
  </si>
  <si>
    <t>SEIKO Booking - Ms. Vy</t>
  </si>
  <si>
    <t>4712</t>
  </si>
  <si>
    <t>Discount contract: s60,61,63</t>
  </si>
  <si>
    <t>4711</t>
  </si>
  <si>
    <t>Yuhan reservation/ No inv needed</t>
  </si>
  <si>
    <t>YUHAN</t>
  </si>
  <si>
    <t>4710</t>
  </si>
  <si>
    <t>4709</t>
  </si>
  <si>
    <t>4708</t>
  </si>
  <si>
    <t>03/04/2024</t>
  </si>
  <si>
    <t>4707</t>
  </si>
  <si>
    <t>UA Reservation</t>
  </si>
  <si>
    <t>4706</t>
  </si>
  <si>
    <t>4705</t>
  </si>
  <si>
    <t>05/04/2024</t>
  </si>
  <si>
    <t>28/3/2024 12:06:45 PM</t>
  </si>
  <si>
    <t>4704</t>
  </si>
  <si>
    <t>02/04/2024</t>
  </si>
  <si>
    <t>28/3/2024 12:06:21 PM</t>
  </si>
  <si>
    <t>4702</t>
  </si>
  <si>
    <t>26/04/2024</t>
  </si>
  <si>
    <t>27/3/2024 10:43:37 AM</t>
  </si>
  <si>
    <t>4701</t>
  </si>
  <si>
    <t>27/3/2024 10:43:00 AM</t>
  </si>
  <si>
    <t>4700</t>
  </si>
  <si>
    <t>27/3/2024 10:42:40 AM</t>
  </si>
  <si>
    <t>4699</t>
  </si>
  <si>
    <t>27/3/2024 10:42:04 AM</t>
  </si>
  <si>
    <t>4698</t>
  </si>
  <si>
    <t>27/3/2024 10:41:37 AM</t>
  </si>
  <si>
    <t>4696</t>
  </si>
  <si>
    <t>Chanel booking/ Ms Chi/ FBP L&amp;D Team</t>
  </si>
  <si>
    <t>21/3/2024 2:56:05 PM</t>
  </si>
  <si>
    <t>4695</t>
  </si>
  <si>
    <t>21/3/2024 2:31:39 PM</t>
  </si>
  <si>
    <t>4687</t>
  </si>
  <si>
    <t>09/04/2024</t>
  </si>
  <si>
    <t>3259RP01</t>
  </si>
  <si>
    <t>4686</t>
  </si>
  <si>
    <t>08/04/2024</t>
  </si>
  <si>
    <t>26/4/2024 9:30am</t>
  </si>
  <si>
    <t>DATE</t>
  </si>
  <si>
    <t>Cadence reservation-Mr.Long</t>
  </si>
  <si>
    <t>Mr. Long</t>
  </si>
  <si>
    <t>6/24/2024 5:11pm</t>
  </si>
  <si>
    <t>6/24/2024 5:15pm</t>
  </si>
  <si>
    <t>50 pax and 10 chairs</t>
  </si>
  <si>
    <t>6/24/2024 5:30pm</t>
  </si>
  <si>
    <t>SEARCH TERM</t>
  </si>
  <si>
    <t>1 JUN 2024 - 24 JUN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</si>
</sst>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_);_(@_)"/>
    <numFmt numFmtId="166" formatCode="[$-F400]h:mm:ss\ AM/PM"/>
    <numFmt numFmtId="167" formatCode="[$-F800]dddd\,\ mmmm\ dd\,\ yyyy"/>
    <numFmt numFmtId="170" formatCode="[$-1010000]d/m/yy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sz val="11"/>
      <color rgb="FF00B050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sz val="9"/>
      <color rgb="FF333333"/>
      <name val="Calibri Light"/>
      <family val="2"/>
      <scheme val="major"/>
    </font>
    <font>
      <sz val="9"/>
      <color theme="1"/>
      <name val="Calibri Light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7"/>
      <color rgb="FF333333"/>
      <name val="Arial"/>
      <family val="2"/>
    </font>
    <font>
      <sz val="11"/>
      <color rgb="FF333333"/>
      <name val="Helvetica Neue"/>
      <charset val="1"/>
    </font>
    <font>
      <b/>
      <sz val="16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rgb="FF00B050"/>
      <name val="Calibri"/>
      <family val="2"/>
    </font>
    <font>
      <b/>
      <sz val="10"/>
      <color rgb="FFFF0000"/>
      <name val="Calibri"/>
      <family val="2"/>
    </font>
    <font>
      <sz val="10"/>
      <color rgb="FF333333"/>
      <name val="Calibri"/>
      <family val="2"/>
    </font>
    <font>
      <sz val="10"/>
      <name val="Calibri"/>
      <family val="2"/>
    </font>
    <font>
      <b/>
      <sz val="10"/>
      <color theme="1"/>
      <name val="Calibri"/>
      <family val="2"/>
    </font>
    <font>
      <sz val="10"/>
      <color rgb="FF70AD47"/>
      <name val="Calibri"/>
      <family val="2"/>
    </font>
    <font>
      <sz val="10"/>
      <color rgb="FF33333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</font>
    <font>
      <sz val="11"/>
      <color rgb="FF333333"/>
      <name val="Calibri"/>
      <family val="2"/>
    </font>
    <font>
      <sz val="10"/>
      <color rgb="FF000000"/>
      <name val="Calibri"/>
      <family val="2"/>
    </font>
    <font>
      <sz val="11"/>
      <color rgb="FF000000"/>
      <name val="Helvetica Neue"/>
      <charset val="1"/>
    </font>
    <font>
      <sz val="10"/>
      <color rgb="FFFF0000"/>
      <name val="Calibri"/>
      <family val="2"/>
    </font>
    <font>
      <sz val="10"/>
      <color theme="9"/>
      <name val="Calibri"/>
      <family val="2"/>
    </font>
    <font>
      <strike/>
      <sz val="11"/>
      <color theme="1"/>
      <name val="Calibri"/>
      <family val="2"/>
      <scheme val="minor"/>
    </font>
    <font>
      <sz val="10"/>
      <color rgb="FF333333"/>
      <name val="Helvetica Neue"/>
      <charset val="1"/>
    </font>
    <font>
      <sz val="11"/>
      <color theme="1"/>
      <name val="Calibri Light"/>
      <family val="2"/>
    </font>
    <font>
      <b/>
      <sz val="9"/>
      <color rgb="FF000000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b/>
      <sz val="9"/>
      <name val="Calibri"/>
      <family val="2"/>
    </font>
    <font>
      <sz val="10"/>
      <color rgb="FF000000"/>
      <name val="Times New Roman"/>
      <family val="1"/>
    </font>
    <font>
      <b/>
      <sz val="9"/>
      <color rgb="FF1F497D"/>
      <name val="Calibri"/>
      <family val="2"/>
    </font>
    <font>
      <sz val="10"/>
      <color rgb="FF333333"/>
      <name val="Calibri Light"/>
      <family val="2"/>
      <scheme val="major"/>
    </font>
    <font>
      <sz val="11"/>
      <color rgb="FF333333"/>
      <name val="Calibri Light"/>
      <family val="2"/>
      <scheme val="major"/>
    </font>
    <font>
      <sz val="10"/>
      <color rgb="FF000000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0"/>
      <color theme="9"/>
      <name val="Calibri Light"/>
      <family val="2"/>
      <scheme val="major"/>
    </font>
    <font>
      <sz val="10"/>
      <color theme="1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</font>
    <font>
      <sz val="10"/>
      <color theme="0"/>
      <name val="Helvetica Neue"/>
      <charset val="1"/>
    </font>
    <font>
      <sz val="11"/>
      <color theme="0"/>
      <name val="Helvetica Neue"/>
      <charset val="1"/>
    </font>
    <font>
      <sz val="10"/>
      <color theme="1"/>
      <name val="Calibri"/>
      <family val="2"/>
    </font>
    <font>
      <sz val="11"/>
      <color theme="1"/>
      <name val="Calibri"/>
      <family val="2"/>
    </font>
    <font>
      <i/>
      <sz val="10"/>
      <color theme="1"/>
      <name val="Calibri"/>
      <family val="2"/>
      <scheme val="minor"/>
    </font>
    <font>
      <sz val="10"/>
      <color rgb="FF2C2C2C"/>
      <name val="Calibri"/>
      <family val="2"/>
      <scheme val="minor"/>
    </font>
    <font>
      <vertAlign val="superscript"/>
      <sz val="8"/>
      <color theme="1"/>
      <name val="Calibri"/>
      <family val="2"/>
      <scheme val="minor"/>
    </font>
    <font>
      <sz val="10"/>
      <color rgb="FF333333"/>
      <name val="Calibri Light"/>
      <scheme val="major"/>
    </font>
    <font>
      <sz val="10"/>
      <color theme="1"/>
      <name val="Calibri Light"/>
      <scheme val="major"/>
    </font>
    <font>
      <sz val="10"/>
      <color rgb="FF000000"/>
      <name val="Calibri Light"/>
      <scheme val="major"/>
    </font>
    <font>
      <sz val="10"/>
      <name val="Calibri Light"/>
      <scheme val="major"/>
    </font>
    <font>
      <sz val="11"/>
      <color rgb="FF333333"/>
      <name val="Calibri Light"/>
      <scheme val="major"/>
    </font>
    <font>
      <b/>
      <sz val="10"/>
      <color theme="1"/>
      <name val="Calibri Light"/>
      <scheme val="major"/>
    </font>
    <font>
      <sz val="10"/>
      <color theme="9"/>
      <name val="Calibri Light"/>
      <scheme val="major"/>
    </font>
    <font>
      <sz val="11"/>
      <color rgb="FF000000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2"/>
      <color rgb="FF00B050"/>
      <name val="Calibri Light"/>
      <family val="2"/>
      <scheme val="major"/>
    </font>
    <font>
      <sz val="12"/>
      <color rgb="FF333333"/>
      <name val="Calibri Light"/>
      <family val="2"/>
      <scheme val="major"/>
    </font>
    <font>
      <sz val="12"/>
      <color rgb="FF000000"/>
      <name val="Calibri Light"/>
      <family val="2"/>
      <scheme val="major"/>
    </font>
    <font>
      <sz val="12"/>
      <color theme="9"/>
      <name val="Calibri Light"/>
      <family val="2"/>
      <scheme val="major"/>
    </font>
    <font>
      <sz val="12"/>
      <name val="Calibri Light"/>
      <family val="2"/>
      <scheme val="major"/>
    </font>
    <font>
      <sz val="12"/>
      <color theme="0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2"/>
      <color theme="1"/>
      <name val="Aptos"/>
      <family val="2"/>
      <charset val="1"/>
    </font>
    <font>
      <b/>
      <sz val="10"/>
      <color theme="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FEBF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ECECEC"/>
        <bgColor indexed="64"/>
      </patternFill>
    </fill>
    <fill>
      <patternFill patternType="solid">
        <fgColor theme="0"/>
        <bgColor indexed="64"/>
      </patternFill>
    </fill>
  </fills>
  <borders count="9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4C4C4"/>
      </left>
      <right style="medium">
        <color rgb="FFC4C4C4"/>
      </right>
      <top style="medium">
        <color rgb="FFC4C4C4"/>
      </top>
      <bottom style="medium">
        <color rgb="FFC4C4C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C4C4C4"/>
      </left>
      <right style="thin">
        <color rgb="FFC4C4C4"/>
      </right>
      <top style="thin">
        <color rgb="FFC4C4C4"/>
      </top>
      <bottom style="thin">
        <color rgb="FFC4C4C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4C4C4"/>
      </left>
      <right style="thin">
        <color rgb="FFC4C4C4"/>
      </right>
      <top style="thin">
        <color rgb="FFC4C4C4"/>
      </top>
      <bottom/>
      <diagonal/>
    </border>
    <border>
      <left style="thin">
        <color rgb="FFC4C4C4"/>
      </left>
      <right style="thin">
        <color rgb="FFC4C4C4"/>
      </right>
      <top/>
      <bottom style="thin">
        <color rgb="FFC4C4C4"/>
      </bottom>
      <diagonal/>
    </border>
    <border>
      <left style="thin">
        <color rgb="FFC4C4C4"/>
      </left>
      <right style="thin">
        <color rgb="FFC4C4C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/>
      <bottom/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/>
      <bottom/>
      <diagonal/>
    </border>
    <border>
      <left style="thin">
        <color indexed="64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C4C4C4"/>
      </right>
      <top/>
      <bottom/>
      <diagonal/>
    </border>
    <border>
      <left/>
      <right style="thin">
        <color rgb="FFC4C4C4"/>
      </right>
      <top/>
      <bottom style="thin">
        <color rgb="FFC4C4C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306">
    <xf numFmtId="0" fontId="0" fillId="0" borderId="0" xfId="0"/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" fillId="2" borderId="1" xfId="0" applyFont="1" applyFill="1" applyBorder="1" applyAlignment="1">
      <alignment horizontal="center" vertical="center" wrapText="1"/>
    </xf>
    <xf numFmtId="164" fontId="3" fillId="2" borderId="1" xfId="1" applyNumberFormat="1" applyFont="1" applyFill="1" applyBorder="1" applyAlignment="1">
      <alignment horizontal="center" vertical="center" wrapText="1"/>
    </xf>
    <xf numFmtId="43" fontId="3" fillId="2" borderId="1" xfId="1" applyFont="1" applyFill="1" applyBorder="1" applyAlignment="1">
      <alignment horizontal="center" vertical="center" wrapText="1"/>
    </xf>
    <xf numFmtId="164" fontId="3" fillId="0" borderId="0" xfId="1" applyNumberFormat="1" applyFont="1" applyFill="1" applyBorder="1" applyAlignment="1">
      <alignment horizontal="center" vertical="center" wrapText="1"/>
    </xf>
    <xf numFmtId="0" fontId="6" fillId="7" borderId="0" xfId="0" applyFont="1" applyFill="1" applyAlignment="1">
      <alignment vertical="center" wrapText="1"/>
    </xf>
    <xf numFmtId="43" fontId="7" fillId="0" borderId="0" xfId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164" fontId="7" fillId="0" borderId="0" xfId="1" applyNumberFormat="1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6" fillId="7" borderId="1" xfId="0" applyFont="1" applyFill="1" applyBorder="1" applyAlignment="1">
      <alignment vertical="center" wrapText="1"/>
    </xf>
    <xf numFmtId="0" fontId="6" fillId="7" borderId="1" xfId="0" applyFont="1" applyFill="1" applyBorder="1" applyAlignment="1">
      <alignment horizontal="right" vertical="center" wrapText="1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right" vertical="center" wrapText="1"/>
    </xf>
    <xf numFmtId="0" fontId="6" fillId="0" borderId="0" xfId="0" applyFont="1" applyAlignment="1">
      <alignment vertical="center" wrapText="1"/>
    </xf>
    <xf numFmtId="164" fontId="6" fillId="7" borderId="1" xfId="1" applyNumberFormat="1" applyFont="1" applyFill="1" applyBorder="1" applyAlignment="1">
      <alignment horizontal="right" vertical="center" wrapText="1"/>
    </xf>
    <xf numFmtId="164" fontId="6" fillId="0" borderId="1" xfId="1" applyNumberFormat="1" applyFont="1" applyFill="1" applyBorder="1" applyAlignment="1">
      <alignment horizontal="right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9" fontId="6" fillId="7" borderId="1" xfId="0" applyNumberFormat="1" applyFont="1" applyFill="1" applyBorder="1" applyAlignment="1">
      <alignment horizontal="left" vertical="center" wrapText="1"/>
    </xf>
    <xf numFmtId="1" fontId="6" fillId="7" borderId="1" xfId="0" applyNumberFormat="1" applyFont="1" applyFill="1" applyBorder="1" applyAlignment="1">
      <alignment vertical="center" wrapText="1"/>
    </xf>
    <xf numFmtId="0" fontId="11" fillId="0" borderId="10" xfId="0" applyFont="1" applyBorder="1" applyAlignment="1">
      <alignment vertical="top" wrapText="1"/>
    </xf>
    <xf numFmtId="0" fontId="11" fillId="0" borderId="11" xfId="0" applyFont="1" applyBorder="1" applyAlignment="1">
      <alignment vertical="top" wrapText="1"/>
    </xf>
    <xf numFmtId="3" fontId="11" fillId="0" borderId="7" xfId="0" applyNumberFormat="1" applyFont="1" applyBorder="1" applyAlignment="1">
      <alignment vertical="top" wrapText="1"/>
    </xf>
    <xf numFmtId="3" fontId="11" fillId="0" borderId="9" xfId="0" applyNumberFormat="1" applyFont="1" applyBorder="1"/>
    <xf numFmtId="3" fontId="12" fillId="0" borderId="1" xfId="0" applyNumberFormat="1" applyFont="1" applyBorder="1"/>
    <xf numFmtId="0" fontId="13" fillId="0" borderId="11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3" fontId="11" fillId="0" borderId="9" xfId="0" applyNumberFormat="1" applyFont="1" applyBorder="1" applyAlignment="1">
      <alignment vertical="top" wrapText="1"/>
    </xf>
    <xf numFmtId="3" fontId="12" fillId="0" borderId="1" xfId="0" applyNumberFormat="1" applyFont="1" applyBorder="1" applyAlignment="1">
      <alignment vertical="top" wrapText="1"/>
    </xf>
    <xf numFmtId="3" fontId="12" fillId="0" borderId="8" xfId="0" applyNumberFormat="1" applyFont="1" applyBorder="1" applyAlignment="1">
      <alignment vertical="top"/>
    </xf>
    <xf numFmtId="3" fontId="11" fillId="0" borderId="14" xfId="0" applyNumberFormat="1" applyFont="1" applyBorder="1" applyAlignment="1">
      <alignment vertical="top" wrapText="1"/>
    </xf>
    <xf numFmtId="3" fontId="12" fillId="0" borderId="6" xfId="0" applyNumberFormat="1" applyFont="1" applyBorder="1" applyAlignment="1">
      <alignment vertical="top"/>
    </xf>
    <xf numFmtId="3" fontId="13" fillId="0" borderId="9" xfId="0" applyNumberFormat="1" applyFont="1" applyBorder="1"/>
    <xf numFmtId="3" fontId="14" fillId="0" borderId="1" xfId="0" applyNumberFormat="1" applyFont="1" applyBorder="1"/>
    <xf numFmtId="0" fontId="15" fillId="8" borderId="2" xfId="0" applyFont="1" applyFill="1" applyBorder="1" applyAlignment="1">
      <alignment vertical="center" wrapText="1"/>
    </xf>
    <xf numFmtId="22" fontId="15" fillId="8" borderId="2" xfId="0" applyNumberFormat="1" applyFont="1" applyFill="1" applyBorder="1" applyAlignment="1">
      <alignment vertical="center" wrapText="1"/>
    </xf>
    <xf numFmtId="9" fontId="6" fillId="0" borderId="1" xfId="0" applyNumberFormat="1" applyFont="1" applyBorder="1" applyAlignment="1">
      <alignment horizontal="left" vertical="center" wrapText="1"/>
    </xf>
    <xf numFmtId="3" fontId="6" fillId="7" borderId="1" xfId="0" applyNumberFormat="1" applyFont="1" applyFill="1" applyBorder="1" applyAlignment="1">
      <alignment vertical="center" wrapText="1"/>
    </xf>
    <xf numFmtId="0" fontId="6" fillId="10" borderId="1" xfId="0" applyFont="1" applyFill="1" applyBorder="1" applyAlignment="1">
      <alignment vertical="center" wrapText="1"/>
    </xf>
    <xf numFmtId="0" fontId="6" fillId="0" borderId="6" xfId="0" applyFont="1" applyBorder="1" applyAlignment="1">
      <alignment horizontal="left" vertical="center" wrapText="1"/>
    </xf>
    <xf numFmtId="1" fontId="6" fillId="0" borderId="1" xfId="0" applyNumberFormat="1" applyFont="1" applyBorder="1" applyAlignment="1">
      <alignment vertical="center" wrapText="1"/>
    </xf>
    <xf numFmtId="3" fontId="6" fillId="0" borderId="1" xfId="0" applyNumberFormat="1" applyFont="1" applyBorder="1" applyAlignment="1">
      <alignment vertical="center" wrapText="1"/>
    </xf>
    <xf numFmtId="0" fontId="16" fillId="7" borderId="16" xfId="0" applyFont="1" applyFill="1" applyBorder="1" applyAlignment="1">
      <alignment wrapText="1"/>
    </xf>
    <xf numFmtId="14" fontId="6" fillId="0" borderId="1" xfId="0" applyNumberFormat="1" applyFont="1" applyBorder="1" applyAlignment="1">
      <alignment horizontal="center" vertical="center" wrapText="1"/>
    </xf>
    <xf numFmtId="22" fontId="6" fillId="0" borderId="1" xfId="0" applyNumberFormat="1" applyFont="1" applyBorder="1" applyAlignment="1">
      <alignment horizontal="center" vertical="center" wrapText="1"/>
    </xf>
    <xf numFmtId="0" fontId="6" fillId="0" borderId="6" xfId="0" applyFont="1" applyBorder="1" applyAlignment="1">
      <alignment horizontal="right" vertical="center" wrapText="1"/>
    </xf>
    <xf numFmtId="22" fontId="6" fillId="0" borderId="6" xfId="0" applyNumberFormat="1" applyFont="1" applyBorder="1" applyAlignment="1">
      <alignment vertical="center" wrapText="1"/>
    </xf>
    <xf numFmtId="0" fontId="17" fillId="0" borderId="0" xfId="0" applyFont="1" applyAlignment="1">
      <alignment vertical="center"/>
    </xf>
    <xf numFmtId="2" fontId="17" fillId="0" borderId="0" xfId="0" applyNumberFormat="1" applyFont="1" applyAlignment="1">
      <alignment vertical="center"/>
    </xf>
    <xf numFmtId="43" fontId="17" fillId="0" borderId="0" xfId="1" applyFont="1" applyAlignment="1">
      <alignment vertical="center"/>
    </xf>
    <xf numFmtId="164" fontId="17" fillId="0" borderId="0" xfId="1" applyNumberFormat="1" applyFont="1" applyAlignment="1">
      <alignment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0" xfId="0" applyFont="1" applyFill="1"/>
    <xf numFmtId="0" fontId="18" fillId="0" borderId="0" xfId="0" applyFont="1" applyAlignment="1">
      <alignment horizontal="left"/>
    </xf>
    <xf numFmtId="0" fontId="19" fillId="0" borderId="0" xfId="0" applyFont="1" applyAlignment="1">
      <alignment vertical="center"/>
    </xf>
    <xf numFmtId="2" fontId="19" fillId="0" borderId="0" xfId="0" applyNumberFormat="1" applyFont="1" applyAlignment="1">
      <alignment vertical="center"/>
    </xf>
    <xf numFmtId="43" fontId="19" fillId="0" borderId="0" xfId="1" applyFont="1" applyAlignment="1">
      <alignment vertical="center"/>
    </xf>
    <xf numFmtId="164" fontId="19" fillId="0" borderId="0" xfId="1" applyNumberFormat="1" applyFont="1" applyAlignment="1">
      <alignment vertical="center"/>
    </xf>
    <xf numFmtId="0" fontId="18" fillId="4" borderId="0" xfId="0" applyFont="1" applyFill="1"/>
    <xf numFmtId="0" fontId="18" fillId="5" borderId="0" xfId="0" applyFont="1" applyFill="1"/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right" vertic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 vertical="center"/>
    </xf>
    <xf numFmtId="43" fontId="18" fillId="0" borderId="0" xfId="1" applyFont="1" applyAlignment="1">
      <alignment horizontal="center" vertical="center"/>
    </xf>
    <xf numFmtId="164" fontId="18" fillId="0" borderId="0" xfId="1" applyNumberFormat="1" applyFont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vertical="center"/>
    </xf>
    <xf numFmtId="0" fontId="20" fillId="2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right" vertical="center"/>
    </xf>
    <xf numFmtId="0" fontId="21" fillId="2" borderId="1" xfId="0" applyFont="1" applyFill="1" applyBorder="1" applyAlignment="1">
      <alignment horizontal="right" vertical="center" wrapText="1"/>
    </xf>
    <xf numFmtId="43" fontId="20" fillId="2" borderId="1" xfId="1" applyFont="1" applyFill="1" applyBorder="1" applyAlignment="1">
      <alignment horizontal="center" vertical="center" wrapText="1"/>
    </xf>
    <xf numFmtId="164" fontId="20" fillId="2" borderId="15" xfId="1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0" borderId="1" xfId="0" applyFont="1" applyBorder="1" applyAlignment="1">
      <alignment vertical="center" wrapText="1"/>
    </xf>
    <xf numFmtId="0" fontId="20" fillId="0" borderId="0" xfId="0" applyFont="1"/>
    <xf numFmtId="164" fontId="23" fillId="0" borderId="1" xfId="1" applyNumberFormat="1" applyFont="1" applyFill="1" applyBorder="1" applyAlignment="1">
      <alignment vertical="center" wrapText="1"/>
    </xf>
    <xf numFmtId="2" fontId="23" fillId="7" borderId="1" xfId="0" applyNumberFormat="1" applyFont="1" applyFill="1" applyBorder="1" applyAlignment="1">
      <alignment horizontal="right" vertical="center" wrapText="1"/>
    </xf>
    <xf numFmtId="0" fontId="23" fillId="7" borderId="1" xfId="0" applyFont="1" applyFill="1" applyBorder="1" applyAlignment="1">
      <alignment horizontal="left" vertical="center" wrapText="1"/>
    </xf>
    <xf numFmtId="1" fontId="23" fillId="0" borderId="1" xfId="0" applyNumberFormat="1" applyFont="1" applyBorder="1" applyAlignment="1">
      <alignment horizontal="center" vertical="center" wrapText="1"/>
    </xf>
    <xf numFmtId="49" fontId="23" fillId="7" borderId="1" xfId="0" applyNumberFormat="1" applyFont="1" applyFill="1" applyBorder="1" applyAlignment="1">
      <alignment horizontal="right" vertical="center" wrapText="1"/>
    </xf>
    <xf numFmtId="49" fontId="23" fillId="7" borderId="1" xfId="0" applyNumberFormat="1" applyFont="1" applyFill="1" applyBorder="1" applyAlignment="1">
      <alignment vertical="center" wrapText="1"/>
    </xf>
    <xf numFmtId="49" fontId="23" fillId="7" borderId="1" xfId="0" applyNumberFormat="1" applyFont="1" applyFill="1" applyBorder="1" applyAlignment="1">
      <alignment horizontal="left" vertical="center" wrapText="1"/>
    </xf>
    <xf numFmtId="49" fontId="20" fillId="0" borderId="0" xfId="1" applyNumberFormat="1" applyFont="1" applyFill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1" xfId="1" applyNumberFormat="1" applyFont="1" applyFill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/>
    </xf>
    <xf numFmtId="0" fontId="20" fillId="0" borderId="1" xfId="0" applyFont="1" applyBorder="1"/>
    <xf numFmtId="0" fontId="24" fillId="0" borderId="1" xfId="0" applyFont="1" applyBorder="1"/>
    <xf numFmtId="1" fontId="24" fillId="0" borderId="1" xfId="0" applyNumberFormat="1" applyFont="1" applyBorder="1" applyAlignment="1">
      <alignment horizontal="center" vertical="center" wrapText="1"/>
    </xf>
    <xf numFmtId="22" fontId="20" fillId="0" borderId="1" xfId="0" applyNumberFormat="1" applyFont="1" applyBorder="1"/>
    <xf numFmtId="164" fontId="25" fillId="6" borderId="1" xfId="1" applyNumberFormat="1" applyFont="1" applyFill="1" applyBorder="1"/>
    <xf numFmtId="2" fontId="20" fillId="0" borderId="0" xfId="0" applyNumberFormat="1" applyFont="1"/>
    <xf numFmtId="0" fontId="18" fillId="0" borderId="0" xfId="0" applyFont="1"/>
    <xf numFmtId="2" fontId="18" fillId="0" borderId="0" xfId="0" applyNumberFormat="1" applyFont="1"/>
    <xf numFmtId="14" fontId="20" fillId="0" borderId="1" xfId="0" applyNumberFormat="1" applyFont="1" applyBorder="1" applyAlignment="1">
      <alignment horizontal="right"/>
    </xf>
    <xf numFmtId="0" fontId="20" fillId="0" borderId="1" xfId="0" applyFont="1" applyBorder="1" applyAlignment="1">
      <alignment horizontal="right"/>
    </xf>
    <xf numFmtId="0" fontId="20" fillId="0" borderId="0" xfId="0" applyFont="1" applyAlignment="1">
      <alignment horizontal="right"/>
    </xf>
    <xf numFmtId="0" fontId="6" fillId="10" borderId="1" xfId="0" applyFont="1" applyFill="1" applyBorder="1" applyAlignment="1">
      <alignment horizontal="center" vertical="center" wrapText="1"/>
    </xf>
    <xf numFmtId="14" fontId="6" fillId="10" borderId="1" xfId="0" applyNumberFormat="1" applyFont="1" applyFill="1" applyBorder="1" applyAlignment="1">
      <alignment horizontal="center" vertical="center" wrapText="1"/>
    </xf>
    <xf numFmtId="22" fontId="6" fillId="10" borderId="1" xfId="0" applyNumberFormat="1" applyFont="1" applyFill="1" applyBorder="1" applyAlignment="1">
      <alignment horizontal="center" vertical="center" wrapText="1"/>
    </xf>
    <xf numFmtId="9" fontId="6" fillId="10" borderId="1" xfId="0" applyNumberFormat="1" applyFont="1" applyFill="1" applyBorder="1" applyAlignment="1">
      <alignment horizontal="left" vertical="center" wrapText="1"/>
    </xf>
    <xf numFmtId="3" fontId="6" fillId="10" borderId="1" xfId="0" applyNumberFormat="1" applyFont="1" applyFill="1" applyBorder="1" applyAlignment="1">
      <alignment vertical="center" wrapText="1"/>
    </xf>
    <xf numFmtId="1" fontId="6" fillId="10" borderId="1" xfId="0" applyNumberFormat="1" applyFont="1" applyFill="1" applyBorder="1" applyAlignment="1">
      <alignment vertical="center" wrapText="1"/>
    </xf>
    <xf numFmtId="0" fontId="6" fillId="10" borderId="1" xfId="0" applyFont="1" applyFill="1" applyBorder="1" applyAlignment="1">
      <alignment horizontal="right" vertical="center" wrapText="1"/>
    </xf>
    <xf numFmtId="164" fontId="6" fillId="10" borderId="1" xfId="1" applyNumberFormat="1" applyFont="1" applyFill="1" applyBorder="1" applyAlignment="1">
      <alignment horizontal="right" vertical="center" wrapText="1"/>
    </xf>
    <xf numFmtId="0" fontId="6" fillId="10" borderId="0" xfId="0" applyFont="1" applyFill="1" applyAlignment="1">
      <alignment vertical="center" wrapText="1"/>
    </xf>
    <xf numFmtId="43" fontId="7" fillId="10" borderId="0" xfId="1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64" fontId="7" fillId="10" borderId="0" xfId="1" applyNumberFormat="1" applyFont="1" applyFill="1" applyAlignment="1">
      <alignment horizontal="center" vertical="center"/>
    </xf>
    <xf numFmtId="0" fontId="0" fillId="10" borderId="0" xfId="0" applyFill="1"/>
    <xf numFmtId="20" fontId="6" fillId="10" borderId="1" xfId="0" applyNumberFormat="1" applyFont="1" applyFill="1" applyBorder="1" applyAlignment="1">
      <alignment horizontal="center" vertical="center" wrapText="1"/>
    </xf>
    <xf numFmtId="22" fontId="20" fillId="0" borderId="1" xfId="0" applyNumberFormat="1" applyFont="1" applyBorder="1" applyAlignment="1">
      <alignment horizontal="right"/>
    </xf>
    <xf numFmtId="164" fontId="25" fillId="0" borderId="1" xfId="1" applyNumberFormat="1" applyFont="1" applyFill="1" applyBorder="1"/>
    <xf numFmtId="14" fontId="23" fillId="7" borderId="1" xfId="0" applyNumberFormat="1" applyFont="1" applyFill="1" applyBorder="1" applyAlignment="1">
      <alignment horizontal="right" vertical="center" wrapText="1"/>
    </xf>
    <xf numFmtId="164" fontId="23" fillId="7" borderId="15" xfId="1" applyNumberFormat="1" applyFont="1" applyFill="1" applyBorder="1" applyAlignment="1">
      <alignment horizontal="right" vertical="center" wrapText="1"/>
    </xf>
    <xf numFmtId="164" fontId="25" fillId="6" borderId="6" xfId="1" applyNumberFormat="1" applyFont="1" applyFill="1" applyBorder="1"/>
    <xf numFmtId="164" fontId="26" fillId="0" borderId="17" xfId="0" applyNumberFormat="1" applyFont="1" applyBorder="1"/>
    <xf numFmtId="22" fontId="6" fillId="0" borderId="6" xfId="0" applyNumberFormat="1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20" fontId="6" fillId="7" borderId="1" xfId="0" applyNumberFormat="1" applyFont="1" applyFill="1" applyBorder="1" applyAlignment="1">
      <alignment horizontal="center" vertical="center" wrapText="1"/>
    </xf>
    <xf numFmtId="0" fontId="15" fillId="7" borderId="2" xfId="0" applyFont="1" applyFill="1" applyBorder="1" applyAlignment="1">
      <alignment vertical="center" wrapText="1"/>
    </xf>
    <xf numFmtId="22" fontId="15" fillId="7" borderId="2" xfId="0" applyNumberFormat="1" applyFont="1" applyFill="1" applyBorder="1" applyAlignment="1">
      <alignment vertical="center" wrapText="1"/>
    </xf>
    <xf numFmtId="164" fontId="26" fillId="7" borderId="17" xfId="0" applyNumberFormat="1" applyFont="1" applyFill="1" applyBorder="1" applyAlignment="1">
      <alignment vertical="center" wrapText="1"/>
    </xf>
    <xf numFmtId="164" fontId="20" fillId="0" borderId="17" xfId="0" applyNumberFormat="1" applyFont="1" applyBorder="1"/>
    <xf numFmtId="0" fontId="20" fillId="0" borderId="17" xfId="0" applyFont="1" applyBorder="1"/>
    <xf numFmtId="49" fontId="20" fillId="0" borderId="20" xfId="1" applyNumberFormat="1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center" vertical="center" wrapText="1"/>
    </xf>
    <xf numFmtId="2" fontId="23" fillId="7" borderId="1" xfId="0" applyNumberFormat="1" applyFont="1" applyFill="1" applyBorder="1" applyAlignment="1">
      <alignment vertical="center" wrapText="1"/>
    </xf>
    <xf numFmtId="2" fontId="20" fillId="2" borderId="1" xfId="0" applyNumberFormat="1" applyFont="1" applyFill="1" applyBorder="1" applyAlignment="1">
      <alignment horizontal="center" vertical="center" wrapText="1"/>
    </xf>
    <xf numFmtId="2" fontId="20" fillId="0" borderId="1" xfId="0" applyNumberFormat="1" applyFont="1" applyBorder="1"/>
    <xf numFmtId="2" fontId="23" fillId="7" borderId="1" xfId="1" applyNumberFormat="1" applyFont="1" applyFill="1" applyBorder="1" applyAlignment="1">
      <alignment horizontal="right" vertical="center" wrapText="1"/>
    </xf>
    <xf numFmtId="14" fontId="24" fillId="0" borderId="1" xfId="0" applyNumberFormat="1" applyFont="1" applyBorder="1" applyAlignment="1">
      <alignment horizontal="right"/>
    </xf>
    <xf numFmtId="0" fontId="20" fillId="0" borderId="1" xfId="0" applyFont="1" applyBorder="1" applyAlignment="1">
      <alignment horizontal="left"/>
    </xf>
    <xf numFmtId="20" fontId="6" fillId="0" borderId="1" xfId="0" applyNumberFormat="1" applyFont="1" applyBorder="1" applyAlignment="1">
      <alignment horizontal="center" vertical="center" wrapText="1"/>
    </xf>
    <xf numFmtId="0" fontId="6" fillId="10" borderId="6" xfId="0" applyFont="1" applyFill="1" applyBorder="1" applyAlignment="1">
      <alignment horizontal="center" vertical="center" wrapText="1"/>
    </xf>
    <xf numFmtId="22" fontId="6" fillId="10" borderId="6" xfId="0" applyNumberFormat="1" applyFont="1" applyFill="1" applyBorder="1" applyAlignment="1">
      <alignment horizontal="center" vertical="center" wrapText="1"/>
    </xf>
    <xf numFmtId="0" fontId="27" fillId="10" borderId="6" xfId="0" applyFont="1" applyFill="1" applyBorder="1" applyAlignment="1">
      <alignment horizontal="center" vertical="center" wrapText="1"/>
    </xf>
    <xf numFmtId="0" fontId="27" fillId="10" borderId="1" xfId="0" applyFont="1" applyFill="1" applyBorder="1" applyAlignment="1">
      <alignment horizontal="center" vertical="center" wrapText="1"/>
    </xf>
    <xf numFmtId="14" fontId="27" fillId="10" borderId="1" xfId="0" applyNumberFormat="1" applyFont="1" applyFill="1" applyBorder="1" applyAlignment="1">
      <alignment horizontal="center" vertical="center" wrapText="1"/>
    </xf>
    <xf numFmtId="20" fontId="27" fillId="10" borderId="1" xfId="0" applyNumberFormat="1" applyFont="1" applyFill="1" applyBorder="1" applyAlignment="1">
      <alignment horizontal="center" vertical="center" wrapText="1"/>
    </xf>
    <xf numFmtId="22" fontId="27" fillId="10" borderId="6" xfId="0" applyNumberFormat="1" applyFont="1" applyFill="1" applyBorder="1" applyAlignment="1">
      <alignment horizontal="center" vertical="center" wrapText="1"/>
    </xf>
    <xf numFmtId="22" fontId="27" fillId="10" borderId="1" xfId="0" applyNumberFormat="1" applyFont="1" applyFill="1" applyBorder="1" applyAlignment="1">
      <alignment horizontal="center" vertical="center" wrapText="1"/>
    </xf>
    <xf numFmtId="0" fontId="28" fillId="10" borderId="0" xfId="0" applyFont="1" applyFill="1" applyAlignment="1">
      <alignment horizontal="center" vertical="center"/>
    </xf>
    <xf numFmtId="0" fontId="27" fillId="10" borderId="2" xfId="0" applyFont="1" applyFill="1" applyBorder="1" applyAlignment="1">
      <alignment horizontal="center" vertical="center" wrapText="1"/>
    </xf>
    <xf numFmtId="20" fontId="27" fillId="10" borderId="2" xfId="0" applyNumberFormat="1" applyFont="1" applyFill="1" applyBorder="1" applyAlignment="1">
      <alignment horizontal="center" vertical="center" wrapText="1"/>
    </xf>
    <xf numFmtId="22" fontId="27" fillId="10" borderId="2" xfId="0" applyNumberFormat="1" applyFont="1" applyFill="1" applyBorder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29" fillId="10" borderId="2" xfId="0" applyFont="1" applyFill="1" applyBorder="1" applyAlignment="1">
      <alignment horizontal="center" vertical="center" wrapText="1"/>
    </xf>
    <xf numFmtId="22" fontId="29" fillId="10" borderId="2" xfId="0" applyNumberFormat="1" applyFont="1" applyFill="1" applyBorder="1" applyAlignment="1">
      <alignment horizontal="center" vertical="center" wrapText="1"/>
    </xf>
    <xf numFmtId="0" fontId="30" fillId="0" borderId="0" xfId="0" applyFont="1" applyAlignment="1">
      <alignment horizontal="right"/>
    </xf>
    <xf numFmtId="0" fontId="31" fillId="7" borderId="16" xfId="0" applyFont="1" applyFill="1" applyBorder="1" applyAlignment="1">
      <alignment wrapText="1"/>
    </xf>
    <xf numFmtId="0" fontId="20" fillId="2" borderId="1" xfId="0" applyFont="1" applyFill="1" applyBorder="1" applyAlignment="1">
      <alignment horizontal="left" vertical="center" wrapText="1"/>
    </xf>
    <xf numFmtId="0" fontId="20" fillId="0" borderId="0" xfId="0" applyFont="1" applyAlignment="1">
      <alignment horizontal="left"/>
    </xf>
    <xf numFmtId="0" fontId="20" fillId="2" borderId="1" xfId="0" applyFont="1" applyFill="1" applyBorder="1" applyAlignment="1">
      <alignment horizontal="left" vertical="center"/>
    </xf>
    <xf numFmtId="2" fontId="23" fillId="0" borderId="1" xfId="0" applyNumberFormat="1" applyFont="1" applyBorder="1" applyAlignment="1">
      <alignment horizontal="right" vertical="center" wrapText="1"/>
    </xf>
    <xf numFmtId="164" fontId="26" fillId="0" borderId="17" xfId="0" applyNumberFormat="1" applyFont="1" applyBorder="1" applyAlignment="1">
      <alignment vertical="center"/>
    </xf>
    <xf numFmtId="164" fontId="32" fillId="7" borderId="17" xfId="0" applyNumberFormat="1" applyFont="1" applyFill="1" applyBorder="1" applyAlignment="1">
      <alignment vertical="center" wrapText="1"/>
    </xf>
    <xf numFmtId="164" fontId="32" fillId="0" borderId="17" xfId="0" applyNumberFormat="1" applyFont="1" applyBorder="1"/>
    <xf numFmtId="0" fontId="23" fillId="10" borderId="1" xfId="0" applyFont="1" applyFill="1" applyBorder="1" applyAlignment="1">
      <alignment vertical="center" wrapText="1"/>
    </xf>
    <xf numFmtId="49" fontId="23" fillId="10" borderId="1" xfId="0" applyNumberFormat="1" applyFont="1" applyFill="1" applyBorder="1" applyAlignment="1">
      <alignment horizontal="right" vertical="center" wrapText="1"/>
    </xf>
    <xf numFmtId="49" fontId="23" fillId="10" borderId="1" xfId="0" applyNumberFormat="1" applyFont="1" applyFill="1" applyBorder="1" applyAlignment="1">
      <alignment vertical="center" wrapText="1"/>
    </xf>
    <xf numFmtId="14" fontId="27" fillId="10" borderId="1" xfId="0" applyNumberFormat="1" applyFont="1" applyFill="1" applyBorder="1" applyAlignment="1">
      <alignment horizontal="right" vertical="center" wrapText="1"/>
    </xf>
    <xf numFmtId="1" fontId="23" fillId="10" borderId="1" xfId="0" applyNumberFormat="1" applyFont="1" applyFill="1" applyBorder="1" applyAlignment="1">
      <alignment horizontal="center" vertical="center" wrapText="1"/>
    </xf>
    <xf numFmtId="49" fontId="23" fillId="10" borderId="1" xfId="0" applyNumberFormat="1" applyFont="1" applyFill="1" applyBorder="1" applyAlignment="1">
      <alignment horizontal="left" vertical="center" wrapText="1"/>
    </xf>
    <xf numFmtId="0" fontId="23" fillId="10" borderId="1" xfId="0" applyFont="1" applyFill="1" applyBorder="1" applyAlignment="1">
      <alignment horizontal="left" vertical="center" wrapText="1"/>
    </xf>
    <xf numFmtId="2" fontId="23" fillId="10" borderId="1" xfId="0" applyNumberFormat="1" applyFont="1" applyFill="1" applyBorder="1" applyAlignment="1">
      <alignment vertical="center" wrapText="1"/>
    </xf>
    <xf numFmtId="164" fontId="23" fillId="10" borderId="1" xfId="1" applyNumberFormat="1" applyFont="1" applyFill="1" applyBorder="1" applyAlignment="1">
      <alignment vertical="center" wrapText="1"/>
    </xf>
    <xf numFmtId="2" fontId="23" fillId="10" borderId="1" xfId="0" applyNumberFormat="1" applyFont="1" applyFill="1" applyBorder="1" applyAlignment="1">
      <alignment horizontal="right" vertical="center" wrapText="1"/>
    </xf>
    <xf numFmtId="164" fontId="23" fillId="10" borderId="15" xfId="1" applyNumberFormat="1" applyFont="1" applyFill="1" applyBorder="1" applyAlignment="1">
      <alignment horizontal="right" vertical="center" wrapText="1"/>
    </xf>
    <xf numFmtId="0" fontId="20" fillId="10" borderId="1" xfId="0" applyFont="1" applyFill="1" applyBorder="1"/>
    <xf numFmtId="0" fontId="20" fillId="10" borderId="1" xfId="0" applyFont="1" applyFill="1" applyBorder="1" applyAlignment="1">
      <alignment horizontal="left"/>
    </xf>
    <xf numFmtId="0" fontId="20" fillId="10" borderId="15" xfId="0" applyFont="1" applyFill="1" applyBorder="1"/>
    <xf numFmtId="49" fontId="23" fillId="10" borderId="17" xfId="0" applyNumberFormat="1" applyFont="1" applyFill="1" applyBorder="1" applyAlignment="1">
      <alignment vertical="center" wrapText="1"/>
    </xf>
    <xf numFmtId="2" fontId="20" fillId="10" borderId="20" xfId="0" applyNumberFormat="1" applyFont="1" applyFill="1" applyBorder="1"/>
    <xf numFmtId="2" fontId="23" fillId="10" borderId="20" xfId="1" applyNumberFormat="1" applyFont="1" applyFill="1" applyBorder="1" applyAlignment="1">
      <alignment horizontal="right" vertical="center" wrapText="1"/>
    </xf>
    <xf numFmtId="0" fontId="31" fillId="10" borderId="23" xfId="0" applyFont="1" applyFill="1" applyBorder="1" applyAlignment="1">
      <alignment wrapText="1"/>
    </xf>
    <xf numFmtId="49" fontId="23" fillId="10" borderId="6" xfId="0" applyNumberFormat="1" applyFont="1" applyFill="1" applyBorder="1" applyAlignment="1">
      <alignment vertical="center" wrapText="1"/>
    </xf>
    <xf numFmtId="0" fontId="16" fillId="10" borderId="22" xfId="0" applyFont="1" applyFill="1" applyBorder="1" applyAlignment="1">
      <alignment wrapText="1"/>
    </xf>
    <xf numFmtId="49" fontId="23" fillId="10" borderId="20" xfId="0" applyNumberFormat="1" applyFont="1" applyFill="1" applyBorder="1" applyAlignment="1">
      <alignment vertical="center" wrapText="1"/>
    </xf>
    <xf numFmtId="0" fontId="16" fillId="10" borderId="23" xfId="0" applyFont="1" applyFill="1" applyBorder="1" applyAlignment="1">
      <alignment wrapText="1"/>
    </xf>
    <xf numFmtId="0" fontId="20" fillId="0" borderId="4" xfId="0" applyFont="1" applyBorder="1"/>
    <xf numFmtId="49" fontId="23" fillId="10" borderId="6" xfId="0" applyNumberFormat="1" applyFont="1" applyFill="1" applyBorder="1" applyAlignment="1">
      <alignment horizontal="left" vertical="center" wrapText="1"/>
    </xf>
    <xf numFmtId="0" fontId="27" fillId="10" borderId="1" xfId="0" applyFont="1" applyFill="1" applyBorder="1" applyAlignment="1">
      <alignment horizontal="left" vertical="center" wrapText="1"/>
    </xf>
    <xf numFmtId="164" fontId="32" fillId="10" borderId="1" xfId="1" applyNumberFormat="1" applyFont="1" applyFill="1" applyBorder="1" applyAlignment="1">
      <alignment vertical="center" wrapText="1"/>
    </xf>
    <xf numFmtId="0" fontId="31" fillId="10" borderId="22" xfId="0" applyFont="1" applyFill="1" applyBorder="1" applyAlignment="1">
      <alignment wrapText="1"/>
    </xf>
    <xf numFmtId="49" fontId="23" fillId="10" borderId="15" xfId="0" applyNumberFormat="1" applyFont="1" applyFill="1" applyBorder="1" applyAlignment="1">
      <alignment vertical="center" wrapText="1"/>
    </xf>
    <xf numFmtId="0" fontId="16" fillId="10" borderId="17" xfId="0" applyFont="1" applyFill="1" applyBorder="1" applyAlignment="1">
      <alignment wrapText="1"/>
    </xf>
    <xf numFmtId="164" fontId="23" fillId="10" borderId="24" xfId="1" applyNumberFormat="1" applyFont="1" applyFill="1" applyBorder="1" applyAlignment="1">
      <alignment vertical="center" wrapText="1"/>
    </xf>
    <xf numFmtId="2" fontId="23" fillId="10" borderId="17" xfId="0" applyNumberFormat="1" applyFont="1" applyFill="1" applyBorder="1" applyAlignment="1">
      <alignment vertical="center" wrapText="1"/>
    </xf>
    <xf numFmtId="164" fontId="23" fillId="10" borderId="20" xfId="1" applyNumberFormat="1" applyFont="1" applyFill="1" applyBorder="1" applyAlignment="1">
      <alignment vertical="center" wrapText="1"/>
    </xf>
    <xf numFmtId="49" fontId="23" fillId="10" borderId="25" xfId="0" applyNumberFormat="1" applyFont="1" applyFill="1" applyBorder="1" applyAlignment="1">
      <alignment vertical="center" wrapText="1"/>
    </xf>
    <xf numFmtId="22" fontId="31" fillId="10" borderId="16" xfId="0" applyNumberFormat="1" applyFont="1" applyFill="1" applyBorder="1" applyAlignment="1">
      <alignment wrapText="1"/>
    </xf>
    <xf numFmtId="22" fontId="31" fillId="10" borderId="21" xfId="0" applyNumberFormat="1" applyFont="1" applyFill="1" applyBorder="1" applyAlignment="1">
      <alignment wrapText="1"/>
    </xf>
    <xf numFmtId="0" fontId="0" fillId="10" borderId="17" xfId="0" applyFill="1" applyBorder="1"/>
    <xf numFmtId="14" fontId="20" fillId="10" borderId="1" xfId="0" applyNumberFormat="1" applyFont="1" applyFill="1" applyBorder="1" applyAlignment="1">
      <alignment horizontal="right"/>
    </xf>
    <xf numFmtId="0" fontId="20" fillId="10" borderId="17" xfId="0" applyFont="1" applyFill="1" applyBorder="1"/>
    <xf numFmtId="0" fontId="20" fillId="10" borderId="6" xfId="0" applyFont="1" applyFill="1" applyBorder="1"/>
    <xf numFmtId="164" fontId="23" fillId="10" borderId="6" xfId="1" applyNumberFormat="1" applyFont="1" applyFill="1" applyBorder="1" applyAlignment="1">
      <alignment vertical="center" wrapText="1"/>
    </xf>
    <xf numFmtId="0" fontId="31" fillId="10" borderId="17" xfId="0" applyFont="1" applyFill="1" applyBorder="1" applyAlignment="1">
      <alignment wrapText="1"/>
    </xf>
    <xf numFmtId="2" fontId="23" fillId="10" borderId="20" xfId="0" applyNumberFormat="1" applyFont="1" applyFill="1" applyBorder="1" applyAlignment="1">
      <alignment vertical="center" wrapText="1"/>
    </xf>
    <xf numFmtId="0" fontId="20" fillId="10" borderId="1" xfId="0" applyFont="1" applyFill="1" applyBorder="1" applyAlignment="1">
      <alignment vertical="center"/>
    </xf>
    <xf numFmtId="0" fontId="31" fillId="10" borderId="21" xfId="0" applyFont="1" applyFill="1" applyBorder="1" applyAlignment="1">
      <alignment wrapText="1"/>
    </xf>
    <xf numFmtId="49" fontId="23" fillId="10" borderId="4" xfId="0" applyNumberFormat="1" applyFont="1" applyFill="1" applyBorder="1" applyAlignment="1">
      <alignment vertical="center" wrapText="1"/>
    </xf>
    <xf numFmtId="0" fontId="16" fillId="10" borderId="21" xfId="0" applyFont="1" applyFill="1" applyBorder="1" applyAlignment="1">
      <alignment wrapText="1"/>
    </xf>
    <xf numFmtId="2" fontId="20" fillId="10" borderId="1" xfId="0" applyNumberFormat="1" applyFont="1" applyFill="1" applyBorder="1"/>
    <xf numFmtId="22" fontId="31" fillId="10" borderId="22" xfId="0" applyNumberFormat="1" applyFont="1" applyFill="1" applyBorder="1" applyAlignment="1">
      <alignment wrapText="1"/>
    </xf>
    <xf numFmtId="0" fontId="20" fillId="10" borderId="4" xfId="0" applyFont="1" applyFill="1" applyBorder="1"/>
    <xf numFmtId="0" fontId="16" fillId="10" borderId="27" xfId="0" applyFont="1" applyFill="1" applyBorder="1" applyAlignment="1">
      <alignment wrapText="1"/>
    </xf>
    <xf numFmtId="0" fontId="16" fillId="10" borderId="18" xfId="0" applyFont="1" applyFill="1" applyBorder="1" applyAlignment="1">
      <alignment wrapText="1"/>
    </xf>
    <xf numFmtId="0" fontId="16" fillId="10" borderId="19" xfId="0" applyFont="1" applyFill="1" applyBorder="1" applyAlignment="1">
      <alignment wrapText="1"/>
    </xf>
    <xf numFmtId="2" fontId="20" fillId="10" borderId="26" xfId="0" applyNumberFormat="1" applyFont="1" applyFill="1" applyBorder="1"/>
    <xf numFmtId="14" fontId="23" fillId="10" borderId="1" xfId="0" applyNumberFormat="1" applyFont="1" applyFill="1" applyBorder="1" applyAlignment="1">
      <alignment horizontal="right" vertical="center" wrapText="1"/>
    </xf>
    <xf numFmtId="22" fontId="31" fillId="10" borderId="17" xfId="0" applyNumberFormat="1" applyFont="1" applyFill="1" applyBorder="1" applyAlignment="1">
      <alignment wrapText="1"/>
    </xf>
    <xf numFmtId="0" fontId="20" fillId="10" borderId="25" xfId="0" applyFont="1" applyFill="1" applyBorder="1"/>
    <xf numFmtId="0" fontId="20" fillId="10" borderId="20" xfId="0" applyFont="1" applyFill="1" applyBorder="1"/>
    <xf numFmtId="2" fontId="23" fillId="10" borderId="1" xfId="1" applyNumberFormat="1" applyFont="1" applyFill="1" applyBorder="1" applyAlignment="1">
      <alignment horizontal="right" vertical="center" wrapText="1"/>
    </xf>
    <xf numFmtId="0" fontId="23" fillId="10" borderId="6" xfId="0" applyFont="1" applyFill="1" applyBorder="1" applyAlignment="1">
      <alignment horizontal="left" vertical="center" wrapText="1"/>
    </xf>
    <xf numFmtId="0" fontId="20" fillId="2" borderId="1" xfId="0" applyFont="1" applyFill="1" applyBorder="1" applyAlignment="1">
      <alignment vertical="center" wrapText="1"/>
    </xf>
    <xf numFmtId="164" fontId="26" fillId="0" borderId="17" xfId="0" applyNumberFormat="1" applyFont="1" applyBorder="1" applyAlignment="1">
      <alignment vertical="center" wrapText="1"/>
    </xf>
    <xf numFmtId="0" fontId="32" fillId="10" borderId="1" xfId="0" applyFont="1" applyFill="1" applyBorder="1" applyAlignment="1">
      <alignment vertical="center" wrapText="1"/>
    </xf>
    <xf numFmtId="49" fontId="32" fillId="10" borderId="1" xfId="0" applyNumberFormat="1" applyFont="1" applyFill="1" applyBorder="1" applyAlignment="1">
      <alignment horizontal="right" vertical="center" wrapText="1"/>
    </xf>
    <xf numFmtId="49" fontId="32" fillId="10" borderId="1" xfId="0" applyNumberFormat="1" applyFont="1" applyFill="1" applyBorder="1" applyAlignment="1">
      <alignment vertical="center" wrapText="1"/>
    </xf>
    <xf numFmtId="1" fontId="32" fillId="10" borderId="1" xfId="0" applyNumberFormat="1" applyFont="1" applyFill="1" applyBorder="1" applyAlignment="1">
      <alignment horizontal="center" vertical="center" wrapText="1"/>
    </xf>
    <xf numFmtId="49" fontId="32" fillId="10" borderId="1" xfId="0" applyNumberFormat="1" applyFont="1" applyFill="1" applyBorder="1" applyAlignment="1">
      <alignment horizontal="left" vertical="center" wrapText="1"/>
    </xf>
    <xf numFmtId="0" fontId="32" fillId="10" borderId="1" xfId="0" applyFont="1" applyFill="1" applyBorder="1" applyAlignment="1">
      <alignment horizontal="left"/>
    </xf>
    <xf numFmtId="0" fontId="32" fillId="10" borderId="15" xfId="0" applyFont="1" applyFill="1" applyBorder="1"/>
    <xf numFmtId="49" fontId="32" fillId="10" borderId="20" xfId="0" applyNumberFormat="1" applyFont="1" applyFill="1" applyBorder="1" applyAlignment="1">
      <alignment vertical="center" wrapText="1"/>
    </xf>
    <xf numFmtId="0" fontId="33" fillId="10" borderId="23" xfId="0" applyFont="1" applyFill="1" applyBorder="1" applyAlignment="1">
      <alignment wrapText="1"/>
    </xf>
    <xf numFmtId="2" fontId="32" fillId="10" borderId="1" xfId="0" applyNumberFormat="1" applyFont="1" applyFill="1" applyBorder="1" applyAlignment="1">
      <alignment horizontal="right" vertical="center" wrapText="1"/>
    </xf>
    <xf numFmtId="164" fontId="32" fillId="10" borderId="15" xfId="1" applyNumberFormat="1" applyFont="1" applyFill="1" applyBorder="1" applyAlignment="1">
      <alignment horizontal="right" vertical="center" wrapText="1"/>
    </xf>
    <xf numFmtId="0" fontId="32" fillId="10" borderId="1" xfId="0" applyFont="1" applyFill="1" applyBorder="1"/>
    <xf numFmtId="14" fontId="32" fillId="10" borderId="1" xfId="0" applyNumberFormat="1" applyFont="1" applyFill="1" applyBorder="1" applyAlignment="1">
      <alignment horizontal="right"/>
    </xf>
    <xf numFmtId="14" fontId="24" fillId="10" borderId="1" xfId="0" applyNumberFormat="1" applyFont="1" applyFill="1" applyBorder="1" applyAlignment="1">
      <alignment horizontal="right"/>
    </xf>
    <xf numFmtId="1" fontId="24" fillId="10" borderId="1" xfId="0" applyNumberFormat="1" applyFont="1" applyFill="1" applyBorder="1" applyAlignment="1">
      <alignment horizontal="center" vertical="center" wrapText="1"/>
    </xf>
    <xf numFmtId="0" fontId="24" fillId="10" borderId="1" xfId="0" applyFont="1" applyFill="1" applyBorder="1"/>
    <xf numFmtId="22" fontId="20" fillId="10" borderId="1" xfId="0" applyNumberFormat="1" applyFont="1" applyFill="1" applyBorder="1" applyAlignment="1">
      <alignment horizontal="right"/>
    </xf>
    <xf numFmtId="22" fontId="20" fillId="10" borderId="4" xfId="0" applyNumberFormat="1" applyFont="1" applyFill="1" applyBorder="1" applyAlignment="1">
      <alignment horizontal="right"/>
    </xf>
    <xf numFmtId="0" fontId="32" fillId="10" borderId="19" xfId="0" applyFont="1" applyFill="1" applyBorder="1" applyAlignment="1">
      <alignment wrapText="1"/>
    </xf>
    <xf numFmtId="0" fontId="23" fillId="10" borderId="17" xfId="0" applyFont="1" applyFill="1" applyBorder="1" applyAlignment="1">
      <alignment wrapText="1"/>
    </xf>
    <xf numFmtId="0" fontId="23" fillId="10" borderId="18" xfId="0" applyFont="1" applyFill="1" applyBorder="1" applyAlignment="1">
      <alignment wrapText="1"/>
    </xf>
    <xf numFmtId="22" fontId="23" fillId="10" borderId="17" xfId="0" applyNumberFormat="1" applyFont="1" applyFill="1" applyBorder="1" applyAlignment="1">
      <alignment wrapText="1"/>
    </xf>
    <xf numFmtId="49" fontId="23" fillId="10" borderId="17" xfId="0" applyNumberFormat="1" applyFont="1" applyFill="1" applyBorder="1" applyAlignment="1">
      <alignment horizontal="right" vertical="center" wrapText="1"/>
    </xf>
    <xf numFmtId="49" fontId="23" fillId="10" borderId="6" xfId="0" applyNumberFormat="1" applyFont="1" applyFill="1" applyBorder="1" applyAlignment="1">
      <alignment horizontal="right" vertical="center" wrapText="1"/>
    </xf>
    <xf numFmtId="22" fontId="20" fillId="10" borderId="1" xfId="0" applyNumberFormat="1" applyFont="1" applyFill="1" applyBorder="1"/>
    <xf numFmtId="22" fontId="20" fillId="0" borderId="4" xfId="0" applyNumberFormat="1" applyFont="1" applyBorder="1" applyAlignment="1">
      <alignment horizontal="right"/>
    </xf>
    <xf numFmtId="22" fontId="20" fillId="10" borderId="17" xfId="0" applyNumberFormat="1" applyFont="1" applyFill="1" applyBorder="1" applyAlignment="1">
      <alignment horizontal="right"/>
    </xf>
    <xf numFmtId="22" fontId="20" fillId="0" borderId="4" xfId="0" applyNumberFormat="1" applyFont="1" applyBorder="1"/>
    <xf numFmtId="22" fontId="20" fillId="0" borderId="6" xfId="0" applyNumberFormat="1" applyFont="1" applyBorder="1" applyAlignment="1">
      <alignment horizontal="right"/>
    </xf>
    <xf numFmtId="0" fontId="20" fillId="10" borderId="1" xfId="0" applyFont="1" applyFill="1" applyBorder="1" applyAlignment="1">
      <alignment horizontal="right"/>
    </xf>
    <xf numFmtId="0" fontId="32" fillId="10" borderId="1" xfId="0" applyFont="1" applyFill="1" applyBorder="1" applyAlignment="1">
      <alignment horizontal="right"/>
    </xf>
    <xf numFmtId="49" fontId="23" fillId="0" borderId="1" xfId="0" applyNumberFormat="1" applyFont="1" applyBorder="1" applyAlignment="1">
      <alignment horizontal="right" vertical="center" wrapText="1"/>
    </xf>
    <xf numFmtId="49" fontId="23" fillId="0" borderId="1" xfId="0" applyNumberFormat="1" applyFont="1" applyBorder="1" applyAlignment="1">
      <alignment vertical="center" wrapText="1"/>
    </xf>
    <xf numFmtId="14" fontId="27" fillId="0" borderId="1" xfId="0" applyNumberFormat="1" applyFont="1" applyBorder="1" applyAlignment="1">
      <alignment horizontal="right" vertical="center" wrapText="1"/>
    </xf>
    <xf numFmtId="49" fontId="23" fillId="0" borderId="1" xfId="0" applyNumberFormat="1" applyFont="1" applyBorder="1" applyAlignment="1">
      <alignment horizontal="left" vertical="center" wrapText="1"/>
    </xf>
    <xf numFmtId="0" fontId="27" fillId="0" borderId="1" xfId="0" applyFont="1" applyBorder="1" applyAlignment="1">
      <alignment horizontal="left" vertical="center" wrapText="1"/>
    </xf>
    <xf numFmtId="0" fontId="32" fillId="0" borderId="1" xfId="0" applyFont="1" applyBorder="1" applyAlignment="1">
      <alignment vertical="center" wrapText="1"/>
    </xf>
    <xf numFmtId="49" fontId="32" fillId="0" borderId="1" xfId="0" applyNumberFormat="1" applyFont="1" applyBorder="1" applyAlignment="1">
      <alignment horizontal="right" vertical="center" wrapText="1"/>
    </xf>
    <xf numFmtId="49" fontId="32" fillId="0" borderId="1" xfId="0" applyNumberFormat="1" applyFont="1" applyBorder="1" applyAlignment="1">
      <alignment vertical="center" wrapText="1"/>
    </xf>
    <xf numFmtId="1" fontId="32" fillId="0" borderId="1" xfId="0" applyNumberFormat="1" applyFont="1" applyBorder="1" applyAlignment="1">
      <alignment horizontal="center" vertical="center" wrapText="1"/>
    </xf>
    <xf numFmtId="49" fontId="32" fillId="0" borderId="1" xfId="0" applyNumberFormat="1" applyFont="1" applyBorder="1" applyAlignment="1">
      <alignment horizontal="left" vertical="center" wrapText="1"/>
    </xf>
    <xf numFmtId="0" fontId="32" fillId="0" borderId="1" xfId="0" applyFont="1" applyBorder="1" applyAlignment="1">
      <alignment horizontal="left"/>
    </xf>
    <xf numFmtId="14" fontId="23" fillId="0" borderId="1" xfId="0" applyNumberFormat="1" applyFont="1" applyBorder="1" applyAlignment="1">
      <alignment horizontal="right" vertical="center" wrapText="1"/>
    </xf>
    <xf numFmtId="164" fontId="23" fillId="0" borderId="15" xfId="1" applyNumberFormat="1" applyFont="1" applyFill="1" applyBorder="1" applyAlignment="1">
      <alignment horizontal="right" vertical="center" wrapText="1"/>
    </xf>
    <xf numFmtId="0" fontId="31" fillId="0" borderId="17" xfId="0" applyFont="1" applyBorder="1" applyAlignment="1">
      <alignment wrapText="1"/>
    </xf>
    <xf numFmtId="0" fontId="16" fillId="0" borderId="17" xfId="0" applyFont="1" applyBorder="1" applyAlignment="1">
      <alignment wrapText="1"/>
    </xf>
    <xf numFmtId="164" fontId="32" fillId="0" borderId="15" xfId="1" applyNumberFormat="1" applyFont="1" applyFill="1" applyBorder="1" applyAlignment="1">
      <alignment horizontal="right" vertical="center" wrapText="1"/>
    </xf>
    <xf numFmtId="2" fontId="23" fillId="0" borderId="17" xfId="0" applyNumberFormat="1" applyFont="1" applyBorder="1" applyAlignment="1">
      <alignment vertical="center" wrapText="1"/>
    </xf>
    <xf numFmtId="164" fontId="23" fillId="0" borderId="20" xfId="1" applyNumberFormat="1" applyFont="1" applyFill="1" applyBorder="1" applyAlignment="1">
      <alignment vertical="center" wrapText="1"/>
    </xf>
    <xf numFmtId="49" fontId="23" fillId="0" borderId="17" xfId="0" applyNumberFormat="1" applyFont="1" applyBorder="1" applyAlignment="1">
      <alignment vertical="center" wrapText="1"/>
    </xf>
    <xf numFmtId="22" fontId="31" fillId="0" borderId="17" xfId="0" applyNumberFormat="1" applyFont="1" applyBorder="1" applyAlignment="1">
      <alignment wrapText="1"/>
    </xf>
    <xf numFmtId="22" fontId="23" fillId="0" borderId="17" xfId="0" applyNumberFormat="1" applyFont="1" applyBorder="1" applyAlignment="1">
      <alignment wrapText="1"/>
    </xf>
    <xf numFmtId="0" fontId="0" fillId="0" borderId="17" xfId="0" applyBorder="1"/>
    <xf numFmtId="49" fontId="23" fillId="0" borderId="17" xfId="0" applyNumberFormat="1" applyFont="1" applyBorder="1" applyAlignment="1">
      <alignment horizontal="right" vertical="center" wrapText="1"/>
    </xf>
    <xf numFmtId="22" fontId="20" fillId="0" borderId="17" xfId="0" applyNumberFormat="1" applyFont="1" applyBorder="1" applyAlignment="1">
      <alignment horizontal="right"/>
    </xf>
    <xf numFmtId="0" fontId="20" fillId="0" borderId="6" xfId="0" applyFont="1" applyBorder="1"/>
    <xf numFmtId="0" fontId="27" fillId="10" borderId="4" xfId="0" applyFont="1" applyFill="1" applyBorder="1" applyAlignment="1">
      <alignment horizontal="center" vertical="center" wrapText="1"/>
    </xf>
    <xf numFmtId="14" fontId="27" fillId="10" borderId="4" xfId="0" applyNumberFormat="1" applyFont="1" applyFill="1" applyBorder="1" applyAlignment="1">
      <alignment horizontal="center" vertical="center" wrapText="1"/>
    </xf>
    <xf numFmtId="20" fontId="27" fillId="10" borderId="4" xfId="0" applyNumberFormat="1" applyFont="1" applyFill="1" applyBorder="1" applyAlignment="1">
      <alignment horizontal="center" vertical="center" wrapText="1"/>
    </xf>
    <xf numFmtId="0" fontId="6" fillId="10" borderId="4" xfId="0" applyFont="1" applyFill="1" applyBorder="1" applyAlignment="1">
      <alignment horizontal="center" vertical="center" wrapText="1"/>
    </xf>
    <xf numFmtId="0" fontId="27" fillId="10" borderId="3" xfId="0" applyFont="1" applyFill="1" applyBorder="1" applyAlignment="1">
      <alignment horizontal="center" vertical="center" wrapText="1"/>
    </xf>
    <xf numFmtId="22" fontId="27" fillId="10" borderId="3" xfId="0" applyNumberFormat="1" applyFont="1" applyFill="1" applyBorder="1" applyAlignment="1">
      <alignment horizontal="center" vertical="center" wrapText="1"/>
    </xf>
    <xf numFmtId="22" fontId="27" fillId="10" borderId="4" xfId="0" applyNumberFormat="1" applyFont="1" applyFill="1" applyBorder="1" applyAlignment="1">
      <alignment horizontal="center" vertical="center" wrapText="1"/>
    </xf>
    <xf numFmtId="0" fontId="28" fillId="10" borderId="1" xfId="0" applyFont="1" applyFill="1" applyBorder="1" applyAlignment="1">
      <alignment vertical="center"/>
    </xf>
    <xf numFmtId="0" fontId="28" fillId="10" borderId="1" xfId="0" applyFont="1" applyFill="1" applyBorder="1" applyAlignment="1">
      <alignment horizontal="center" vertical="center"/>
    </xf>
    <xf numFmtId="0" fontId="20" fillId="0" borderId="17" xfId="0" applyFont="1" applyBorder="1" applyAlignment="1">
      <alignment horizontal="right"/>
    </xf>
    <xf numFmtId="0" fontId="27" fillId="0" borderId="6" xfId="0" applyFont="1" applyBorder="1" applyAlignment="1">
      <alignment horizontal="left" vertical="center" wrapText="1"/>
    </xf>
    <xf numFmtId="49" fontId="23" fillId="7" borderId="17" xfId="0" applyNumberFormat="1" applyFont="1" applyFill="1" applyBorder="1" applyAlignment="1">
      <alignment horizontal="left" vertical="center" wrapText="1"/>
    </xf>
    <xf numFmtId="0" fontId="23" fillId="0" borderId="17" xfId="0" applyFont="1" applyBorder="1" applyAlignment="1">
      <alignment horizontal="left" vertical="center" wrapText="1"/>
    </xf>
    <xf numFmtId="14" fontId="23" fillId="0" borderId="17" xfId="0" applyNumberFormat="1" applyFont="1" applyBorder="1" applyAlignment="1">
      <alignment horizontal="right" vertical="center" wrapText="1"/>
    </xf>
    <xf numFmtId="49" fontId="23" fillId="0" borderId="17" xfId="0" applyNumberFormat="1" applyFont="1" applyBorder="1" applyAlignment="1">
      <alignment horizontal="left" vertical="center" wrapText="1"/>
    </xf>
    <xf numFmtId="164" fontId="23" fillId="0" borderId="17" xfId="1" applyNumberFormat="1" applyFont="1" applyFill="1" applyBorder="1" applyAlignment="1">
      <alignment vertical="center" wrapText="1"/>
    </xf>
    <xf numFmtId="0" fontId="32" fillId="0" borderId="17" xfId="0" applyFont="1" applyBorder="1"/>
    <xf numFmtId="49" fontId="32" fillId="0" borderId="17" xfId="0" applyNumberFormat="1" applyFont="1" applyBorder="1" applyAlignment="1">
      <alignment vertical="center" wrapText="1"/>
    </xf>
    <xf numFmtId="0" fontId="33" fillId="0" borderId="17" xfId="0" applyFont="1" applyBorder="1" applyAlignment="1">
      <alignment wrapText="1"/>
    </xf>
    <xf numFmtId="164" fontId="32" fillId="0" borderId="17" xfId="1" applyNumberFormat="1" applyFont="1" applyFill="1" applyBorder="1" applyAlignment="1">
      <alignment vertical="center" wrapText="1"/>
    </xf>
    <xf numFmtId="2" fontId="20" fillId="0" borderId="17" xfId="0" applyNumberFormat="1" applyFont="1" applyBorder="1"/>
    <xf numFmtId="0" fontId="16" fillId="7" borderId="17" xfId="0" applyFont="1" applyFill="1" applyBorder="1" applyAlignment="1">
      <alignment wrapText="1"/>
    </xf>
    <xf numFmtId="0" fontId="31" fillId="7" borderId="17" xfId="0" applyFont="1" applyFill="1" applyBorder="1" applyAlignment="1">
      <alignment wrapText="1"/>
    </xf>
    <xf numFmtId="49" fontId="23" fillId="7" borderId="17" xfId="0" applyNumberFormat="1" applyFont="1" applyFill="1" applyBorder="1" applyAlignment="1">
      <alignment vertical="center" wrapText="1"/>
    </xf>
    <xf numFmtId="2" fontId="23" fillId="7" borderId="17" xfId="0" applyNumberFormat="1" applyFont="1" applyFill="1" applyBorder="1" applyAlignment="1">
      <alignment vertical="center" wrapText="1"/>
    </xf>
    <xf numFmtId="2" fontId="23" fillId="0" borderId="17" xfId="1" applyNumberFormat="1" applyFont="1" applyFill="1" applyBorder="1" applyAlignment="1">
      <alignment horizontal="right" vertical="center" wrapText="1"/>
    </xf>
    <xf numFmtId="0" fontId="20" fillId="0" borderId="17" xfId="0" applyFont="1" applyBorder="1" applyAlignment="1">
      <alignment vertical="center"/>
    </xf>
    <xf numFmtId="22" fontId="20" fillId="0" borderId="17" xfId="0" applyNumberFormat="1" applyFont="1" applyBorder="1"/>
    <xf numFmtId="0" fontId="24" fillId="0" borderId="17" xfId="0" applyFont="1" applyBorder="1"/>
    <xf numFmtId="0" fontId="20" fillId="0" borderId="17" xfId="0" applyFont="1" applyBorder="1" applyAlignment="1">
      <alignment horizontal="left"/>
    </xf>
    <xf numFmtId="49" fontId="23" fillId="7" borderId="17" xfId="0" applyNumberFormat="1" applyFont="1" applyFill="1" applyBorder="1" applyAlignment="1">
      <alignment horizontal="right" vertical="center" wrapText="1"/>
    </xf>
    <xf numFmtId="0" fontId="20" fillId="6" borderId="17" xfId="0" applyFont="1" applyFill="1" applyBorder="1"/>
    <xf numFmtId="49" fontId="23" fillId="0" borderId="15" xfId="0" applyNumberFormat="1" applyFont="1" applyBorder="1" applyAlignment="1">
      <alignment horizontal="right" vertical="center" wrapText="1"/>
    </xf>
    <xf numFmtId="0" fontId="20" fillId="0" borderId="15" xfId="0" applyFont="1" applyBorder="1" applyAlignment="1">
      <alignment horizontal="right"/>
    </xf>
    <xf numFmtId="49" fontId="32" fillId="0" borderId="15" xfId="0" applyNumberFormat="1" applyFont="1" applyBorder="1" applyAlignment="1">
      <alignment horizontal="right" vertical="center" wrapText="1"/>
    </xf>
    <xf numFmtId="49" fontId="23" fillId="7" borderId="15" xfId="0" applyNumberFormat="1" applyFont="1" applyFill="1" applyBorder="1" applyAlignment="1">
      <alignment horizontal="right" vertical="center" wrapText="1"/>
    </xf>
    <xf numFmtId="0" fontId="20" fillId="2" borderId="4" xfId="0" applyFont="1" applyFill="1" applyBorder="1" applyAlignment="1">
      <alignment horizontal="right" vertical="center"/>
    </xf>
    <xf numFmtId="0" fontId="21" fillId="2" borderId="4" xfId="0" applyFont="1" applyFill="1" applyBorder="1" applyAlignment="1">
      <alignment horizontal="right" vertical="center" wrapText="1"/>
    </xf>
    <xf numFmtId="2" fontId="20" fillId="2" borderId="4" xfId="0" applyNumberFormat="1" applyFont="1" applyFill="1" applyBorder="1" applyAlignment="1">
      <alignment horizontal="center" vertical="center" wrapText="1"/>
    </xf>
    <xf numFmtId="0" fontId="20" fillId="0" borderId="6" xfId="0" applyFont="1" applyBorder="1" applyAlignment="1">
      <alignment horizontal="right"/>
    </xf>
    <xf numFmtId="2" fontId="20" fillId="0" borderId="6" xfId="0" applyNumberFormat="1" applyFont="1" applyBorder="1"/>
    <xf numFmtId="0" fontId="32" fillId="0" borderId="17" xfId="0" applyFont="1" applyBorder="1" applyAlignment="1">
      <alignment horizontal="right" wrapText="1"/>
    </xf>
    <xf numFmtId="0" fontId="31" fillId="0" borderId="17" xfId="0" applyFont="1" applyBorder="1" applyAlignment="1">
      <alignment horizontal="right" wrapText="1"/>
    </xf>
    <xf numFmtId="0" fontId="27" fillId="0" borderId="6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22" fontId="27" fillId="0" borderId="6" xfId="0" applyNumberFormat="1" applyFont="1" applyBorder="1" applyAlignment="1">
      <alignment horizontal="center" vertical="center" wrapText="1"/>
    </xf>
    <xf numFmtId="22" fontId="27" fillId="0" borderId="1" xfId="0" applyNumberFormat="1" applyFont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 wrapText="1"/>
    </xf>
    <xf numFmtId="14" fontId="27" fillId="0" borderId="4" xfId="0" applyNumberFormat="1" applyFont="1" applyBorder="1" applyAlignment="1">
      <alignment horizontal="center" vertical="center" wrapText="1"/>
    </xf>
    <xf numFmtId="20" fontId="27" fillId="0" borderId="4" xfId="0" applyNumberFormat="1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27" fillId="0" borderId="3" xfId="0" applyFont="1" applyBorder="1" applyAlignment="1">
      <alignment horizontal="center" vertical="center" wrapText="1"/>
    </xf>
    <xf numFmtId="22" fontId="27" fillId="0" borderId="3" xfId="0" applyNumberFormat="1" applyFont="1" applyBorder="1" applyAlignment="1">
      <alignment horizontal="center" vertical="center" wrapText="1"/>
    </xf>
    <xf numFmtId="22" fontId="27" fillId="0" borderId="4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7" fillId="0" borderId="0" xfId="0" applyFont="1" applyAlignment="1">
      <alignment vertical="center" wrapText="1"/>
    </xf>
    <xf numFmtId="22" fontId="31" fillId="7" borderId="17" xfId="0" applyNumberFormat="1" applyFont="1" applyFill="1" applyBorder="1" applyAlignment="1">
      <alignment wrapText="1"/>
    </xf>
    <xf numFmtId="164" fontId="24" fillId="0" borderId="17" xfId="0" applyNumberFormat="1" applyFont="1" applyBorder="1"/>
    <xf numFmtId="164" fontId="34" fillId="0" borderId="20" xfId="1" applyNumberFormat="1" applyFont="1" applyFill="1" applyBorder="1" applyAlignment="1">
      <alignment vertical="center" wrapText="1"/>
    </xf>
    <xf numFmtId="164" fontId="35" fillId="0" borderId="17" xfId="0" applyNumberFormat="1" applyFont="1" applyBorder="1"/>
    <xf numFmtId="0" fontId="23" fillId="0" borderId="28" xfId="0" applyFont="1" applyBorder="1" applyAlignment="1">
      <alignment horizontal="left" vertical="center" wrapText="1"/>
    </xf>
    <xf numFmtId="0" fontId="20" fillId="0" borderId="28" xfId="0" applyFont="1" applyBorder="1"/>
    <xf numFmtId="49" fontId="23" fillId="0" borderId="29" xfId="0" applyNumberFormat="1" applyFont="1" applyBorder="1" applyAlignment="1">
      <alignment horizontal="right" vertical="center" wrapText="1"/>
    </xf>
    <xf numFmtId="0" fontId="31" fillId="7" borderId="29" xfId="0" applyFont="1" applyFill="1" applyBorder="1" applyAlignment="1">
      <alignment wrapText="1"/>
    </xf>
    <xf numFmtId="0" fontId="23" fillId="0" borderId="18" xfId="0" applyFont="1" applyBorder="1" applyAlignment="1">
      <alignment horizontal="left" vertical="center" wrapText="1"/>
    </xf>
    <xf numFmtId="0" fontId="23" fillId="0" borderId="19" xfId="0" applyFont="1" applyBorder="1" applyAlignment="1">
      <alignment horizontal="left" vertical="center" wrapText="1"/>
    </xf>
    <xf numFmtId="0" fontId="20" fillId="0" borderId="19" xfId="0" applyFont="1" applyBorder="1"/>
    <xf numFmtId="0" fontId="23" fillId="0" borderId="1" xfId="0" applyFont="1" applyBorder="1" applyAlignment="1">
      <alignment horizontal="left" vertical="center" wrapText="1"/>
    </xf>
    <xf numFmtId="164" fontId="18" fillId="0" borderId="0" xfId="0" applyNumberFormat="1" applyFont="1"/>
    <xf numFmtId="164" fontId="23" fillId="0" borderId="17" xfId="1" applyNumberFormat="1" applyFont="1" applyBorder="1" applyAlignment="1">
      <alignment vertical="center" wrapText="1"/>
    </xf>
    <xf numFmtId="0" fontId="20" fillId="0" borderId="1" xfId="0" applyFont="1" applyBorder="1" applyAlignment="1">
      <alignment horizontal="left" vertical="center"/>
    </xf>
    <xf numFmtId="22" fontId="31" fillId="0" borderId="17" xfId="0" applyNumberFormat="1" applyFont="1" applyBorder="1" applyAlignment="1">
      <alignment vertical="center" wrapText="1"/>
    </xf>
    <xf numFmtId="0" fontId="16" fillId="0" borderId="17" xfId="0" applyFont="1" applyBorder="1" applyAlignment="1">
      <alignment vertical="center" wrapText="1"/>
    </xf>
    <xf numFmtId="2" fontId="20" fillId="0" borderId="17" xfId="0" applyNumberFormat="1" applyFont="1" applyBorder="1" applyAlignment="1">
      <alignment vertical="center"/>
    </xf>
    <xf numFmtId="0" fontId="20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0" fontId="23" fillId="11" borderId="1" xfId="0" applyFont="1" applyFill="1" applyBorder="1" applyAlignment="1">
      <alignment vertical="center" wrapText="1"/>
    </xf>
    <xf numFmtId="49" fontId="23" fillId="11" borderId="1" xfId="0" applyNumberFormat="1" applyFont="1" applyFill="1" applyBorder="1" applyAlignment="1">
      <alignment horizontal="right" vertical="center" wrapText="1"/>
    </xf>
    <xf numFmtId="49" fontId="23" fillId="11" borderId="1" xfId="0" applyNumberFormat="1" applyFont="1" applyFill="1" applyBorder="1" applyAlignment="1">
      <alignment vertical="center" wrapText="1"/>
    </xf>
    <xf numFmtId="14" fontId="23" fillId="11" borderId="1" xfId="0" applyNumberFormat="1" applyFont="1" applyFill="1" applyBorder="1" applyAlignment="1">
      <alignment horizontal="right" vertical="center" wrapText="1"/>
    </xf>
    <xf numFmtId="49" fontId="23" fillId="11" borderId="1" xfId="0" applyNumberFormat="1" applyFont="1" applyFill="1" applyBorder="1" applyAlignment="1">
      <alignment horizontal="center" vertical="center" wrapText="1"/>
    </xf>
    <xf numFmtId="49" fontId="23" fillId="11" borderId="1" xfId="0" applyNumberFormat="1" applyFont="1" applyFill="1" applyBorder="1" applyAlignment="1">
      <alignment horizontal="left" vertical="center" wrapText="1"/>
    </xf>
    <xf numFmtId="0" fontId="20" fillId="11" borderId="1" xfId="0" applyFont="1" applyFill="1" applyBorder="1" applyAlignment="1">
      <alignment horizontal="left"/>
    </xf>
    <xf numFmtId="49" fontId="23" fillId="11" borderId="15" xfId="0" applyNumberFormat="1" applyFont="1" applyFill="1" applyBorder="1" applyAlignment="1">
      <alignment horizontal="right" vertical="center" wrapText="1"/>
    </xf>
    <xf numFmtId="0" fontId="20" fillId="11" borderId="17" xfId="0" applyFont="1" applyFill="1" applyBorder="1"/>
    <xf numFmtId="0" fontId="23" fillId="11" borderId="17" xfId="0" applyFont="1" applyFill="1" applyBorder="1" applyAlignment="1">
      <alignment horizontal="left" vertical="center" wrapText="1"/>
    </xf>
    <xf numFmtId="22" fontId="31" fillId="11" borderId="17" xfId="0" applyNumberFormat="1" applyFont="1" applyFill="1" applyBorder="1" applyAlignment="1">
      <alignment wrapText="1"/>
    </xf>
    <xf numFmtId="49" fontId="23" fillId="11" borderId="17" xfId="0" applyNumberFormat="1" applyFont="1" applyFill="1" applyBorder="1" applyAlignment="1">
      <alignment vertical="center" wrapText="1"/>
    </xf>
    <xf numFmtId="165" fontId="20" fillId="0" borderId="0" xfId="0" applyNumberFormat="1" applyFont="1"/>
    <xf numFmtId="0" fontId="20" fillId="2" borderId="4" xfId="0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 vertical="center" wrapText="1"/>
    </xf>
    <xf numFmtId="49" fontId="23" fillId="12" borderId="17" xfId="0" applyNumberFormat="1" applyFont="1" applyFill="1" applyBorder="1" applyAlignment="1">
      <alignment vertical="center" wrapText="1"/>
    </xf>
    <xf numFmtId="164" fontId="23" fillId="6" borderId="17" xfId="1" applyNumberFormat="1" applyFont="1" applyFill="1" applyBorder="1" applyAlignment="1">
      <alignment vertical="center" wrapText="1"/>
    </xf>
    <xf numFmtId="0" fontId="20" fillId="10" borderId="1" xfId="0" applyFont="1" applyFill="1" applyBorder="1" applyAlignment="1">
      <alignment horizontal="left" vertical="center"/>
    </xf>
    <xf numFmtId="49" fontId="23" fillId="10" borderId="15" xfId="0" applyNumberFormat="1" applyFont="1" applyFill="1" applyBorder="1" applyAlignment="1">
      <alignment horizontal="right" vertical="center" wrapText="1"/>
    </xf>
    <xf numFmtId="0" fontId="20" fillId="10" borderId="17" xfId="0" applyFont="1" applyFill="1" applyBorder="1" applyAlignment="1">
      <alignment vertical="center"/>
    </xf>
    <xf numFmtId="0" fontId="23" fillId="10" borderId="17" xfId="0" applyFont="1" applyFill="1" applyBorder="1" applyAlignment="1">
      <alignment horizontal="left" vertical="center" wrapText="1"/>
    </xf>
    <xf numFmtId="22" fontId="31" fillId="10" borderId="17" xfId="0" applyNumberFormat="1" applyFont="1" applyFill="1" applyBorder="1" applyAlignment="1">
      <alignment vertical="center" wrapText="1"/>
    </xf>
    <xf numFmtId="164" fontId="35" fillId="0" borderId="17" xfId="0" applyNumberFormat="1" applyFont="1" applyBorder="1" applyAlignment="1">
      <alignment horizontal="right" vertical="center"/>
    </xf>
    <xf numFmtId="0" fontId="36" fillId="0" borderId="0" xfId="0" applyFont="1"/>
    <xf numFmtId="49" fontId="20" fillId="0" borderId="0" xfId="1" applyNumberFormat="1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164" fontId="35" fillId="9" borderId="17" xfId="0" applyNumberFormat="1" applyFont="1" applyFill="1" applyBorder="1"/>
    <xf numFmtId="164" fontId="35" fillId="9" borderId="17" xfId="0" applyNumberFormat="1" applyFont="1" applyFill="1" applyBorder="1" applyAlignment="1">
      <alignment horizontal="right" vertical="center"/>
    </xf>
    <xf numFmtId="164" fontId="26" fillId="9" borderId="17" xfId="0" applyNumberFormat="1" applyFont="1" applyFill="1" applyBorder="1"/>
    <xf numFmtId="0" fontId="20" fillId="0" borderId="30" xfId="0" applyFont="1" applyBorder="1"/>
    <xf numFmtId="0" fontId="20" fillId="0" borderId="26" xfId="0" applyFont="1" applyBorder="1" applyAlignment="1">
      <alignment horizontal="right"/>
    </xf>
    <xf numFmtId="0" fontId="23" fillId="0" borderId="31" xfId="0" applyFont="1" applyBorder="1" applyAlignment="1">
      <alignment horizontal="left" vertical="center" wrapText="1"/>
    </xf>
    <xf numFmtId="0" fontId="23" fillId="0" borderId="6" xfId="0" applyFont="1" applyBorder="1" applyAlignment="1">
      <alignment horizontal="left" vertical="center" wrapText="1"/>
    </xf>
    <xf numFmtId="0" fontId="32" fillId="0" borderId="19" xfId="0" applyFont="1" applyBorder="1"/>
    <xf numFmtId="14" fontId="37" fillId="7" borderId="1" xfId="0" applyNumberFormat="1" applyFont="1" applyFill="1" applyBorder="1" applyAlignment="1">
      <alignment wrapText="1"/>
    </xf>
    <xf numFmtId="14" fontId="37" fillId="0" borderId="1" xfId="0" applyNumberFormat="1" applyFont="1" applyBorder="1" applyAlignment="1">
      <alignment wrapText="1"/>
    </xf>
    <xf numFmtId="0" fontId="16" fillId="7" borderId="1" xfId="0" applyFont="1" applyFill="1" applyBorder="1" applyAlignment="1">
      <alignment wrapText="1"/>
    </xf>
    <xf numFmtId="22" fontId="37" fillId="7" borderId="1" xfId="0" applyNumberFormat="1" applyFont="1" applyFill="1" applyBorder="1" applyAlignment="1">
      <alignment horizontal="right" wrapText="1"/>
    </xf>
    <xf numFmtId="0" fontId="37" fillId="7" borderId="1" xfId="0" applyFont="1" applyFill="1" applyBorder="1" applyAlignment="1">
      <alignment horizontal="right" wrapText="1"/>
    </xf>
    <xf numFmtId="0" fontId="16" fillId="0" borderId="1" xfId="0" applyFont="1" applyBorder="1" applyAlignment="1">
      <alignment wrapText="1"/>
    </xf>
    <xf numFmtId="0" fontId="37" fillId="0" borderId="1" xfId="0" applyFont="1" applyBorder="1" applyAlignment="1">
      <alignment horizontal="right" wrapText="1"/>
    </xf>
    <xf numFmtId="49" fontId="23" fillId="0" borderId="1" xfId="0" applyNumberFormat="1" applyFont="1" applyBorder="1" applyAlignment="1">
      <alignment horizontal="center" vertical="center" wrapText="1"/>
    </xf>
    <xf numFmtId="14" fontId="29" fillId="0" borderId="1" xfId="0" applyNumberFormat="1" applyFont="1" applyBorder="1" applyAlignment="1">
      <alignment horizontal="right" vertical="center" wrapText="1"/>
    </xf>
    <xf numFmtId="49" fontId="23" fillId="0" borderId="28" xfId="0" applyNumberFormat="1" applyFont="1" applyBorder="1" applyAlignment="1">
      <alignment horizontal="left" vertical="center" wrapText="1"/>
    </xf>
    <xf numFmtId="49" fontId="23" fillId="0" borderId="18" xfId="0" applyNumberFormat="1" applyFont="1" applyBorder="1" applyAlignment="1">
      <alignment horizontal="left" vertical="center" wrapText="1"/>
    </xf>
    <xf numFmtId="49" fontId="23" fillId="0" borderId="19" xfId="0" applyNumberFormat="1" applyFont="1" applyBorder="1" applyAlignment="1">
      <alignment horizontal="left" vertical="center" wrapText="1"/>
    </xf>
    <xf numFmtId="164" fontId="23" fillId="0" borderId="29" xfId="1" applyNumberFormat="1" applyFont="1" applyFill="1" applyBorder="1" applyAlignment="1">
      <alignment vertical="center" wrapText="1"/>
    </xf>
    <xf numFmtId="2" fontId="23" fillId="0" borderId="29" xfId="1" applyNumberFormat="1" applyFont="1" applyFill="1" applyBorder="1" applyAlignment="1">
      <alignment horizontal="right" vertical="center" wrapText="1"/>
    </xf>
    <xf numFmtId="0" fontId="20" fillId="0" borderId="18" xfId="0" applyFont="1" applyBorder="1"/>
    <xf numFmtId="164" fontId="32" fillId="0" borderId="29" xfId="1" applyNumberFormat="1" applyFont="1" applyFill="1" applyBorder="1" applyAlignment="1">
      <alignment vertical="center" wrapText="1"/>
    </xf>
    <xf numFmtId="2" fontId="23" fillId="0" borderId="29" xfId="0" applyNumberFormat="1" applyFont="1" applyBorder="1" applyAlignment="1">
      <alignment vertical="center" wrapText="1"/>
    </xf>
    <xf numFmtId="2" fontId="20" fillId="0" borderId="29" xfId="0" applyNumberFormat="1" applyFont="1" applyBorder="1"/>
    <xf numFmtId="164" fontId="24" fillId="0" borderId="29" xfId="0" applyNumberFormat="1" applyFont="1" applyBorder="1"/>
    <xf numFmtId="49" fontId="23" fillId="0" borderId="4" xfId="0" applyNumberFormat="1" applyFont="1" applyBorder="1" applyAlignment="1">
      <alignment horizontal="left" vertical="center" wrapText="1"/>
    </xf>
    <xf numFmtId="0" fontId="33" fillId="0" borderId="4" xfId="0" applyFont="1" applyBorder="1" applyAlignment="1">
      <alignment wrapText="1"/>
    </xf>
    <xf numFmtId="0" fontId="16" fillId="0" borderId="4" xfId="0" applyFont="1" applyBorder="1" applyAlignment="1">
      <alignment wrapText="1"/>
    </xf>
    <xf numFmtId="164" fontId="23" fillId="0" borderId="4" xfId="1" applyNumberFormat="1" applyFont="1" applyFill="1" applyBorder="1" applyAlignment="1">
      <alignment vertical="center" wrapText="1"/>
    </xf>
    <xf numFmtId="164" fontId="20" fillId="0" borderId="0" xfId="0" applyNumberFormat="1" applyFont="1"/>
    <xf numFmtId="0" fontId="23" fillId="0" borderId="4" xfId="0" applyFont="1" applyBorder="1" applyAlignment="1">
      <alignment horizontal="left" vertical="center" wrapText="1"/>
    </xf>
    <xf numFmtId="0" fontId="32" fillId="0" borderId="1" xfId="0" applyFont="1" applyBorder="1"/>
    <xf numFmtId="49" fontId="23" fillId="6" borderId="18" xfId="0" applyNumberFormat="1" applyFont="1" applyFill="1" applyBorder="1" applyAlignment="1">
      <alignment vertical="center" wrapText="1"/>
    </xf>
    <xf numFmtId="0" fontId="23" fillId="0" borderId="33" xfId="0" applyFont="1" applyBorder="1" applyAlignment="1">
      <alignment horizontal="left" vertical="center" wrapText="1"/>
    </xf>
    <xf numFmtId="0" fontId="20" fillId="0" borderId="31" xfId="0" applyFont="1" applyBorder="1"/>
    <xf numFmtId="49" fontId="23" fillId="0" borderId="18" xfId="0" applyNumberFormat="1" applyFont="1" applyBorder="1" applyAlignment="1">
      <alignment vertical="center" wrapText="1"/>
    </xf>
    <xf numFmtId="49" fontId="23" fillId="0" borderId="28" xfId="0" applyNumberFormat="1" applyFont="1" applyBorder="1" applyAlignment="1">
      <alignment vertical="center" wrapText="1"/>
    </xf>
    <xf numFmtId="0" fontId="20" fillId="6" borderId="1" xfId="0" applyFont="1" applyFill="1" applyBorder="1"/>
    <xf numFmtId="164" fontId="25" fillId="0" borderId="1" xfId="1" applyNumberFormat="1" applyFont="1" applyBorder="1"/>
    <xf numFmtId="14" fontId="23" fillId="0" borderId="29" xfId="0" applyNumberFormat="1" applyFont="1" applyBorder="1" applyAlignment="1">
      <alignment horizontal="right" vertical="center" wrapText="1"/>
    </xf>
    <xf numFmtId="164" fontId="23" fillId="0" borderId="20" xfId="1" applyNumberFormat="1" applyFont="1" applyBorder="1" applyAlignment="1">
      <alignment vertical="center" wrapText="1"/>
    </xf>
    <xf numFmtId="164" fontId="23" fillId="0" borderId="15" xfId="1" applyNumberFormat="1" applyFont="1" applyBorder="1" applyAlignment="1">
      <alignment horizontal="right" vertical="center" wrapText="1"/>
    </xf>
    <xf numFmtId="49" fontId="20" fillId="0" borderId="0" xfId="1" applyNumberFormat="1" applyFont="1" applyAlignment="1">
      <alignment horizontal="center" vertical="center"/>
    </xf>
    <xf numFmtId="164" fontId="23" fillId="0" borderId="29" xfId="1" applyNumberFormat="1" applyFont="1" applyBorder="1" applyAlignment="1">
      <alignment vertical="center" wrapText="1"/>
    </xf>
    <xf numFmtId="22" fontId="20" fillId="0" borderId="29" xfId="0" applyNumberFormat="1" applyFont="1" applyBorder="1" applyAlignment="1">
      <alignment horizontal="right"/>
    </xf>
    <xf numFmtId="164" fontId="23" fillId="0" borderId="1" xfId="1" applyNumberFormat="1" applyFont="1" applyBorder="1" applyAlignment="1">
      <alignment vertical="center" wrapText="1"/>
    </xf>
    <xf numFmtId="0" fontId="31" fillId="0" borderId="29" xfId="0" applyFont="1" applyBorder="1" applyAlignment="1">
      <alignment horizontal="right" wrapText="1"/>
    </xf>
    <xf numFmtId="0" fontId="32" fillId="0" borderId="29" xfId="0" applyFont="1" applyBorder="1" applyAlignment="1">
      <alignment horizontal="right" wrapText="1"/>
    </xf>
    <xf numFmtId="49" fontId="32" fillId="0" borderId="28" xfId="0" applyNumberFormat="1" applyFont="1" applyBorder="1" applyAlignment="1">
      <alignment vertical="center" wrapText="1"/>
    </xf>
    <xf numFmtId="164" fontId="32" fillId="0" borderId="29" xfId="1" applyNumberFormat="1" applyFont="1" applyBorder="1" applyAlignment="1">
      <alignment vertical="center" wrapText="1"/>
    </xf>
    <xf numFmtId="164" fontId="32" fillId="0" borderId="15" xfId="1" applyNumberFormat="1" applyFont="1" applyBorder="1" applyAlignment="1">
      <alignment horizontal="right" vertical="center" wrapText="1"/>
    </xf>
    <xf numFmtId="22" fontId="31" fillId="0" borderId="17" xfId="0" applyNumberFormat="1" applyFont="1" applyBorder="1" applyAlignment="1">
      <alignment horizontal="right" wrapText="1"/>
    </xf>
    <xf numFmtId="22" fontId="31" fillId="0" borderId="29" xfId="0" applyNumberFormat="1" applyFont="1" applyBorder="1" applyAlignment="1">
      <alignment horizontal="right" wrapText="1"/>
    </xf>
    <xf numFmtId="164" fontId="23" fillId="0" borderId="4" xfId="1" applyNumberFormat="1" applyFont="1" applyBorder="1" applyAlignment="1">
      <alignment vertical="center" wrapText="1"/>
    </xf>
    <xf numFmtId="22" fontId="23" fillId="0" borderId="17" xfId="0" applyNumberFormat="1" applyFont="1" applyBorder="1" applyAlignment="1">
      <alignment horizontal="right" wrapText="1"/>
    </xf>
    <xf numFmtId="2" fontId="23" fillId="0" borderId="29" xfId="1" applyNumberFormat="1" applyFont="1" applyBorder="1" applyAlignment="1">
      <alignment horizontal="right" vertical="center" wrapText="1"/>
    </xf>
    <xf numFmtId="22" fontId="31" fillId="0" borderId="18" xfId="0" applyNumberFormat="1" applyFont="1" applyBorder="1" applyAlignment="1">
      <alignment horizontal="right" wrapText="1"/>
    </xf>
    <xf numFmtId="49" fontId="23" fillId="0" borderId="32" xfId="0" applyNumberFormat="1" applyFont="1" applyBorder="1" applyAlignment="1">
      <alignment vertical="center" wrapText="1"/>
    </xf>
    <xf numFmtId="49" fontId="20" fillId="0" borderId="0" xfId="1" applyNumberFormat="1" applyFont="1" applyAlignment="1">
      <alignment horizontal="left" vertical="center"/>
    </xf>
    <xf numFmtId="22" fontId="20" fillId="0" borderId="19" xfId="0" applyNumberFormat="1" applyFont="1" applyBorder="1" applyAlignment="1">
      <alignment horizontal="right"/>
    </xf>
    <xf numFmtId="49" fontId="23" fillId="7" borderId="28" xfId="0" applyNumberFormat="1" applyFont="1" applyFill="1" applyBorder="1" applyAlignment="1">
      <alignment vertical="center" wrapText="1"/>
    </xf>
    <xf numFmtId="14" fontId="29" fillId="11" borderId="1" xfId="0" applyNumberFormat="1" applyFont="1" applyFill="1" applyBorder="1" applyAlignment="1">
      <alignment horizontal="right" vertical="center" wrapText="1"/>
    </xf>
    <xf numFmtId="0" fontId="27" fillId="11" borderId="6" xfId="0" applyFont="1" applyFill="1" applyBorder="1" applyAlignment="1">
      <alignment horizontal="left" vertical="center" wrapText="1"/>
    </xf>
    <xf numFmtId="49" fontId="23" fillId="11" borderId="28" xfId="0" applyNumberFormat="1" applyFont="1" applyFill="1" applyBorder="1" applyAlignment="1">
      <alignment horizontal="left" vertical="center" wrapText="1"/>
    </xf>
    <xf numFmtId="49" fontId="23" fillId="11" borderId="18" xfId="0" applyNumberFormat="1" applyFont="1" applyFill="1" applyBorder="1" applyAlignment="1">
      <alignment vertical="center" wrapText="1"/>
    </xf>
    <xf numFmtId="49" fontId="23" fillId="11" borderId="28" xfId="0" applyNumberFormat="1" applyFont="1" applyFill="1" applyBorder="1" applyAlignment="1">
      <alignment vertical="center" wrapText="1"/>
    </xf>
    <xf numFmtId="164" fontId="23" fillId="11" borderId="29" xfId="1" applyNumberFormat="1" applyFont="1" applyFill="1" applyBorder="1" applyAlignment="1">
      <alignment vertical="center" wrapText="1"/>
    </xf>
    <xf numFmtId="164" fontId="23" fillId="11" borderId="20" xfId="1" applyNumberFormat="1" applyFont="1" applyFill="1" applyBorder="1" applyAlignment="1">
      <alignment vertical="center" wrapText="1"/>
    </xf>
    <xf numFmtId="2" fontId="23" fillId="11" borderId="1" xfId="0" applyNumberFormat="1" applyFont="1" applyFill="1" applyBorder="1" applyAlignment="1">
      <alignment horizontal="right" vertical="center" wrapText="1"/>
    </xf>
    <xf numFmtId="164" fontId="23" fillId="11" borderId="15" xfId="1" applyNumberFormat="1" applyFont="1" applyFill="1" applyBorder="1" applyAlignment="1">
      <alignment horizontal="right" vertical="center" wrapText="1"/>
    </xf>
    <xf numFmtId="164" fontId="35" fillId="11" borderId="17" xfId="0" applyNumberFormat="1" applyFont="1" applyFill="1" applyBorder="1" applyAlignment="1">
      <alignment horizontal="right" vertical="center"/>
    </xf>
    <xf numFmtId="0" fontId="0" fillId="11" borderId="0" xfId="0" applyFill="1"/>
    <xf numFmtId="14" fontId="37" fillId="7" borderId="1" xfId="0" applyNumberFormat="1" applyFont="1" applyFill="1" applyBorder="1" applyAlignment="1">
      <alignment horizontal="right" wrapText="1"/>
    </xf>
    <xf numFmtId="164" fontId="32" fillId="0" borderId="17" xfId="0" applyNumberFormat="1" applyFont="1" applyBorder="1" applyAlignment="1">
      <alignment horizontal="right" vertical="center"/>
    </xf>
    <xf numFmtId="14" fontId="29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49" fontId="20" fillId="11" borderId="0" xfId="1" applyNumberFormat="1" applyFont="1" applyFill="1" applyAlignment="1">
      <alignment horizontal="center" vertical="center"/>
    </xf>
    <xf numFmtId="0" fontId="20" fillId="11" borderId="0" xfId="0" applyFont="1" applyFill="1"/>
    <xf numFmtId="1" fontId="23" fillId="11" borderId="1" xfId="0" applyNumberFormat="1" applyFont="1" applyFill="1" applyBorder="1" applyAlignment="1">
      <alignment horizontal="center" vertical="center" wrapText="1"/>
    </xf>
    <xf numFmtId="0" fontId="20" fillId="11" borderId="1" xfId="0" applyFont="1" applyFill="1" applyBorder="1"/>
    <xf numFmtId="0" fontId="23" fillId="11" borderId="1" xfId="0" applyFont="1" applyFill="1" applyBorder="1" applyAlignment="1">
      <alignment horizontal="left" vertical="center" wrapText="1"/>
    </xf>
    <xf numFmtId="164" fontId="23" fillId="11" borderId="1" xfId="1" applyNumberFormat="1" applyFont="1" applyFill="1" applyBorder="1" applyAlignment="1">
      <alignment vertical="center" wrapText="1"/>
    </xf>
    <xf numFmtId="14" fontId="37" fillId="0" borderId="1" xfId="0" applyNumberFormat="1" applyFont="1" applyBorder="1" applyAlignment="1">
      <alignment horizontal="right" wrapText="1"/>
    </xf>
    <xf numFmtId="22" fontId="37" fillId="0" borderId="1" xfId="0" applyNumberFormat="1" applyFont="1" applyBorder="1" applyAlignment="1">
      <alignment horizontal="right" wrapText="1"/>
    </xf>
    <xf numFmtId="49" fontId="23" fillId="0" borderId="28" xfId="0" applyNumberFormat="1" applyFont="1" applyBorder="1" applyAlignment="1">
      <alignment horizontal="right" vertical="center" wrapText="1"/>
    </xf>
    <xf numFmtId="0" fontId="16" fillId="0" borderId="1" xfId="0" applyFont="1" applyBorder="1"/>
    <xf numFmtId="49" fontId="23" fillId="0" borderId="18" xfId="0" applyNumberFormat="1" applyFont="1" applyBorder="1" applyAlignment="1">
      <alignment vertical="center"/>
    </xf>
    <xf numFmtId="0" fontId="23" fillId="0" borderId="1" xfId="0" applyFont="1" applyBorder="1" applyAlignment="1">
      <alignment horizontal="right" vertical="center" wrapText="1"/>
    </xf>
    <xf numFmtId="1" fontId="23" fillId="0" borderId="1" xfId="0" applyNumberFormat="1" applyFont="1" applyBorder="1" applyAlignment="1">
      <alignment horizontal="left" vertical="center" wrapText="1"/>
    </xf>
    <xf numFmtId="0" fontId="20" fillId="0" borderId="15" xfId="0" applyFont="1" applyBorder="1" applyAlignment="1">
      <alignment horizontal="left"/>
    </xf>
    <xf numFmtId="1" fontId="23" fillId="0" borderId="1" xfId="0" applyNumberFormat="1" applyFont="1" applyBorder="1" applyAlignment="1">
      <alignment horizontal="left" vertical="top" wrapText="1"/>
    </xf>
    <xf numFmtId="49" fontId="23" fillId="0" borderId="1" xfId="0" applyNumberFormat="1" applyFont="1" applyBorder="1" applyAlignment="1">
      <alignment horizontal="left" vertical="center"/>
    </xf>
    <xf numFmtId="0" fontId="27" fillId="0" borderId="6" xfId="0" applyFont="1" applyBorder="1" applyAlignment="1">
      <alignment horizontal="left" vertical="center"/>
    </xf>
    <xf numFmtId="49" fontId="23" fillId="0" borderId="32" xfId="0" applyNumberFormat="1" applyFont="1" applyBorder="1" applyAlignment="1">
      <alignment vertical="center"/>
    </xf>
    <xf numFmtId="0" fontId="20" fillId="0" borderId="1" xfId="0" applyFont="1" applyBorder="1" applyAlignment="1">
      <alignment horizontal="left" vertical="top"/>
    </xf>
    <xf numFmtId="49" fontId="23" fillId="0" borderId="15" xfId="0" applyNumberFormat="1" applyFont="1" applyBorder="1" applyAlignment="1">
      <alignment horizontal="right" vertical="top"/>
    </xf>
    <xf numFmtId="49" fontId="23" fillId="0" borderId="1" xfId="0" applyNumberFormat="1" applyFont="1" applyBorder="1" applyAlignment="1">
      <alignment horizontal="left" vertical="top"/>
    </xf>
    <xf numFmtId="0" fontId="16" fillId="0" borderId="1" xfId="0" applyFont="1" applyBorder="1" applyAlignment="1">
      <alignment vertical="top"/>
    </xf>
    <xf numFmtId="0" fontId="37" fillId="0" borderId="1" xfId="0" applyFont="1" applyBorder="1" applyAlignment="1">
      <alignment horizontal="right" vertical="top"/>
    </xf>
    <xf numFmtId="0" fontId="27" fillId="0" borderId="6" xfId="0" applyFont="1" applyBorder="1" applyAlignment="1">
      <alignment horizontal="left" vertical="top"/>
    </xf>
    <xf numFmtId="49" fontId="23" fillId="0" borderId="1" xfId="0" applyNumberFormat="1" applyFont="1" applyBorder="1" applyAlignment="1">
      <alignment vertical="center"/>
    </xf>
    <xf numFmtId="1" fontId="23" fillId="0" borderId="1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vertical="center"/>
    </xf>
    <xf numFmtId="49" fontId="23" fillId="0" borderId="1" xfId="0" applyNumberFormat="1" applyFont="1" applyBorder="1" applyAlignment="1">
      <alignment horizontal="right" vertical="center"/>
    </xf>
    <xf numFmtId="14" fontId="37" fillId="0" borderId="1" xfId="0" applyNumberFormat="1" applyFont="1" applyBorder="1" applyAlignment="1">
      <alignment horizontal="right"/>
    </xf>
    <xf numFmtId="0" fontId="23" fillId="6" borderId="1" xfId="0" applyFont="1" applyFill="1" applyBorder="1" applyAlignment="1">
      <alignment vertical="center" wrapText="1"/>
    </xf>
    <xf numFmtId="49" fontId="23" fillId="6" borderId="1" xfId="0" applyNumberFormat="1" applyFont="1" applyFill="1" applyBorder="1" applyAlignment="1">
      <alignment horizontal="right" vertical="center" wrapText="1"/>
    </xf>
    <xf numFmtId="49" fontId="23" fillId="6" borderId="1" xfId="0" applyNumberFormat="1" applyFont="1" applyFill="1" applyBorder="1" applyAlignment="1">
      <alignment vertical="center" wrapText="1"/>
    </xf>
    <xf numFmtId="1" fontId="23" fillId="6" borderId="1" xfId="0" applyNumberFormat="1" applyFont="1" applyFill="1" applyBorder="1" applyAlignment="1">
      <alignment horizontal="center" vertical="center" wrapText="1"/>
    </xf>
    <xf numFmtId="49" fontId="23" fillId="6" borderId="1" xfId="0" applyNumberFormat="1" applyFont="1" applyFill="1" applyBorder="1" applyAlignment="1">
      <alignment horizontal="left" vertical="center" wrapText="1"/>
    </xf>
    <xf numFmtId="0" fontId="20" fillId="6" borderId="1" xfId="0" applyFont="1" applyFill="1" applyBorder="1" applyAlignment="1">
      <alignment horizontal="left"/>
    </xf>
    <xf numFmtId="49" fontId="23" fillId="6" borderId="15" xfId="0" applyNumberFormat="1" applyFont="1" applyFill="1" applyBorder="1" applyAlignment="1">
      <alignment horizontal="right" vertical="center" wrapText="1"/>
    </xf>
    <xf numFmtId="49" fontId="23" fillId="6" borderId="28" xfId="0" applyNumberFormat="1" applyFont="1" applyFill="1" applyBorder="1" applyAlignment="1">
      <alignment horizontal="left" vertical="center" wrapText="1"/>
    </xf>
    <xf numFmtId="0" fontId="23" fillId="6" borderId="1" xfId="0" applyFont="1" applyFill="1" applyBorder="1" applyAlignment="1">
      <alignment horizontal="left" vertical="center" wrapText="1"/>
    </xf>
    <xf numFmtId="0" fontId="31" fillId="6" borderId="29" xfId="0" applyFont="1" applyFill="1" applyBorder="1" applyAlignment="1">
      <alignment horizontal="right" wrapText="1"/>
    </xf>
    <xf numFmtId="49" fontId="23" fillId="6" borderId="28" xfId="0" applyNumberFormat="1" applyFont="1" applyFill="1" applyBorder="1" applyAlignment="1">
      <alignment vertical="center" wrapText="1"/>
    </xf>
    <xf numFmtId="164" fontId="23" fillId="6" borderId="20" xfId="1" applyNumberFormat="1" applyFont="1" applyFill="1" applyBorder="1" applyAlignment="1">
      <alignment vertical="center" wrapText="1"/>
    </xf>
    <xf numFmtId="2" fontId="23" fillId="6" borderId="1" xfId="0" applyNumberFormat="1" applyFont="1" applyFill="1" applyBorder="1" applyAlignment="1">
      <alignment horizontal="right" vertical="center" wrapText="1"/>
    </xf>
    <xf numFmtId="164" fontId="23" fillId="6" borderId="15" xfId="1" applyNumberFormat="1" applyFont="1" applyFill="1" applyBorder="1" applyAlignment="1">
      <alignment horizontal="right" vertical="center" wrapText="1"/>
    </xf>
    <xf numFmtId="164" fontId="35" fillId="6" borderId="17" xfId="0" applyNumberFormat="1" applyFont="1" applyFill="1" applyBorder="1" applyAlignment="1">
      <alignment horizontal="right" vertical="center"/>
    </xf>
    <xf numFmtId="49" fontId="23" fillId="6" borderId="18" xfId="0" applyNumberFormat="1" applyFont="1" applyFill="1" applyBorder="1" applyAlignment="1">
      <alignment horizontal="left" vertical="center" wrapText="1"/>
    </xf>
    <xf numFmtId="0" fontId="23" fillId="6" borderId="17" xfId="0" applyFont="1" applyFill="1" applyBorder="1" applyAlignment="1">
      <alignment horizontal="left" vertical="center" wrapText="1"/>
    </xf>
    <xf numFmtId="22" fontId="31" fillId="6" borderId="17" xfId="0" applyNumberFormat="1" applyFont="1" applyFill="1" applyBorder="1" applyAlignment="1">
      <alignment horizontal="right" wrapText="1"/>
    </xf>
    <xf numFmtId="2" fontId="23" fillId="0" borderId="17" xfId="0" applyNumberFormat="1" applyFont="1" applyBorder="1" applyAlignment="1">
      <alignment horizontal="right" vertical="center" wrapText="1"/>
    </xf>
    <xf numFmtId="164" fontId="23" fillId="0" borderId="17" xfId="1" applyNumberFormat="1" applyFont="1" applyFill="1" applyBorder="1" applyAlignment="1">
      <alignment horizontal="right" vertical="center" wrapText="1"/>
    </xf>
    <xf numFmtId="2" fontId="23" fillId="0" borderId="17" xfId="0" applyNumberFormat="1" applyFont="1" applyBorder="1" applyAlignment="1">
      <alignment horizontal="right" vertical="center"/>
    </xf>
    <xf numFmtId="49" fontId="23" fillId="0" borderId="17" xfId="0" applyNumberFormat="1" applyFont="1" applyBorder="1" applyAlignment="1">
      <alignment vertical="center"/>
    </xf>
    <xf numFmtId="164" fontId="23" fillId="0" borderId="17" xfId="1" applyNumberFormat="1" applyFont="1" applyFill="1" applyBorder="1" applyAlignment="1">
      <alignment horizontal="right" vertical="center"/>
    </xf>
    <xf numFmtId="164" fontId="32" fillId="0" borderId="17" xfId="1" applyNumberFormat="1" applyFont="1" applyFill="1" applyBorder="1" applyAlignment="1">
      <alignment horizontal="right" vertical="center" wrapText="1"/>
    </xf>
    <xf numFmtId="164" fontId="23" fillId="0" borderId="32" xfId="1" applyNumberFormat="1" applyFont="1" applyFill="1" applyBorder="1" applyAlignment="1">
      <alignment vertical="center" wrapText="1"/>
    </xf>
    <xf numFmtId="164" fontId="23" fillId="0" borderId="32" xfId="1" applyNumberFormat="1" applyFont="1" applyFill="1" applyBorder="1" applyAlignment="1">
      <alignment vertical="center"/>
    </xf>
    <xf numFmtId="164" fontId="23" fillId="0" borderId="25" xfId="1" applyNumberFormat="1" applyFont="1" applyFill="1" applyBorder="1" applyAlignment="1">
      <alignment vertical="center" wrapText="1"/>
    </xf>
    <xf numFmtId="164" fontId="23" fillId="0" borderId="24" xfId="1" applyNumberFormat="1" applyFont="1" applyFill="1" applyBorder="1" applyAlignment="1">
      <alignment vertical="center" wrapText="1"/>
    </xf>
    <xf numFmtId="164" fontId="23" fillId="0" borderId="26" xfId="1" applyNumberFormat="1" applyFont="1" applyFill="1" applyBorder="1" applyAlignment="1">
      <alignment vertical="center" wrapText="1"/>
    </xf>
    <xf numFmtId="2" fontId="23" fillId="0" borderId="6" xfId="0" applyNumberFormat="1" applyFont="1" applyBorder="1" applyAlignment="1">
      <alignment horizontal="right" vertical="center" wrapText="1"/>
    </xf>
    <xf numFmtId="164" fontId="23" fillId="0" borderId="30" xfId="1" applyNumberFormat="1" applyFont="1" applyFill="1" applyBorder="1" applyAlignment="1">
      <alignment horizontal="right" vertical="center" wrapText="1"/>
    </xf>
    <xf numFmtId="164" fontId="35" fillId="0" borderId="19" xfId="0" applyNumberFormat="1" applyFont="1" applyBorder="1" applyAlignment="1">
      <alignment horizontal="right" vertical="center"/>
    </xf>
    <xf numFmtId="164" fontId="32" fillId="0" borderId="19" xfId="0" applyNumberFormat="1" applyFont="1" applyBorder="1" applyAlignment="1">
      <alignment horizontal="right" vertical="center"/>
    </xf>
    <xf numFmtId="164" fontId="23" fillId="0" borderId="35" xfId="1" applyNumberFormat="1" applyFont="1" applyFill="1" applyBorder="1" applyAlignment="1">
      <alignment vertical="center" wrapText="1"/>
    </xf>
    <xf numFmtId="2" fontId="23" fillId="0" borderId="3" xfId="0" applyNumberFormat="1" applyFont="1" applyBorder="1" applyAlignment="1">
      <alignment horizontal="right" vertical="center" wrapText="1"/>
    </xf>
    <xf numFmtId="0" fontId="20" fillId="0" borderId="3" xfId="0" applyFont="1" applyBorder="1"/>
    <xf numFmtId="164" fontId="23" fillId="0" borderId="36" xfId="1" applyNumberFormat="1" applyFont="1" applyFill="1" applyBorder="1" applyAlignment="1">
      <alignment horizontal="right" vertical="center" wrapText="1"/>
    </xf>
    <xf numFmtId="164" fontId="32" fillId="0" borderId="31" xfId="0" applyNumberFormat="1" applyFont="1" applyBorder="1" applyAlignment="1">
      <alignment horizontal="right" vertical="center"/>
    </xf>
    <xf numFmtId="0" fontId="39" fillId="0" borderId="37" xfId="0" applyFont="1" applyBorder="1"/>
    <xf numFmtId="0" fontId="39" fillId="0" borderId="38" xfId="0" applyFont="1" applyBorder="1" applyAlignment="1">
      <alignment wrapText="1"/>
    </xf>
    <xf numFmtId="0" fontId="39" fillId="0" borderId="39" xfId="0" applyFont="1" applyBorder="1" applyAlignment="1">
      <alignment wrapText="1"/>
    </xf>
    <xf numFmtId="0" fontId="39" fillId="0" borderId="41" xfId="0" applyFont="1" applyBorder="1" applyAlignment="1">
      <alignment wrapText="1"/>
    </xf>
    <xf numFmtId="3" fontId="39" fillId="0" borderId="26" xfId="0" applyNumberFormat="1" applyFont="1" applyBorder="1" applyAlignment="1">
      <alignment wrapText="1"/>
    </xf>
    <xf numFmtId="3" fontId="40" fillId="0" borderId="42" xfId="0" applyNumberFormat="1" applyFont="1" applyBorder="1"/>
    <xf numFmtId="3" fontId="41" fillId="0" borderId="26" xfId="0" applyNumberFormat="1" applyFont="1" applyBorder="1" applyAlignment="1">
      <alignment wrapText="1"/>
    </xf>
    <xf numFmtId="0" fontId="39" fillId="0" borderId="45" xfId="0" applyFont="1" applyBorder="1" applyAlignment="1">
      <alignment wrapText="1"/>
    </xf>
    <xf numFmtId="3" fontId="39" fillId="0" borderId="46" xfId="0" applyNumberFormat="1" applyFont="1" applyBorder="1" applyAlignment="1">
      <alignment wrapText="1"/>
    </xf>
    <xf numFmtId="3" fontId="41" fillId="0" borderId="46" xfId="0" applyNumberFormat="1" applyFont="1" applyBorder="1" applyAlignment="1">
      <alignment wrapText="1"/>
    </xf>
    <xf numFmtId="3" fontId="40" fillId="0" borderId="26" xfId="0" applyNumberFormat="1" applyFont="1" applyBorder="1"/>
    <xf numFmtId="3" fontId="41" fillId="0" borderId="41" xfId="0" applyNumberFormat="1" applyFont="1" applyBorder="1" applyAlignment="1">
      <alignment wrapText="1"/>
    </xf>
    <xf numFmtId="3" fontId="42" fillId="0" borderId="35" xfId="0" applyNumberFormat="1" applyFont="1" applyBorder="1" applyAlignment="1">
      <alignment wrapText="1"/>
    </xf>
    <xf numFmtId="3" fontId="40" fillId="0" borderId="35" xfId="0" applyNumberFormat="1" applyFont="1" applyBorder="1" applyAlignment="1">
      <alignment wrapText="1"/>
    </xf>
    <xf numFmtId="3" fontId="42" fillId="13" borderId="24" xfId="0" applyNumberFormat="1" applyFont="1" applyFill="1" applyBorder="1" applyAlignment="1">
      <alignment wrapText="1"/>
    </xf>
    <xf numFmtId="3" fontId="40" fillId="0" borderId="24" xfId="0" applyNumberFormat="1" applyFont="1" applyBorder="1" applyAlignment="1">
      <alignment wrapText="1"/>
    </xf>
    <xf numFmtId="3" fontId="42" fillId="0" borderId="24" xfId="0" applyNumberFormat="1" applyFont="1" applyBorder="1" applyAlignment="1">
      <alignment wrapText="1"/>
    </xf>
    <xf numFmtId="0" fontId="39" fillId="0" borderId="48" xfId="0" applyFont="1" applyBorder="1" applyAlignment="1">
      <alignment wrapText="1"/>
    </xf>
    <xf numFmtId="3" fontId="39" fillId="0" borderId="42" xfId="0" applyNumberFormat="1" applyFont="1" applyBorder="1" applyAlignment="1">
      <alignment wrapText="1"/>
    </xf>
    <xf numFmtId="3" fontId="41" fillId="0" borderId="42" xfId="0" applyNumberFormat="1" applyFont="1" applyBorder="1"/>
    <xf numFmtId="3" fontId="41" fillId="0" borderId="48" xfId="0" applyNumberFormat="1" applyFont="1" applyBorder="1" applyAlignment="1">
      <alignment wrapText="1"/>
    </xf>
    <xf numFmtId="3" fontId="41" fillId="0" borderId="26" xfId="0" applyNumberFormat="1" applyFont="1" applyBorder="1"/>
    <xf numFmtId="3" fontId="42" fillId="0" borderId="26" xfId="0" applyNumberFormat="1" applyFont="1" applyBorder="1"/>
    <xf numFmtId="3" fontId="42" fillId="0" borderId="46" xfId="0" applyNumberFormat="1" applyFont="1" applyBorder="1"/>
    <xf numFmtId="3" fontId="40" fillId="0" borderId="46" xfId="0" applyNumberFormat="1" applyFont="1" applyBorder="1"/>
    <xf numFmtId="3" fontId="39" fillId="0" borderId="26" xfId="0" applyNumberFormat="1" applyFont="1" applyBorder="1"/>
    <xf numFmtId="3" fontId="41" fillId="0" borderId="41" xfId="0" applyNumberFormat="1" applyFont="1" applyBorder="1"/>
    <xf numFmtId="3" fontId="39" fillId="0" borderId="35" xfId="0" applyNumberFormat="1" applyFont="1" applyBorder="1"/>
    <xf numFmtId="3" fontId="41" fillId="0" borderId="35" xfId="0" applyNumberFormat="1" applyFont="1" applyBorder="1"/>
    <xf numFmtId="3" fontId="41" fillId="0" borderId="47" xfId="0" applyNumberFormat="1" applyFont="1" applyBorder="1"/>
    <xf numFmtId="3" fontId="12" fillId="0" borderId="0" xfId="0" applyNumberFormat="1" applyFont="1" applyAlignment="1">
      <alignment vertical="top" wrapText="1"/>
    </xf>
    <xf numFmtId="3" fontId="12" fillId="0" borderId="0" xfId="0" applyNumberFormat="1" applyFont="1"/>
    <xf numFmtId="3" fontId="14" fillId="0" borderId="0" xfId="0" applyNumberFormat="1" applyFont="1" applyAlignment="1">
      <alignment horizontal="center" vertical="center"/>
    </xf>
    <xf numFmtId="0" fontId="39" fillId="0" borderId="55" xfId="0" applyFont="1" applyBorder="1" applyAlignment="1">
      <alignment wrapText="1"/>
    </xf>
    <xf numFmtId="0" fontId="39" fillId="0" borderId="57" xfId="0" applyFont="1" applyBorder="1" applyAlignment="1">
      <alignment wrapText="1"/>
    </xf>
    <xf numFmtId="0" fontId="39" fillId="0" borderId="58" xfId="0" applyFont="1" applyBorder="1" applyAlignment="1">
      <alignment wrapText="1"/>
    </xf>
    <xf numFmtId="0" fontId="42" fillId="0" borderId="59" xfId="0" applyFont="1" applyBorder="1" applyAlignment="1">
      <alignment wrapText="1"/>
    </xf>
    <xf numFmtId="0" fontId="42" fillId="13" borderId="59" xfId="0" applyFont="1" applyFill="1" applyBorder="1" applyAlignment="1">
      <alignment wrapText="1"/>
    </xf>
    <xf numFmtId="0" fontId="39" fillId="0" borderId="61" xfId="0" applyFont="1" applyBorder="1" applyAlignment="1">
      <alignment wrapText="1"/>
    </xf>
    <xf numFmtId="0" fontId="42" fillId="0" borderId="55" xfId="0" applyFont="1" applyBorder="1" applyAlignment="1">
      <alignment wrapText="1"/>
    </xf>
    <xf numFmtId="0" fontId="42" fillId="0" borderId="57" xfId="0" applyFont="1" applyBorder="1" applyAlignment="1">
      <alignment wrapText="1"/>
    </xf>
    <xf numFmtId="0" fontId="11" fillId="0" borderId="70" xfId="0" applyFont="1" applyBorder="1" applyAlignment="1">
      <alignment vertical="top" wrapText="1"/>
    </xf>
    <xf numFmtId="3" fontId="11" fillId="0" borderId="71" xfId="0" applyNumberFormat="1" applyFont="1" applyBorder="1" applyAlignment="1">
      <alignment vertical="top" wrapText="1"/>
    </xf>
    <xf numFmtId="3" fontId="12" fillId="0" borderId="72" xfId="0" applyNumberFormat="1" applyFont="1" applyBorder="1"/>
    <xf numFmtId="3" fontId="12" fillId="0" borderId="73" xfId="0" applyNumberFormat="1" applyFont="1" applyBorder="1" applyAlignment="1">
      <alignment vertical="top" wrapText="1"/>
    </xf>
    <xf numFmtId="3" fontId="12" fillId="0" borderId="74" xfId="0" applyNumberFormat="1" applyFont="1" applyBorder="1"/>
    <xf numFmtId="0" fontId="11" fillId="0" borderId="75" xfId="0" applyFont="1" applyBorder="1" applyAlignment="1">
      <alignment vertical="top" wrapText="1"/>
    </xf>
    <xf numFmtId="3" fontId="11" fillId="0" borderId="76" xfId="0" applyNumberFormat="1" applyFont="1" applyBorder="1"/>
    <xf numFmtId="3" fontId="12" fillId="0" borderId="77" xfId="0" applyNumberFormat="1" applyFont="1" applyBorder="1"/>
    <xf numFmtId="3" fontId="12" fillId="0" borderId="78" xfId="0" applyNumberFormat="1" applyFont="1" applyBorder="1"/>
    <xf numFmtId="3" fontId="12" fillId="0" borderId="72" xfId="0" applyNumberFormat="1" applyFont="1" applyBorder="1" applyAlignment="1">
      <alignment vertical="top"/>
    </xf>
    <xf numFmtId="3" fontId="12" fillId="0" borderId="79" xfId="0" applyNumberFormat="1" applyFont="1" applyBorder="1" applyAlignment="1">
      <alignment vertical="top" wrapText="1"/>
    </xf>
    <xf numFmtId="3" fontId="12" fillId="0" borderId="74" xfId="0" applyNumberFormat="1" applyFont="1" applyBorder="1" applyAlignment="1">
      <alignment vertical="top" wrapText="1"/>
    </xf>
    <xf numFmtId="3" fontId="12" fillId="0" borderId="81" xfId="0" applyNumberFormat="1" applyFont="1" applyBorder="1" applyAlignment="1">
      <alignment vertical="top" wrapText="1"/>
    </xf>
    <xf numFmtId="0" fontId="13" fillId="0" borderId="75" xfId="0" applyFont="1" applyBorder="1" applyAlignment="1">
      <alignment vertical="top" wrapText="1"/>
    </xf>
    <xf numFmtId="3" fontId="13" fillId="0" borderId="76" xfId="0" applyNumberFormat="1" applyFont="1" applyBorder="1"/>
    <xf numFmtId="3" fontId="14" fillId="0" borderId="77" xfId="0" applyNumberFormat="1" applyFont="1" applyBorder="1"/>
    <xf numFmtId="0" fontId="39" fillId="0" borderId="55" xfId="0" applyFont="1" applyBorder="1" applyAlignment="1">
      <alignment vertical="top" wrapText="1"/>
    </xf>
    <xf numFmtId="3" fontId="39" fillId="0" borderId="46" xfId="0" applyNumberFormat="1" applyFont="1" applyBorder="1"/>
    <xf numFmtId="3" fontId="41" fillId="0" borderId="46" xfId="0" applyNumberFormat="1" applyFont="1" applyBorder="1"/>
    <xf numFmtId="3" fontId="41" fillId="0" borderId="45" xfId="0" applyNumberFormat="1" applyFont="1" applyBorder="1"/>
    <xf numFmtId="0" fontId="23" fillId="0" borderId="17" xfId="0" applyFont="1" applyBorder="1" applyAlignment="1">
      <alignment horizontal="right" wrapText="1"/>
    </xf>
    <xf numFmtId="164" fontId="23" fillId="0" borderId="15" xfId="1" applyNumberFormat="1" applyFont="1" applyFill="1" applyBorder="1" applyAlignment="1">
      <alignment vertical="center" wrapText="1"/>
    </xf>
    <xf numFmtId="164" fontId="23" fillId="0" borderId="85" xfId="1" applyNumberFormat="1" applyFont="1" applyFill="1" applyBorder="1" applyAlignment="1">
      <alignment vertical="center" wrapText="1"/>
    </xf>
    <xf numFmtId="0" fontId="31" fillId="0" borderId="17" xfId="0" applyFont="1" applyBorder="1" applyAlignment="1">
      <alignment horizontal="right" vertical="center" wrapText="1"/>
    </xf>
    <xf numFmtId="0" fontId="20" fillId="0" borderId="0" xfId="0" applyFont="1" applyAlignment="1">
      <alignment vertical="center"/>
    </xf>
    <xf numFmtId="22" fontId="31" fillId="0" borderId="17" xfId="0" applyNumberFormat="1" applyFont="1" applyBorder="1" applyAlignment="1">
      <alignment horizontal="right" vertical="center" wrapText="1"/>
    </xf>
    <xf numFmtId="0" fontId="45" fillId="0" borderId="1" xfId="0" applyFont="1" applyBorder="1" applyAlignment="1">
      <alignment vertical="center" wrapText="1"/>
    </xf>
    <xf numFmtId="49" fontId="45" fillId="0" borderId="1" xfId="0" applyNumberFormat="1" applyFont="1" applyBorder="1" applyAlignment="1">
      <alignment horizontal="right" vertical="center" wrapText="1"/>
    </xf>
    <xf numFmtId="49" fontId="45" fillId="0" borderId="1" xfId="0" applyNumberFormat="1" applyFont="1" applyBorder="1" applyAlignment="1">
      <alignment vertical="center" wrapText="1"/>
    </xf>
    <xf numFmtId="14" fontId="45" fillId="0" borderId="1" xfId="0" applyNumberFormat="1" applyFont="1" applyBorder="1" applyAlignment="1">
      <alignment horizontal="right" wrapText="1"/>
    </xf>
    <xf numFmtId="1" fontId="45" fillId="0" borderId="1" xfId="0" applyNumberFormat="1" applyFont="1" applyBorder="1" applyAlignment="1">
      <alignment horizontal="center" vertical="center" wrapText="1"/>
    </xf>
    <xf numFmtId="49" fontId="45" fillId="0" borderId="1" xfId="0" applyNumberFormat="1" applyFont="1" applyBorder="1" applyAlignment="1">
      <alignment horizontal="left" vertical="center" wrapText="1"/>
    </xf>
    <xf numFmtId="49" fontId="45" fillId="0" borderId="15" xfId="0" applyNumberFormat="1" applyFont="1" applyBorder="1" applyAlignment="1">
      <alignment horizontal="right" vertical="center" wrapText="1"/>
    </xf>
    <xf numFmtId="0" fontId="46" fillId="0" borderId="1" xfId="0" applyFont="1" applyBorder="1" applyAlignment="1">
      <alignment wrapText="1"/>
    </xf>
    <xf numFmtId="49" fontId="45" fillId="0" borderId="32" xfId="0" applyNumberFormat="1" applyFont="1" applyBorder="1" applyAlignment="1">
      <alignment vertical="center" wrapText="1"/>
    </xf>
    <xf numFmtId="2" fontId="45" fillId="0" borderId="1" xfId="0" applyNumberFormat="1" applyFont="1" applyBorder="1" applyAlignment="1">
      <alignment horizontal="right" vertical="center" wrapText="1"/>
    </xf>
    <xf numFmtId="0" fontId="48" fillId="0" borderId="1" xfId="0" applyFont="1" applyBorder="1"/>
    <xf numFmtId="164" fontId="45" fillId="0" borderId="15" xfId="1" applyNumberFormat="1" applyFont="1" applyFill="1" applyBorder="1" applyAlignment="1">
      <alignment horizontal="right" vertical="center" wrapText="1"/>
    </xf>
    <xf numFmtId="164" fontId="49" fillId="0" borderId="17" xfId="0" applyNumberFormat="1" applyFont="1" applyBorder="1" applyAlignment="1">
      <alignment horizontal="right" vertical="center"/>
    </xf>
    <xf numFmtId="0" fontId="48" fillId="0" borderId="0" xfId="0" applyFont="1"/>
    <xf numFmtId="22" fontId="45" fillId="0" borderId="1" xfId="0" applyNumberFormat="1" applyFont="1" applyBorder="1" applyAlignment="1">
      <alignment horizontal="right" vertical="center" wrapText="1"/>
    </xf>
    <xf numFmtId="164" fontId="51" fillId="0" borderId="17" xfId="0" applyNumberFormat="1" applyFont="1" applyBorder="1" applyAlignment="1">
      <alignment horizontal="right" vertical="center"/>
    </xf>
    <xf numFmtId="164" fontId="52" fillId="0" borderId="15" xfId="1" applyNumberFormat="1" applyFont="1" applyFill="1" applyBorder="1" applyAlignment="1">
      <alignment horizontal="right" vertical="center" wrapText="1"/>
    </xf>
    <xf numFmtId="0" fontId="53" fillId="0" borderId="4" xfId="0" applyFont="1" applyBorder="1"/>
    <xf numFmtId="164" fontId="51" fillId="0" borderId="18" xfId="0" applyNumberFormat="1" applyFont="1" applyBorder="1" applyAlignment="1">
      <alignment horizontal="right" vertical="center"/>
    </xf>
    <xf numFmtId="164" fontId="51" fillId="0" borderId="19" xfId="0" applyNumberFormat="1" applyFont="1" applyBorder="1" applyAlignment="1">
      <alignment horizontal="right" vertical="center"/>
    </xf>
    <xf numFmtId="164" fontId="53" fillId="0" borderId="29" xfId="0" applyNumberFormat="1" applyFont="1" applyBorder="1"/>
    <xf numFmtId="164" fontId="51" fillId="0" borderId="17" xfId="0" applyNumberFormat="1" applyFont="1" applyBorder="1"/>
    <xf numFmtId="164" fontId="54" fillId="0" borderId="1" xfId="1" applyNumberFormat="1" applyFont="1" applyBorder="1"/>
    <xf numFmtId="164" fontId="54" fillId="6" borderId="6" xfId="1" applyNumberFormat="1" applyFont="1" applyFill="1" applyBorder="1"/>
    <xf numFmtId="0" fontId="50" fillId="0" borderId="0" xfId="0" applyFont="1"/>
    <xf numFmtId="49" fontId="23" fillId="0" borderId="20" xfId="0" applyNumberFormat="1" applyFont="1" applyBorder="1" applyAlignment="1">
      <alignment horizontal="left" vertical="center" wrapText="1"/>
    </xf>
    <xf numFmtId="0" fontId="31" fillId="0" borderId="29" xfId="0" applyFont="1" applyBorder="1" applyAlignment="1">
      <alignment wrapText="1"/>
    </xf>
    <xf numFmtId="0" fontId="55" fillId="5" borderId="1" xfId="0" applyFont="1" applyFill="1" applyBorder="1" applyAlignment="1">
      <alignment vertical="center" wrapText="1"/>
    </xf>
    <xf numFmtId="49" fontId="55" fillId="5" borderId="1" xfId="0" applyNumberFormat="1" applyFont="1" applyFill="1" applyBorder="1" applyAlignment="1">
      <alignment horizontal="right" vertical="center" wrapText="1"/>
    </xf>
    <xf numFmtId="49" fontId="55" fillId="5" borderId="1" xfId="0" applyNumberFormat="1" applyFont="1" applyFill="1" applyBorder="1" applyAlignment="1">
      <alignment vertical="center" wrapText="1"/>
    </xf>
    <xf numFmtId="14" fontId="56" fillId="5" borderId="1" xfId="0" applyNumberFormat="1" applyFont="1" applyFill="1" applyBorder="1" applyAlignment="1">
      <alignment horizontal="right" wrapText="1"/>
    </xf>
    <xf numFmtId="1" fontId="55" fillId="5" borderId="1" xfId="0" applyNumberFormat="1" applyFont="1" applyFill="1" applyBorder="1" applyAlignment="1">
      <alignment horizontal="center" vertical="center" wrapText="1"/>
    </xf>
    <xf numFmtId="49" fontId="55" fillId="5" borderId="1" xfId="0" applyNumberFormat="1" applyFont="1" applyFill="1" applyBorder="1" applyAlignment="1">
      <alignment horizontal="left" vertical="center" wrapText="1"/>
    </xf>
    <xf numFmtId="49" fontId="55" fillId="5" borderId="15" xfId="0" applyNumberFormat="1" applyFont="1" applyFill="1" applyBorder="1" applyAlignment="1">
      <alignment horizontal="right" vertical="center" wrapText="1"/>
    </xf>
    <xf numFmtId="0" fontId="57" fillId="5" borderId="1" xfId="0" applyFont="1" applyFill="1" applyBorder="1" applyAlignment="1">
      <alignment wrapText="1"/>
    </xf>
    <xf numFmtId="22" fontId="56" fillId="5" borderId="1" xfId="0" applyNumberFormat="1" applyFont="1" applyFill="1" applyBorder="1" applyAlignment="1">
      <alignment horizontal="right" wrapText="1"/>
    </xf>
    <xf numFmtId="49" fontId="55" fillId="5" borderId="32" xfId="0" applyNumberFormat="1" applyFont="1" applyFill="1" applyBorder="1" applyAlignment="1">
      <alignment vertical="center" wrapText="1"/>
    </xf>
    <xf numFmtId="164" fontId="55" fillId="5" borderId="29" xfId="1" applyNumberFormat="1" applyFont="1" applyFill="1" applyBorder="1" applyAlignment="1">
      <alignment vertical="center" wrapText="1"/>
    </xf>
    <xf numFmtId="164" fontId="55" fillId="5" borderId="15" xfId="1" applyNumberFormat="1" applyFont="1" applyFill="1" applyBorder="1" applyAlignment="1">
      <alignment horizontal="right" vertical="center" wrapText="1"/>
    </xf>
    <xf numFmtId="2" fontId="55" fillId="5" borderId="1" xfId="0" applyNumberFormat="1" applyFont="1" applyFill="1" applyBorder="1" applyAlignment="1">
      <alignment horizontal="right" vertical="center" wrapText="1"/>
    </xf>
    <xf numFmtId="0" fontId="55" fillId="5" borderId="1" xfId="0" applyFont="1" applyFill="1" applyBorder="1"/>
    <xf numFmtId="164" fontId="55" fillId="5" borderId="17" xfId="0" applyNumberFormat="1" applyFont="1" applyFill="1" applyBorder="1" applyAlignment="1">
      <alignment horizontal="right" vertical="center"/>
    </xf>
    <xf numFmtId="0" fontId="11" fillId="0" borderId="69" xfId="0" applyFont="1" applyBorder="1" applyAlignment="1">
      <alignment vertical="top" wrapText="1"/>
    </xf>
    <xf numFmtId="0" fontId="11" fillId="0" borderId="54" xfId="0" applyFont="1" applyBorder="1" applyAlignment="1">
      <alignment vertical="top" wrapText="1"/>
    </xf>
    <xf numFmtId="0" fontId="11" fillId="0" borderId="80" xfId="0" applyFont="1" applyBorder="1" applyAlignment="1">
      <alignment vertical="top" wrapText="1"/>
    </xf>
    <xf numFmtId="0" fontId="11" fillId="0" borderId="60" xfId="0" applyFont="1" applyBorder="1" applyAlignment="1">
      <alignment vertical="top" wrapText="1"/>
    </xf>
    <xf numFmtId="0" fontId="11" fillId="0" borderId="56" xfId="0" applyFont="1" applyBorder="1" applyAlignment="1">
      <alignment vertical="top" wrapText="1"/>
    </xf>
    <xf numFmtId="49" fontId="23" fillId="0" borderId="86" xfId="0" applyNumberFormat="1" applyFont="1" applyBorder="1" applyAlignment="1">
      <alignment horizontal="left" vertical="center" wrapText="1"/>
    </xf>
    <xf numFmtId="22" fontId="20" fillId="0" borderId="85" xfId="0" applyNumberFormat="1" applyFont="1" applyBorder="1" applyAlignment="1">
      <alignment horizontal="right"/>
    </xf>
    <xf numFmtId="164" fontId="52" fillId="0" borderId="17" xfId="1" applyNumberFormat="1" applyFont="1" applyFill="1" applyBorder="1" applyAlignment="1">
      <alignment horizontal="right" vertical="center" wrapText="1"/>
    </xf>
    <xf numFmtId="164" fontId="45" fillId="0" borderId="24" xfId="1" applyNumberFormat="1" applyFont="1" applyFill="1" applyBorder="1" applyAlignment="1">
      <alignment vertical="center" wrapText="1"/>
    </xf>
    <xf numFmtId="164" fontId="47" fillId="0" borderId="34" xfId="1" applyNumberFormat="1" applyFont="1" applyFill="1" applyBorder="1" applyAlignment="1">
      <alignment horizontal="right" vertical="center" wrapText="1"/>
    </xf>
    <xf numFmtId="2" fontId="23" fillId="0" borderId="87" xfId="1" applyNumberFormat="1" applyFont="1" applyFill="1" applyBorder="1" applyAlignment="1">
      <alignment horizontal="right" vertical="center" wrapText="1"/>
    </xf>
    <xf numFmtId="164" fontId="23" fillId="0" borderId="19" xfId="1" applyNumberFormat="1" applyFont="1" applyFill="1" applyBorder="1" applyAlignment="1">
      <alignment vertical="center" wrapText="1"/>
    </xf>
    <xf numFmtId="0" fontId="20" fillId="2" borderId="24" xfId="0" applyFont="1" applyFill="1" applyBorder="1" applyAlignment="1">
      <alignment horizontal="center" vertical="center" wrapText="1"/>
    </xf>
    <xf numFmtId="164" fontId="35" fillId="0" borderId="29" xfId="0" applyNumberFormat="1" applyFont="1" applyBorder="1" applyAlignment="1">
      <alignment horizontal="right" vertical="center"/>
    </xf>
    <xf numFmtId="164" fontId="20" fillId="2" borderId="1" xfId="1" applyNumberFormat="1" applyFont="1" applyFill="1" applyBorder="1" applyAlignment="1">
      <alignment horizontal="center" vertical="center" wrapText="1"/>
    </xf>
    <xf numFmtId="0" fontId="0" fillId="0" borderId="1" xfId="0" applyBorder="1"/>
    <xf numFmtId="164" fontId="23" fillId="0" borderId="1" xfId="1" applyNumberFormat="1" applyFont="1" applyFill="1" applyBorder="1" applyAlignment="1">
      <alignment horizontal="right" vertical="center" wrapText="1"/>
    </xf>
    <xf numFmtId="0" fontId="28" fillId="0" borderId="1" xfId="0" applyFont="1" applyBorder="1"/>
    <xf numFmtId="49" fontId="27" fillId="0" borderId="1" xfId="0" applyNumberFormat="1" applyFont="1" applyBorder="1" applyAlignment="1">
      <alignment horizontal="left" vertical="center" wrapText="1"/>
    </xf>
    <xf numFmtId="1" fontId="27" fillId="0" borderId="1" xfId="0" applyNumberFormat="1" applyFont="1" applyBorder="1" applyAlignment="1">
      <alignment horizontal="center" vertical="center" wrapText="1"/>
    </xf>
    <xf numFmtId="49" fontId="27" fillId="0" borderId="1" xfId="0" applyNumberFormat="1" applyFont="1" applyBorder="1" applyAlignment="1">
      <alignment vertical="center" wrapText="1"/>
    </xf>
    <xf numFmtId="49" fontId="27" fillId="0" borderId="1" xfId="0" applyNumberFormat="1" applyFont="1" applyBorder="1" applyAlignment="1">
      <alignment horizontal="right" vertical="center" wrapText="1"/>
    </xf>
    <xf numFmtId="0" fontId="27" fillId="0" borderId="1" xfId="0" applyFont="1" applyBorder="1" applyAlignment="1">
      <alignment vertical="center" wrapText="1"/>
    </xf>
    <xf numFmtId="0" fontId="28" fillId="0" borderId="31" xfId="0" applyFont="1" applyBorder="1"/>
    <xf numFmtId="49" fontId="27" fillId="0" borderId="1" xfId="0" applyNumberFormat="1" applyFont="1" applyBorder="1" applyAlignment="1">
      <alignment horizontal="center" vertical="center" wrapText="1"/>
    </xf>
    <xf numFmtId="49" fontId="27" fillId="0" borderId="4" xfId="0" applyNumberFormat="1" applyFont="1" applyBorder="1" applyAlignment="1">
      <alignment horizontal="left" vertical="center" wrapText="1"/>
    </xf>
    <xf numFmtId="164" fontId="27" fillId="0" borderId="1" xfId="1" applyNumberFormat="1" applyFont="1" applyBorder="1" applyAlignment="1">
      <alignment vertical="center" wrapText="1"/>
    </xf>
    <xf numFmtId="49" fontId="27" fillId="0" borderId="18" xfId="0" applyNumberFormat="1" applyFont="1" applyBorder="1" applyAlignment="1">
      <alignment horizontal="left" vertical="center" wrapText="1"/>
    </xf>
    <xf numFmtId="0" fontId="23" fillId="11" borderId="1" xfId="0" applyFont="1" applyFill="1" applyBorder="1" applyAlignment="1">
      <alignment horizontal="center" vertical="center" wrapText="1"/>
    </xf>
    <xf numFmtId="14" fontId="29" fillId="11" borderId="1" xfId="0" applyNumberFormat="1" applyFont="1" applyFill="1" applyBorder="1" applyAlignment="1">
      <alignment horizontal="center" vertical="center" wrapText="1"/>
    </xf>
    <xf numFmtId="0" fontId="27" fillId="11" borderId="6" xfId="0" applyFont="1" applyFill="1" applyBorder="1" applyAlignment="1">
      <alignment horizontal="center" vertical="center" wrapText="1"/>
    </xf>
    <xf numFmtId="49" fontId="23" fillId="11" borderId="28" xfId="0" applyNumberFormat="1" applyFont="1" applyFill="1" applyBorder="1" applyAlignment="1">
      <alignment horizontal="center" vertical="center" wrapText="1"/>
    </xf>
    <xf numFmtId="49" fontId="23" fillId="11" borderId="18" xfId="0" applyNumberFormat="1" applyFont="1" applyFill="1" applyBorder="1" applyAlignment="1">
      <alignment horizontal="center" vertical="center" wrapText="1"/>
    </xf>
    <xf numFmtId="164" fontId="23" fillId="11" borderId="29" xfId="1" applyNumberFormat="1" applyFont="1" applyFill="1" applyBorder="1" applyAlignment="1">
      <alignment horizontal="center" vertical="center" wrapText="1"/>
    </xf>
    <xf numFmtId="164" fontId="23" fillId="11" borderId="20" xfId="1" applyNumberFormat="1" applyFont="1" applyFill="1" applyBorder="1" applyAlignment="1">
      <alignment horizontal="center" vertical="center" wrapText="1"/>
    </xf>
    <xf numFmtId="2" fontId="23" fillId="11" borderId="1" xfId="0" applyNumberFormat="1" applyFont="1" applyFill="1" applyBorder="1" applyAlignment="1">
      <alignment horizontal="center" vertical="center" wrapText="1"/>
    </xf>
    <xf numFmtId="0" fontId="38" fillId="11" borderId="0" xfId="0" applyFont="1" applyFill="1" applyAlignment="1">
      <alignment horizontal="center" vertical="center" wrapText="1"/>
    </xf>
    <xf numFmtId="164" fontId="35" fillId="11" borderId="17" xfId="0" applyNumberFormat="1" applyFont="1" applyFill="1" applyBorder="1" applyAlignment="1">
      <alignment horizontal="right" vertical="center" wrapText="1"/>
    </xf>
    <xf numFmtId="49" fontId="23" fillId="0" borderId="16" xfId="0" applyNumberFormat="1" applyFont="1" applyBorder="1" applyAlignment="1">
      <alignment horizontal="left" vertical="center" wrapText="1"/>
    </xf>
    <xf numFmtId="0" fontId="20" fillId="2" borderId="0" xfId="0" applyFont="1" applyFill="1" applyAlignment="1">
      <alignment horizontal="center" vertical="center" wrapText="1"/>
    </xf>
    <xf numFmtId="0" fontId="20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0" fillId="0" borderId="1" xfId="0" applyFont="1" applyBorder="1" applyAlignment="1">
      <alignment horizontal="right"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left" vertical="center" wrapText="1"/>
    </xf>
    <xf numFmtId="2" fontId="20" fillId="0" borderId="1" xfId="0" applyNumberFormat="1" applyFont="1" applyBorder="1" applyAlignment="1">
      <alignment horizontal="center" vertical="center" wrapText="1"/>
    </xf>
    <xf numFmtId="0" fontId="27" fillId="11" borderId="6" xfId="0" applyFont="1" applyFill="1" applyBorder="1" applyAlignment="1">
      <alignment horizontal="left" vertical="center"/>
    </xf>
    <xf numFmtId="0" fontId="37" fillId="11" borderId="1" xfId="0" applyFont="1" applyFill="1" applyBorder="1" applyAlignment="1">
      <alignment horizontal="right" wrapText="1"/>
    </xf>
    <xf numFmtId="164" fontId="32" fillId="11" borderId="15" xfId="1" applyNumberFormat="1" applyFont="1" applyFill="1" applyBorder="1" applyAlignment="1">
      <alignment horizontal="right" vertical="center" wrapText="1"/>
    </xf>
    <xf numFmtId="49" fontId="23" fillId="0" borderId="21" xfId="0" applyNumberFormat="1" applyFont="1" applyBorder="1" applyAlignment="1">
      <alignment horizontal="left" vertical="center" wrapText="1"/>
    </xf>
    <xf numFmtId="49" fontId="23" fillId="0" borderId="22" xfId="0" applyNumberFormat="1" applyFont="1" applyBorder="1" applyAlignment="1">
      <alignment horizontal="left" vertical="center" wrapText="1"/>
    </xf>
    <xf numFmtId="2" fontId="23" fillId="0" borderId="4" xfId="0" applyNumberFormat="1" applyFont="1" applyBorder="1" applyAlignment="1">
      <alignment horizontal="right" vertical="center" wrapText="1"/>
    </xf>
    <xf numFmtId="49" fontId="23" fillId="0" borderId="4" xfId="0" applyNumberFormat="1" applyFont="1" applyBorder="1" applyAlignment="1">
      <alignment vertical="center" wrapText="1"/>
    </xf>
    <xf numFmtId="164" fontId="23" fillId="0" borderId="34" xfId="1" applyNumberFormat="1" applyFont="1" applyFill="1" applyBorder="1" applyAlignment="1">
      <alignment horizontal="right" vertical="center" wrapText="1"/>
    </xf>
    <xf numFmtId="164" fontId="35" fillId="0" borderId="18" xfId="0" applyNumberFormat="1" applyFont="1" applyBorder="1" applyAlignment="1">
      <alignment horizontal="right" vertical="center"/>
    </xf>
    <xf numFmtId="164" fontId="32" fillId="0" borderId="30" xfId="1" applyNumberFormat="1" applyFont="1" applyFill="1" applyBorder="1" applyAlignment="1">
      <alignment horizontal="right" vertical="center" wrapText="1"/>
    </xf>
    <xf numFmtId="49" fontId="23" fillId="0" borderId="6" xfId="0" applyNumberFormat="1" applyFont="1" applyBorder="1" applyAlignment="1">
      <alignment vertical="center" wrapText="1"/>
    </xf>
    <xf numFmtId="164" fontId="35" fillId="0" borderId="1" xfId="0" applyNumberFormat="1" applyFont="1" applyBorder="1" applyAlignment="1">
      <alignment horizontal="right" vertical="center"/>
    </xf>
    <xf numFmtId="49" fontId="23" fillId="0" borderId="23" xfId="0" applyNumberFormat="1" applyFont="1" applyBorder="1" applyAlignment="1">
      <alignment horizontal="left" vertical="center" wrapText="1"/>
    </xf>
    <xf numFmtId="164" fontId="35" fillId="0" borderId="6" xfId="0" applyNumberFormat="1" applyFont="1" applyBorder="1" applyAlignment="1">
      <alignment horizontal="right" vertical="center"/>
    </xf>
    <xf numFmtId="164" fontId="24" fillId="0" borderId="1" xfId="0" applyNumberFormat="1" applyFont="1" applyBorder="1" applyAlignment="1">
      <alignment horizontal="right" vertical="center"/>
    </xf>
    <xf numFmtId="2" fontId="23" fillId="0" borderId="1" xfId="0" applyNumberFormat="1" applyFont="1" applyBorder="1" applyAlignment="1">
      <alignment horizontal="left" vertical="center" wrapText="1"/>
    </xf>
    <xf numFmtId="0" fontId="23" fillId="0" borderId="4" xfId="0" applyFont="1" applyBorder="1" applyAlignment="1">
      <alignment vertical="center" wrapText="1"/>
    </xf>
    <xf numFmtId="164" fontId="23" fillId="0" borderId="33" xfId="1" applyNumberFormat="1" applyFont="1" applyFill="1" applyBorder="1" applyAlignment="1">
      <alignment vertical="center" wrapText="1"/>
    </xf>
    <xf numFmtId="49" fontId="27" fillId="0" borderId="4" xfId="0" applyNumberFormat="1" applyFont="1" applyBorder="1" applyAlignment="1">
      <alignment vertical="center" wrapText="1"/>
    </xf>
    <xf numFmtId="0" fontId="16" fillId="7" borderId="21" xfId="0" applyFont="1" applyFill="1" applyBorder="1" applyAlignment="1">
      <alignment wrapText="1"/>
    </xf>
    <xf numFmtId="164" fontId="23" fillId="0" borderId="18" xfId="1" applyNumberFormat="1" applyFont="1" applyFill="1" applyBorder="1" applyAlignment="1">
      <alignment horizontal="right" vertical="center" wrapText="1"/>
    </xf>
    <xf numFmtId="49" fontId="27" fillId="0" borderId="34" xfId="0" applyNumberFormat="1" applyFont="1" applyBorder="1" applyAlignment="1">
      <alignment horizontal="left" vertical="center" wrapText="1"/>
    </xf>
    <xf numFmtId="0" fontId="20" fillId="0" borderId="4" xfId="0" applyFont="1" applyBorder="1" applyAlignment="1">
      <alignment horizontal="right"/>
    </xf>
    <xf numFmtId="14" fontId="20" fillId="0" borderId="4" xfId="0" applyNumberFormat="1" applyFont="1" applyBorder="1" applyAlignment="1">
      <alignment horizontal="right"/>
    </xf>
    <xf numFmtId="1" fontId="23" fillId="0" borderId="4" xfId="0" applyNumberFormat="1" applyFont="1" applyBorder="1" applyAlignment="1">
      <alignment horizontal="center" vertical="center" wrapText="1"/>
    </xf>
    <xf numFmtId="0" fontId="20" fillId="0" borderId="4" xfId="0" applyFont="1" applyBorder="1" applyAlignment="1">
      <alignment horizontal="left"/>
    </xf>
    <xf numFmtId="0" fontId="20" fillId="0" borderId="34" xfId="0" applyFont="1" applyBorder="1" applyAlignment="1">
      <alignment horizontal="right"/>
    </xf>
    <xf numFmtId="22" fontId="20" fillId="0" borderId="18" xfId="0" applyNumberFormat="1" applyFont="1" applyBorder="1" applyAlignment="1">
      <alignment horizontal="right"/>
    </xf>
    <xf numFmtId="49" fontId="23" fillId="7" borderId="88" xfId="0" applyNumberFormat="1" applyFont="1" applyFill="1" applyBorder="1" applyAlignment="1">
      <alignment vertical="center" wrapText="1"/>
    </xf>
    <xf numFmtId="164" fontId="23" fillId="0" borderId="24" xfId="1" applyNumberFormat="1" applyFont="1" applyBorder="1" applyAlignment="1">
      <alignment vertical="center" wrapText="1"/>
    </xf>
    <xf numFmtId="164" fontId="23" fillId="7" borderId="34" xfId="1" applyNumberFormat="1" applyFont="1" applyFill="1" applyBorder="1" applyAlignment="1">
      <alignment horizontal="right" vertical="center" wrapText="1"/>
    </xf>
    <xf numFmtId="164" fontId="32" fillId="0" borderId="18" xfId="0" applyNumberFormat="1" applyFont="1" applyBorder="1" applyAlignment="1">
      <alignment horizontal="right" vertical="center"/>
    </xf>
    <xf numFmtId="0" fontId="23" fillId="0" borderId="6" xfId="0" applyFont="1" applyBorder="1" applyAlignment="1">
      <alignment vertical="center" wrapText="1"/>
    </xf>
    <xf numFmtId="0" fontId="23" fillId="0" borderId="3" xfId="0" applyFont="1" applyBorder="1" applyAlignment="1">
      <alignment vertical="center" wrapText="1"/>
    </xf>
    <xf numFmtId="49" fontId="23" fillId="0" borderId="3" xfId="0" applyNumberFormat="1" applyFont="1" applyBorder="1" applyAlignment="1">
      <alignment vertical="center" wrapText="1"/>
    </xf>
    <xf numFmtId="164" fontId="23" fillId="0" borderId="6" xfId="1" applyNumberFormat="1" applyFont="1" applyFill="1" applyBorder="1" applyAlignment="1">
      <alignment vertical="center" wrapText="1"/>
    </xf>
    <xf numFmtId="164" fontId="23" fillId="0" borderId="6" xfId="1" applyNumberFormat="1" applyFont="1" applyFill="1" applyBorder="1" applyAlignment="1">
      <alignment horizontal="right" vertical="center" wrapText="1"/>
    </xf>
    <xf numFmtId="0" fontId="20" fillId="0" borderId="6" xfId="0" applyFont="1" applyBorder="1" applyAlignment="1">
      <alignment vertical="center"/>
    </xf>
    <xf numFmtId="49" fontId="27" fillId="0" borderId="6" xfId="0" applyNumberFormat="1" applyFont="1" applyBorder="1" applyAlignment="1">
      <alignment vertical="center" wrapText="1"/>
    </xf>
    <xf numFmtId="49" fontId="27" fillId="0" borderId="6" xfId="0" applyNumberFormat="1" applyFont="1" applyBorder="1" applyAlignment="1">
      <alignment horizontal="left" vertical="center" wrapText="1"/>
    </xf>
    <xf numFmtId="164" fontId="23" fillId="0" borderId="19" xfId="1" applyNumberFormat="1" applyFont="1" applyFill="1" applyBorder="1" applyAlignment="1">
      <alignment horizontal="right" vertical="center" wrapText="1"/>
    </xf>
    <xf numFmtId="49" fontId="23" fillId="0" borderId="6" xfId="0" applyNumberFormat="1" applyFont="1" applyBorder="1" applyAlignment="1">
      <alignment horizontal="left" vertical="center" wrapText="1"/>
    </xf>
    <xf numFmtId="164" fontId="32" fillId="0" borderId="1" xfId="1" applyNumberFormat="1" applyFont="1" applyFill="1" applyBorder="1" applyAlignment="1">
      <alignment horizontal="right" vertical="center" wrapText="1"/>
    </xf>
    <xf numFmtId="164" fontId="53" fillId="0" borderId="1" xfId="0" applyNumberFormat="1" applyFont="1" applyBorder="1" applyAlignment="1">
      <alignment vertical="center"/>
    </xf>
    <xf numFmtId="164" fontId="23" fillId="0" borderId="1" xfId="1" applyNumberFormat="1" applyFont="1" applyFill="1" applyBorder="1" applyAlignment="1">
      <alignment horizontal="right" vertical="center"/>
    </xf>
    <xf numFmtId="164" fontId="54" fillId="6" borderId="1" xfId="1" applyNumberFormat="1" applyFont="1" applyFill="1" applyBorder="1"/>
    <xf numFmtId="49" fontId="27" fillId="0" borderId="86" xfId="0" applyNumberFormat="1" applyFont="1" applyBorder="1" applyAlignment="1">
      <alignment horizontal="left" vertical="center" wrapText="1"/>
    </xf>
    <xf numFmtId="49" fontId="23" fillId="0" borderId="3" xfId="0" applyNumberFormat="1" applyFont="1" applyBorder="1" applyAlignment="1">
      <alignment horizontal="left" vertical="center" wrapText="1"/>
    </xf>
    <xf numFmtId="0" fontId="20" fillId="2" borderId="4" xfId="0" applyFont="1" applyFill="1" applyBorder="1" applyAlignment="1">
      <alignment vertical="center"/>
    </xf>
    <xf numFmtId="0" fontId="20" fillId="2" borderId="4" xfId="0" applyFont="1" applyFill="1" applyBorder="1" applyAlignment="1">
      <alignment horizontal="left" vertical="center"/>
    </xf>
    <xf numFmtId="0" fontId="20" fillId="2" borderId="4" xfId="0" applyFont="1" applyFill="1" applyBorder="1" applyAlignment="1">
      <alignment horizontal="left" vertical="center" wrapText="1"/>
    </xf>
    <xf numFmtId="164" fontId="20" fillId="2" borderId="4" xfId="1" applyNumberFormat="1" applyFont="1" applyFill="1" applyBorder="1" applyAlignment="1">
      <alignment horizontal="center" vertical="center" wrapText="1"/>
    </xf>
    <xf numFmtId="0" fontId="27" fillId="0" borderId="4" xfId="0" applyFont="1" applyBorder="1" applyAlignment="1">
      <alignment vertical="center" wrapText="1"/>
    </xf>
    <xf numFmtId="49" fontId="27" fillId="0" borderId="4" xfId="0" applyNumberFormat="1" applyFont="1" applyBorder="1" applyAlignment="1">
      <alignment horizontal="right" vertical="center" wrapText="1"/>
    </xf>
    <xf numFmtId="1" fontId="27" fillId="0" borderId="4" xfId="0" applyNumberFormat="1" applyFont="1" applyBorder="1" applyAlignment="1">
      <alignment horizontal="center" vertical="center" wrapText="1"/>
    </xf>
    <xf numFmtId="49" fontId="27" fillId="0" borderId="34" xfId="0" applyNumberFormat="1" applyFont="1" applyBorder="1" applyAlignment="1">
      <alignment horizontal="right" vertical="center" wrapText="1"/>
    </xf>
    <xf numFmtId="0" fontId="29" fillId="0" borderId="18" xfId="0" applyFont="1" applyBorder="1" applyAlignment="1">
      <alignment horizontal="right" wrapText="1"/>
    </xf>
    <xf numFmtId="49" fontId="27" fillId="0" borderId="88" xfId="0" applyNumberFormat="1" applyFont="1" applyBorder="1" applyAlignment="1">
      <alignment vertical="center" wrapText="1"/>
    </xf>
    <xf numFmtId="0" fontId="29" fillId="0" borderId="4" xfId="0" applyFont="1" applyBorder="1" applyAlignment="1">
      <alignment wrapText="1"/>
    </xf>
    <xf numFmtId="164" fontId="52" fillId="0" borderId="34" xfId="1" applyNumberFormat="1" applyFont="1" applyFill="1" applyBorder="1" applyAlignment="1">
      <alignment horizontal="right" vertical="center" wrapText="1"/>
    </xf>
    <xf numFmtId="164" fontId="23" fillId="0" borderId="4" xfId="1" applyNumberFormat="1" applyFont="1" applyFill="1" applyBorder="1" applyAlignment="1">
      <alignment horizontal="right" vertical="center" wrapText="1"/>
    </xf>
    <xf numFmtId="164" fontId="35" fillId="0" borderId="4" xfId="0" applyNumberFormat="1" applyFont="1" applyBorder="1" applyAlignment="1">
      <alignment horizontal="right" vertical="center"/>
    </xf>
    <xf numFmtId="164" fontId="23" fillId="0" borderId="3" xfId="1" applyNumberFormat="1" applyFont="1" applyFill="1" applyBorder="1" applyAlignment="1">
      <alignment vertical="center" wrapText="1"/>
    </xf>
    <xf numFmtId="164" fontId="23" fillId="0" borderId="3" xfId="1" applyNumberFormat="1" applyFont="1" applyFill="1" applyBorder="1" applyAlignment="1">
      <alignment horizontal="right" vertical="center" wrapText="1"/>
    </xf>
    <xf numFmtId="0" fontId="20" fillId="0" borderId="3" xfId="0" applyFont="1" applyBorder="1" applyAlignment="1">
      <alignment vertical="center"/>
    </xf>
    <xf numFmtId="164" fontId="35" fillId="0" borderId="3" xfId="0" applyNumberFormat="1" applyFont="1" applyBorder="1" applyAlignment="1">
      <alignment horizontal="right" vertical="center"/>
    </xf>
    <xf numFmtId="49" fontId="27" fillId="0" borderId="3" xfId="0" applyNumberFormat="1" applyFont="1" applyBorder="1" applyAlignment="1">
      <alignment vertical="center" wrapText="1"/>
    </xf>
    <xf numFmtId="49" fontId="27" fillId="0" borderId="3" xfId="0" applyNumberFormat="1" applyFont="1" applyBorder="1" applyAlignment="1">
      <alignment horizontal="left" vertical="center" wrapText="1"/>
    </xf>
    <xf numFmtId="164" fontId="32" fillId="0" borderId="34" xfId="1" applyNumberFormat="1" applyFont="1" applyFill="1" applyBorder="1" applyAlignment="1">
      <alignment horizontal="right" vertical="center" wrapText="1"/>
    </xf>
    <xf numFmtId="0" fontId="27" fillId="0" borderId="6" xfId="0" applyFont="1" applyBorder="1" applyAlignment="1">
      <alignment vertical="center" wrapText="1"/>
    </xf>
    <xf numFmtId="0" fontId="28" fillId="0" borderId="6" xfId="0" applyFont="1" applyBorder="1"/>
    <xf numFmtId="49" fontId="27" fillId="0" borderId="6" xfId="0" applyNumberFormat="1" applyFont="1" applyBorder="1" applyAlignment="1">
      <alignment horizontal="right" vertical="center" wrapText="1"/>
    </xf>
    <xf numFmtId="1" fontId="27" fillId="0" borderId="6" xfId="0" applyNumberFormat="1" applyFont="1" applyBorder="1" applyAlignment="1">
      <alignment horizontal="center" vertical="center" wrapText="1"/>
    </xf>
    <xf numFmtId="0" fontId="28" fillId="0" borderId="30" xfId="0" applyFont="1" applyBorder="1" applyAlignment="1">
      <alignment horizontal="right"/>
    </xf>
    <xf numFmtId="22" fontId="28" fillId="0" borderId="85" xfId="0" applyNumberFormat="1" applyFont="1" applyBorder="1" applyAlignment="1">
      <alignment horizontal="right"/>
    </xf>
    <xf numFmtId="49" fontId="27" fillId="0" borderId="86" xfId="0" applyNumberFormat="1" applyFont="1" applyBorder="1" applyAlignment="1">
      <alignment vertical="center" wrapText="1"/>
    </xf>
    <xf numFmtId="49" fontId="27" fillId="0" borderId="30" xfId="0" applyNumberFormat="1" applyFont="1" applyBorder="1" applyAlignment="1">
      <alignment horizontal="right" vertical="center" wrapText="1"/>
    </xf>
    <xf numFmtId="0" fontId="29" fillId="0" borderId="85" xfId="0" applyFont="1" applyBorder="1" applyAlignment="1">
      <alignment horizontal="right" wrapText="1"/>
    </xf>
    <xf numFmtId="0" fontId="29" fillId="0" borderId="6" xfId="0" applyFont="1" applyBorder="1" applyAlignment="1">
      <alignment wrapText="1"/>
    </xf>
    <xf numFmtId="0" fontId="16" fillId="0" borderId="6" xfId="0" applyFont="1" applyBorder="1" applyAlignment="1">
      <alignment wrapText="1"/>
    </xf>
    <xf numFmtId="2" fontId="20" fillId="0" borderId="89" xfId="0" applyNumberFormat="1" applyFont="1" applyBorder="1"/>
    <xf numFmtId="0" fontId="27" fillId="0" borderId="3" xfId="0" applyFont="1" applyBorder="1" applyAlignment="1">
      <alignment vertical="center" wrapText="1"/>
    </xf>
    <xf numFmtId="49" fontId="27" fillId="0" borderId="3" xfId="0" applyNumberFormat="1" applyFont="1" applyBorder="1" applyAlignment="1">
      <alignment horizontal="right" vertical="center" wrapText="1"/>
    </xf>
    <xf numFmtId="14" fontId="27" fillId="0" borderId="3" xfId="0" applyNumberFormat="1" applyFont="1" applyBorder="1" applyAlignment="1">
      <alignment horizontal="right" vertical="center" wrapText="1"/>
    </xf>
    <xf numFmtId="1" fontId="27" fillId="0" borderId="3" xfId="0" applyNumberFormat="1" applyFont="1" applyBorder="1" applyAlignment="1">
      <alignment horizontal="center" vertical="center" wrapText="1"/>
    </xf>
    <xf numFmtId="49" fontId="27" fillId="0" borderId="36" xfId="0" applyNumberFormat="1" applyFont="1" applyBorder="1" applyAlignment="1">
      <alignment horizontal="right" vertical="center" wrapText="1"/>
    </xf>
    <xf numFmtId="22" fontId="29" fillId="0" borderId="31" xfId="0" applyNumberFormat="1" applyFont="1" applyBorder="1" applyAlignment="1">
      <alignment horizontal="right" wrapText="1"/>
    </xf>
    <xf numFmtId="49" fontId="27" fillId="0" borderId="27" xfId="0" applyNumberFormat="1" applyFont="1" applyBorder="1" applyAlignment="1">
      <alignment vertical="center" wrapText="1"/>
    </xf>
    <xf numFmtId="164" fontId="51" fillId="0" borderId="31" xfId="0" applyNumberFormat="1" applyFont="1" applyBorder="1" applyAlignment="1">
      <alignment horizontal="right" vertical="center"/>
    </xf>
    <xf numFmtId="0" fontId="16" fillId="7" borderId="90" xfId="0" applyFont="1" applyFill="1" applyBorder="1" applyAlignment="1">
      <alignment wrapText="1"/>
    </xf>
    <xf numFmtId="164" fontId="23" fillId="0" borderId="89" xfId="1" applyNumberFormat="1" applyFont="1" applyFill="1" applyBorder="1" applyAlignment="1">
      <alignment vertical="center" wrapText="1"/>
    </xf>
    <xf numFmtId="0" fontId="16" fillId="7" borderId="22" xfId="0" applyFont="1" applyFill="1" applyBorder="1" applyAlignment="1">
      <alignment wrapText="1"/>
    </xf>
    <xf numFmtId="164" fontId="52" fillId="0" borderId="30" xfId="1" applyNumberFormat="1" applyFont="1" applyFill="1" applyBorder="1" applyAlignment="1">
      <alignment horizontal="right" vertical="center" wrapText="1"/>
    </xf>
    <xf numFmtId="0" fontId="53" fillId="0" borderId="3" xfId="0" applyFont="1" applyBorder="1"/>
    <xf numFmtId="0" fontId="45" fillId="0" borderId="6" xfId="0" applyFont="1" applyBorder="1" applyAlignment="1">
      <alignment vertical="center" wrapText="1"/>
    </xf>
    <xf numFmtId="49" fontId="45" fillId="0" borderId="6" xfId="0" applyNumberFormat="1" applyFont="1" applyBorder="1" applyAlignment="1">
      <alignment horizontal="left" vertical="center" wrapText="1"/>
    </xf>
    <xf numFmtId="164" fontId="45" fillId="0" borderId="35" xfId="1" applyNumberFormat="1" applyFont="1" applyFill="1" applyBorder="1" applyAlignment="1">
      <alignment vertical="center" wrapText="1"/>
    </xf>
    <xf numFmtId="164" fontId="47" fillId="0" borderId="36" xfId="1" applyNumberFormat="1" applyFont="1" applyFill="1" applyBorder="1" applyAlignment="1">
      <alignment horizontal="right" vertical="center" wrapText="1"/>
    </xf>
    <xf numFmtId="0" fontId="48" fillId="0" borderId="6" xfId="0" applyFont="1" applyBorder="1"/>
    <xf numFmtId="164" fontId="45" fillId="0" borderId="30" xfId="1" applyNumberFormat="1" applyFont="1" applyFill="1" applyBorder="1" applyAlignment="1">
      <alignment horizontal="right" vertical="center" wrapText="1"/>
    </xf>
    <xf numFmtId="164" fontId="49" fillId="0" borderId="19" xfId="0" applyNumberFormat="1" applyFont="1" applyBorder="1" applyAlignment="1">
      <alignment horizontal="right" vertical="center"/>
    </xf>
    <xf numFmtId="0" fontId="20" fillId="0" borderId="1" xfId="0" applyFont="1" applyBorder="1" applyAlignment="1">
      <alignment horizontal="right" vertical="center" wrapText="1"/>
    </xf>
    <xf numFmtId="0" fontId="33" fillId="0" borderId="1" xfId="0" applyFont="1" applyBorder="1" applyAlignment="1">
      <alignment wrapText="1"/>
    </xf>
    <xf numFmtId="164" fontId="32" fillId="0" borderId="1" xfId="1" applyNumberFormat="1" applyFont="1" applyFill="1" applyBorder="1" applyAlignment="1">
      <alignment vertical="center" wrapText="1"/>
    </xf>
    <xf numFmtId="0" fontId="29" fillId="0" borderId="1" xfId="0" applyFont="1" applyBorder="1" applyAlignment="1">
      <alignment horizontal="right" wrapText="1"/>
    </xf>
    <xf numFmtId="2" fontId="23" fillId="0" borderId="1" xfId="0" applyNumberFormat="1" applyFont="1" applyBorder="1" applyAlignment="1">
      <alignment vertical="center" wrapText="1"/>
    </xf>
    <xf numFmtId="2" fontId="23" fillId="0" borderId="1" xfId="1" applyNumberFormat="1" applyFont="1" applyFill="1" applyBorder="1" applyAlignment="1">
      <alignment horizontal="right" vertical="center" wrapText="1"/>
    </xf>
    <xf numFmtId="22" fontId="27" fillId="0" borderId="1" xfId="0" applyNumberFormat="1" applyFont="1" applyBorder="1" applyAlignment="1">
      <alignment horizontal="right" wrapText="1"/>
    </xf>
    <xf numFmtId="3" fontId="6" fillId="0" borderId="4" xfId="0" applyNumberFormat="1" applyFont="1" applyBorder="1" applyAlignment="1">
      <alignment vertical="center" wrapText="1"/>
    </xf>
    <xf numFmtId="164" fontId="24" fillId="0" borderId="4" xfId="0" applyNumberFormat="1" applyFont="1" applyBorder="1" applyAlignment="1">
      <alignment horizontal="right" vertical="center"/>
    </xf>
    <xf numFmtId="164" fontId="23" fillId="0" borderId="0" xfId="1" applyNumberFormat="1" applyFont="1" applyFill="1" applyBorder="1" applyAlignment="1">
      <alignment vertical="center" wrapText="1"/>
    </xf>
    <xf numFmtId="164" fontId="23" fillId="0" borderId="31" xfId="1" applyNumberFormat="1" applyFont="1" applyFill="1" applyBorder="1" applyAlignment="1">
      <alignment horizontal="right" vertical="center" wrapText="1"/>
    </xf>
    <xf numFmtId="164" fontId="35" fillId="0" borderId="31" xfId="0" applyNumberFormat="1" applyFont="1" applyBorder="1" applyAlignment="1">
      <alignment horizontal="right" vertical="center"/>
    </xf>
    <xf numFmtId="164" fontId="24" fillId="0" borderId="6" xfId="0" applyNumberFormat="1" applyFont="1" applyBorder="1" applyAlignment="1">
      <alignment horizontal="right" vertical="center"/>
    </xf>
    <xf numFmtId="0" fontId="55" fillId="0" borderId="3" xfId="0" applyFont="1" applyBorder="1" applyAlignment="1">
      <alignment vertical="center" wrapText="1"/>
    </xf>
    <xf numFmtId="164" fontId="55" fillId="0" borderId="89" xfId="1" applyNumberFormat="1" applyFont="1" applyFill="1" applyBorder="1" applyAlignment="1">
      <alignment vertical="center" wrapText="1"/>
    </xf>
    <xf numFmtId="164" fontId="55" fillId="0" borderId="36" xfId="1" applyNumberFormat="1" applyFont="1" applyFill="1" applyBorder="1" applyAlignment="1">
      <alignment horizontal="right" vertical="center" wrapText="1"/>
    </xf>
    <xf numFmtId="0" fontId="55" fillId="0" borderId="3" xfId="0" applyFont="1" applyBorder="1"/>
    <xf numFmtId="164" fontId="55" fillId="0" borderId="31" xfId="0" applyNumberFormat="1" applyFont="1" applyBorder="1" applyAlignment="1">
      <alignment horizontal="right" vertical="center"/>
    </xf>
    <xf numFmtId="0" fontId="55" fillId="0" borderId="1" xfId="0" applyFont="1" applyBorder="1" applyAlignment="1">
      <alignment vertical="center" wrapText="1"/>
    </xf>
    <xf numFmtId="2" fontId="24" fillId="0" borderId="1" xfId="0" applyNumberFormat="1" applyFont="1" applyBorder="1" applyAlignment="1">
      <alignment horizontal="left" vertical="center" wrapText="1"/>
    </xf>
    <xf numFmtId="164" fontId="24" fillId="0" borderId="1" xfId="1" applyNumberFormat="1" applyFont="1" applyFill="1" applyBorder="1" applyAlignment="1">
      <alignment vertical="center" wrapText="1"/>
    </xf>
    <xf numFmtId="0" fontId="55" fillId="0" borderId="1" xfId="0" applyFont="1" applyBorder="1"/>
    <xf numFmtId="49" fontId="27" fillId="6" borderId="4" xfId="0" applyNumberFormat="1" applyFont="1" applyFill="1" applyBorder="1" applyAlignment="1">
      <alignment vertical="center" wrapText="1"/>
    </xf>
    <xf numFmtId="164" fontId="23" fillId="6" borderId="4" xfId="1" applyNumberFormat="1" applyFont="1" applyFill="1" applyBorder="1" applyAlignment="1">
      <alignment horizontal="right" vertical="center" wrapText="1"/>
    </xf>
    <xf numFmtId="2" fontId="23" fillId="6" borderId="4" xfId="0" applyNumberFormat="1" applyFont="1" applyFill="1" applyBorder="1" applyAlignment="1">
      <alignment horizontal="right" vertical="center" wrapText="1"/>
    </xf>
    <xf numFmtId="164" fontId="35" fillId="6" borderId="4" xfId="0" applyNumberFormat="1" applyFont="1" applyFill="1" applyBorder="1" applyAlignment="1">
      <alignment horizontal="right" vertical="center"/>
    </xf>
    <xf numFmtId="0" fontId="20" fillId="6" borderId="0" xfId="0" applyFont="1" applyFill="1"/>
    <xf numFmtId="49" fontId="27" fillId="6" borderId="1" xfId="0" applyNumberFormat="1" applyFont="1" applyFill="1" applyBorder="1" applyAlignment="1">
      <alignment vertical="center" wrapText="1"/>
    </xf>
    <xf numFmtId="49" fontId="27" fillId="6" borderId="1" xfId="0" applyNumberFormat="1" applyFont="1" applyFill="1" applyBorder="1" applyAlignment="1">
      <alignment horizontal="left" vertical="center" wrapText="1"/>
    </xf>
    <xf numFmtId="164" fontId="52" fillId="6" borderId="1" xfId="1" applyNumberFormat="1" applyFont="1" applyFill="1" applyBorder="1" applyAlignment="1">
      <alignment horizontal="right" vertical="center" wrapText="1"/>
    </xf>
    <xf numFmtId="164" fontId="23" fillId="6" borderId="1" xfId="1" applyNumberFormat="1" applyFont="1" applyFill="1" applyBorder="1" applyAlignment="1">
      <alignment horizontal="right" vertical="center" wrapText="1"/>
    </xf>
    <xf numFmtId="164" fontId="35" fillId="6" borderId="1" xfId="0" applyNumberFormat="1" applyFont="1" applyFill="1" applyBorder="1" applyAlignment="1">
      <alignment horizontal="right" vertical="center"/>
    </xf>
    <xf numFmtId="2" fontId="27" fillId="6" borderId="1" xfId="0" applyNumberFormat="1" applyFont="1" applyFill="1" applyBorder="1" applyAlignment="1">
      <alignment horizontal="left" vertical="center" wrapText="1"/>
    </xf>
    <xf numFmtId="0" fontId="59" fillId="0" borderId="0" xfId="0" applyFont="1"/>
    <xf numFmtId="0" fontId="59" fillId="0" borderId="0" xfId="0" applyFont="1" applyAlignment="1">
      <alignment vertical="center"/>
    </xf>
    <xf numFmtId="0" fontId="58" fillId="0" borderId="0" xfId="0" applyFont="1" applyAlignment="1">
      <alignment horizontal="center" vertical="center"/>
    </xf>
    <xf numFmtId="0" fontId="58" fillId="0" borderId="0" xfId="0" applyFont="1"/>
    <xf numFmtId="0" fontId="58" fillId="0" borderId="0" xfId="0" applyFont="1" applyAlignment="1">
      <alignment vertical="center"/>
    </xf>
    <xf numFmtId="0" fontId="28" fillId="0" borderId="0" xfId="0" applyFont="1"/>
    <xf numFmtId="0" fontId="58" fillId="6" borderId="0" xfId="0" applyFont="1" applyFill="1"/>
    <xf numFmtId="0" fontId="59" fillId="0" borderId="0" xfId="0" applyFont="1" applyAlignment="1">
      <alignment horizontal="right"/>
    </xf>
    <xf numFmtId="0" fontId="59" fillId="0" borderId="0" xfId="0" applyFont="1" applyAlignment="1">
      <alignment horizontal="left"/>
    </xf>
    <xf numFmtId="2" fontId="59" fillId="0" borderId="0" xfId="0" applyNumberFormat="1" applyFont="1"/>
    <xf numFmtId="2" fontId="27" fillId="0" borderId="1" xfId="0" applyNumberFormat="1" applyFont="1" applyBorder="1" applyAlignment="1">
      <alignment vertical="center" wrapText="1"/>
    </xf>
    <xf numFmtId="164" fontId="27" fillId="0" borderId="1" xfId="1" applyNumberFormat="1" applyFont="1" applyBorder="1" applyAlignment="1">
      <alignment horizontal="right" vertical="center" wrapText="1"/>
    </xf>
    <xf numFmtId="164" fontId="27" fillId="0" borderId="85" xfId="1" applyNumberFormat="1" applyFont="1" applyBorder="1" applyAlignment="1">
      <alignment vertical="center" wrapText="1"/>
    </xf>
    <xf numFmtId="164" fontId="27" fillId="0" borderId="30" xfId="1" applyNumberFormat="1" applyFont="1" applyBorder="1" applyAlignment="1">
      <alignment horizontal="right" vertical="center" wrapText="1"/>
    </xf>
    <xf numFmtId="164" fontId="27" fillId="0" borderId="24" xfId="1" applyNumberFormat="1" applyFont="1" applyBorder="1" applyAlignment="1">
      <alignment vertical="center" wrapText="1"/>
    </xf>
    <xf numFmtId="164" fontId="27" fillId="0" borderId="34" xfId="1" applyNumberFormat="1" applyFont="1" applyBorder="1" applyAlignment="1">
      <alignment horizontal="right" vertical="center" wrapText="1"/>
    </xf>
    <xf numFmtId="164" fontId="27" fillId="0" borderId="36" xfId="1" applyNumberFormat="1" applyFont="1" applyBorder="1" applyAlignment="1">
      <alignment horizontal="right" vertical="center" wrapText="1"/>
    </xf>
    <xf numFmtId="0" fontId="28" fillId="0" borderId="4" xfId="0" applyFont="1" applyBorder="1"/>
    <xf numFmtId="49" fontId="28" fillId="0" borderId="0" xfId="1" applyNumberFormat="1" applyFont="1" applyAlignment="1">
      <alignment horizontal="center" vertical="center"/>
    </xf>
    <xf numFmtId="49" fontId="28" fillId="0" borderId="0" xfId="0" applyNumberFormat="1" applyFont="1" applyAlignment="1">
      <alignment horizontal="center" vertical="center"/>
    </xf>
    <xf numFmtId="164" fontId="27" fillId="0" borderId="6" xfId="1" applyNumberFormat="1" applyFont="1" applyBorder="1" applyAlignment="1">
      <alignment horizontal="right" vertical="center" wrapText="1"/>
    </xf>
    <xf numFmtId="164" fontId="27" fillId="0" borderId="3" xfId="1" applyNumberFormat="1" applyFont="1" applyBorder="1" applyAlignment="1">
      <alignment vertical="center" wrapText="1"/>
    </xf>
    <xf numFmtId="164" fontId="27" fillId="0" borderId="3" xfId="1" applyNumberFormat="1" applyFont="1" applyBorder="1" applyAlignment="1">
      <alignment horizontal="right" vertical="center" wrapText="1"/>
    </xf>
    <xf numFmtId="164" fontId="27" fillId="0" borderId="4" xfId="1" applyNumberFormat="1" applyFont="1" applyBorder="1" applyAlignment="1">
      <alignment vertical="center" wrapText="1"/>
    </xf>
    <xf numFmtId="164" fontId="27" fillId="0" borderId="4" xfId="1" applyNumberFormat="1" applyFont="1" applyBorder="1" applyAlignment="1">
      <alignment horizontal="right" vertical="center" wrapText="1"/>
    </xf>
    <xf numFmtId="164" fontId="45" fillId="0" borderId="35" xfId="1" applyNumberFormat="1" applyFont="1" applyBorder="1" applyAlignment="1">
      <alignment vertical="center" wrapText="1"/>
    </xf>
    <xf numFmtId="164" fontId="47" fillId="0" borderId="36" xfId="1" applyNumberFormat="1" applyFont="1" applyBorder="1" applyAlignment="1">
      <alignment horizontal="right" vertical="center" wrapText="1"/>
    </xf>
    <xf numFmtId="164" fontId="45" fillId="0" borderId="30" xfId="1" applyNumberFormat="1" applyFont="1" applyBorder="1" applyAlignment="1">
      <alignment horizontal="right" vertical="center" wrapText="1"/>
    </xf>
    <xf numFmtId="164" fontId="27" fillId="0" borderId="18" xfId="1" applyNumberFormat="1" applyFont="1" applyBorder="1" applyAlignment="1">
      <alignment vertical="center" wrapText="1"/>
    </xf>
    <xf numFmtId="0" fontId="27" fillId="6" borderId="1" xfId="0" applyFont="1" applyFill="1" applyBorder="1" applyAlignment="1">
      <alignment vertical="center" wrapText="1"/>
    </xf>
    <xf numFmtId="0" fontId="28" fillId="6" borderId="1" xfId="0" applyFont="1" applyFill="1" applyBorder="1"/>
    <xf numFmtId="164" fontId="27" fillId="6" borderId="1" xfId="1" applyNumberFormat="1" applyFont="1" applyFill="1" applyBorder="1" applyAlignment="1">
      <alignment horizontal="right" vertical="center" wrapText="1"/>
    </xf>
    <xf numFmtId="0" fontId="28" fillId="0" borderId="1" xfId="0" applyFont="1" applyBorder="1" applyAlignment="1">
      <alignment horizontal="right"/>
    </xf>
    <xf numFmtId="0" fontId="60" fillId="0" borderId="0" xfId="0" applyFont="1"/>
    <xf numFmtId="0" fontId="61" fillId="14" borderId="0" xfId="0" applyFont="1" applyFill="1"/>
    <xf numFmtId="3" fontId="28" fillId="0" borderId="0" xfId="0" applyNumberFormat="1" applyFont="1"/>
    <xf numFmtId="0" fontId="62" fillId="0" borderId="0" xfId="0" applyFont="1"/>
    <xf numFmtId="22" fontId="29" fillId="0" borderId="85" xfId="0" applyNumberFormat="1" applyFont="1" applyBorder="1" applyAlignment="1">
      <alignment horizontal="right" wrapText="1"/>
    </xf>
    <xf numFmtId="22" fontId="29" fillId="0" borderId="1" xfId="0" applyNumberFormat="1" applyFont="1" applyBorder="1" applyAlignment="1">
      <alignment horizontal="right" wrapText="1"/>
    </xf>
    <xf numFmtId="0" fontId="27" fillId="11" borderId="1" xfId="0" applyFont="1" applyFill="1" applyBorder="1" applyAlignment="1">
      <alignment horizontal="center" vertical="center" wrapText="1"/>
    </xf>
    <xf numFmtId="164" fontId="23" fillId="11" borderId="1" xfId="1" applyNumberFormat="1" applyFont="1" applyFill="1" applyBorder="1" applyAlignment="1">
      <alignment horizontal="center" vertical="center" wrapText="1"/>
    </xf>
    <xf numFmtId="0" fontId="38" fillId="11" borderId="1" xfId="0" applyFont="1" applyFill="1" applyBorder="1" applyAlignment="1">
      <alignment horizontal="center" vertical="center" wrapText="1"/>
    </xf>
    <xf numFmtId="164" fontId="35" fillId="11" borderId="29" xfId="0" applyNumberFormat="1" applyFont="1" applyFill="1" applyBorder="1" applyAlignment="1">
      <alignment horizontal="right" vertical="center" wrapText="1"/>
    </xf>
    <xf numFmtId="0" fontId="0" fillId="11" borderId="0" xfId="0" applyFill="1" applyAlignment="1">
      <alignment wrapText="1"/>
    </xf>
    <xf numFmtId="49" fontId="23" fillId="0" borderId="86" xfId="0" applyNumberFormat="1" applyFont="1" applyBorder="1" applyAlignment="1">
      <alignment vertical="center" wrapText="1"/>
    </xf>
    <xf numFmtId="0" fontId="20" fillId="0" borderId="6" xfId="0" applyFont="1" applyBorder="1" applyAlignment="1">
      <alignment horizontal="left"/>
    </xf>
    <xf numFmtId="49" fontId="23" fillId="0" borderId="6" xfId="0" applyNumberFormat="1" applyFont="1" applyBorder="1" applyAlignment="1">
      <alignment horizontal="right" vertical="center" wrapText="1"/>
    </xf>
    <xf numFmtId="0" fontId="28" fillId="0" borderId="6" xfId="0" applyFont="1" applyBorder="1" applyAlignment="1">
      <alignment horizontal="left"/>
    </xf>
    <xf numFmtId="0" fontId="28" fillId="0" borderId="31" xfId="0" applyFont="1" applyBorder="1" applyAlignment="1">
      <alignment horizontal="left"/>
    </xf>
    <xf numFmtId="0" fontId="28" fillId="0" borderId="1" xfId="0" applyFont="1" applyBorder="1" applyAlignment="1">
      <alignment horizontal="left"/>
    </xf>
    <xf numFmtId="0" fontId="20" fillId="0" borderId="19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2" fontId="27" fillId="0" borderId="1" xfId="0" applyNumberFormat="1" applyFont="1" applyBorder="1" applyAlignment="1">
      <alignment horizontal="left" vertical="center" wrapText="1"/>
    </xf>
    <xf numFmtId="164" fontId="27" fillId="0" borderId="4" xfId="1" applyNumberFormat="1" applyFont="1" applyFill="1" applyBorder="1" applyAlignment="1">
      <alignment vertical="center" wrapText="1"/>
    </xf>
    <xf numFmtId="164" fontId="27" fillId="0" borderId="4" xfId="1" applyNumberFormat="1" applyFont="1" applyFill="1" applyBorder="1" applyAlignment="1">
      <alignment horizontal="right" vertical="center" wrapText="1"/>
    </xf>
    <xf numFmtId="0" fontId="20" fillId="0" borderId="31" xfId="0" applyFont="1" applyBorder="1" applyAlignment="1">
      <alignment vertical="center"/>
    </xf>
    <xf numFmtId="164" fontId="51" fillId="0" borderId="1" xfId="1" applyNumberFormat="1" applyFont="1" applyBorder="1" applyAlignment="1">
      <alignment horizontal="right" vertical="center" wrapText="1"/>
    </xf>
    <xf numFmtId="164" fontId="51" fillId="0" borderId="1" xfId="0" applyNumberFormat="1" applyFont="1" applyBorder="1" applyAlignment="1">
      <alignment horizontal="right" vertical="center"/>
    </xf>
    <xf numFmtId="49" fontId="27" fillId="0" borderId="88" xfId="0" applyNumberFormat="1" applyFont="1" applyBorder="1" applyAlignment="1">
      <alignment horizontal="left" vertical="center" wrapText="1"/>
    </xf>
    <xf numFmtId="22" fontId="29" fillId="0" borderId="33" xfId="0" applyNumberFormat="1" applyFont="1" applyBorder="1" applyAlignment="1">
      <alignment horizontal="right" wrapText="1"/>
    </xf>
    <xf numFmtId="0" fontId="54" fillId="0" borderId="0" xfId="0" applyFont="1"/>
    <xf numFmtId="14" fontId="20" fillId="0" borderId="1" xfId="0" applyNumberFormat="1" applyFont="1" applyBorder="1" applyAlignment="1">
      <alignment horizontal="right" vertical="center"/>
    </xf>
    <xf numFmtId="22" fontId="20" fillId="0" borderId="1" xfId="0" applyNumberFormat="1" applyFont="1" applyBorder="1" applyAlignment="1">
      <alignment horizontal="right" vertical="center"/>
    </xf>
    <xf numFmtId="164" fontId="23" fillId="0" borderId="1" xfId="1" applyNumberFormat="1" applyFont="1" applyBorder="1" applyAlignment="1">
      <alignment horizontal="right" vertical="center" wrapText="1"/>
    </xf>
    <xf numFmtId="164" fontId="23" fillId="0" borderId="30" xfId="1" applyNumberFormat="1" applyFont="1" applyBorder="1" applyAlignment="1">
      <alignment horizontal="right" vertical="center" wrapText="1"/>
    </xf>
    <xf numFmtId="49" fontId="23" fillId="0" borderId="4" xfId="0" applyNumberFormat="1" applyFont="1" applyBorder="1" applyAlignment="1">
      <alignment horizontal="right" vertical="center" wrapText="1"/>
    </xf>
    <xf numFmtId="49" fontId="23" fillId="0" borderId="34" xfId="0" applyNumberFormat="1" applyFont="1" applyBorder="1" applyAlignment="1">
      <alignment horizontal="right" vertical="center" wrapText="1"/>
    </xf>
    <xf numFmtId="49" fontId="23" fillId="0" borderId="33" xfId="0" applyNumberFormat="1" applyFont="1" applyBorder="1" applyAlignment="1">
      <alignment horizontal="right" vertical="center" wrapText="1"/>
    </xf>
    <xf numFmtId="49" fontId="23" fillId="0" borderId="88" xfId="0" applyNumberFormat="1" applyFont="1" applyBorder="1" applyAlignment="1">
      <alignment vertical="center" wrapText="1"/>
    </xf>
    <xf numFmtId="164" fontId="23" fillId="0" borderId="33" xfId="1" applyNumberFormat="1" applyFont="1" applyBorder="1" applyAlignment="1">
      <alignment vertical="center" wrapText="1"/>
    </xf>
    <xf numFmtId="164" fontId="23" fillId="0" borderId="36" xfId="1" applyNumberFormat="1" applyFont="1" applyBorder="1" applyAlignment="1">
      <alignment horizontal="right" vertical="center" wrapText="1"/>
    </xf>
    <xf numFmtId="164" fontId="23" fillId="0" borderId="34" xfId="1" applyNumberFormat="1" applyFont="1" applyBorder="1" applyAlignment="1">
      <alignment horizontal="right" vertical="center" wrapText="1"/>
    </xf>
    <xf numFmtId="22" fontId="31" fillId="0" borderId="1" xfId="0" applyNumberFormat="1" applyFont="1" applyBorder="1" applyAlignment="1">
      <alignment horizontal="right" wrapText="1"/>
    </xf>
    <xf numFmtId="164" fontId="32" fillId="0" borderId="1" xfId="1" applyNumberFormat="1" applyFont="1" applyBorder="1" applyAlignment="1">
      <alignment horizontal="right" vertical="center" wrapText="1"/>
    </xf>
    <xf numFmtId="0" fontId="32" fillId="0" borderId="20" xfId="0" applyFont="1" applyBorder="1" applyAlignment="1">
      <alignment horizontal="left"/>
    </xf>
    <xf numFmtId="0" fontId="32" fillId="0" borderId="20" xfId="0" applyFont="1" applyBorder="1"/>
    <xf numFmtId="22" fontId="32" fillId="0" borderId="1" xfId="0" applyNumberFormat="1" applyFont="1" applyBorder="1" applyAlignment="1">
      <alignment horizontal="right" wrapText="1"/>
    </xf>
    <xf numFmtId="164" fontId="32" fillId="0" borderId="1" xfId="1" applyNumberFormat="1" applyFont="1" applyBorder="1" applyAlignment="1">
      <alignment vertical="center" wrapText="1"/>
    </xf>
    <xf numFmtId="164" fontId="52" fillId="0" borderId="34" xfId="1" applyNumberFormat="1" applyFont="1" applyBorder="1" applyAlignment="1">
      <alignment horizontal="right" vertical="center" wrapText="1"/>
    </xf>
    <xf numFmtId="0" fontId="20" fillId="0" borderId="20" xfId="0" applyFont="1" applyBorder="1" applyAlignment="1">
      <alignment horizontal="left"/>
    </xf>
    <xf numFmtId="1" fontId="23" fillId="0" borderId="6" xfId="0" applyNumberFormat="1" applyFont="1" applyBorder="1" applyAlignment="1">
      <alignment horizontal="center" vertical="center" wrapText="1"/>
    </xf>
    <xf numFmtId="22" fontId="31" fillId="0" borderId="6" xfId="0" applyNumberFormat="1" applyFont="1" applyBorder="1" applyAlignment="1">
      <alignment horizontal="right" wrapText="1"/>
    </xf>
    <xf numFmtId="164" fontId="23" fillId="0" borderId="6" xfId="1" applyNumberFormat="1" applyFont="1" applyBorder="1" applyAlignment="1">
      <alignment vertical="center" wrapText="1"/>
    </xf>
    <xf numFmtId="164" fontId="23" fillId="0" borderId="6" xfId="1" applyNumberFormat="1" applyFont="1" applyBorder="1" applyAlignment="1">
      <alignment horizontal="right" vertical="center" wrapText="1"/>
    </xf>
    <xf numFmtId="49" fontId="23" fillId="0" borderId="30" xfId="0" applyNumberFormat="1" applyFont="1" applyBorder="1" applyAlignment="1">
      <alignment horizontal="right" vertical="center" wrapText="1"/>
    </xf>
    <xf numFmtId="22" fontId="31" fillId="0" borderId="19" xfId="0" applyNumberFormat="1" applyFont="1" applyBorder="1" applyAlignment="1">
      <alignment horizontal="right" wrapText="1"/>
    </xf>
    <xf numFmtId="164" fontId="23" fillId="0" borderId="85" xfId="1" applyNumberFormat="1" applyFont="1" applyBorder="1" applyAlignment="1">
      <alignment vertical="center" wrapText="1"/>
    </xf>
    <xf numFmtId="22" fontId="23" fillId="0" borderId="4" xfId="0" applyNumberFormat="1" applyFont="1" applyBorder="1" applyAlignment="1">
      <alignment horizontal="right" wrapText="1"/>
    </xf>
    <xf numFmtId="164" fontId="23" fillId="0" borderId="4" xfId="1" applyNumberFormat="1" applyFont="1" applyBorder="1" applyAlignment="1">
      <alignment horizontal="right" vertical="center" wrapText="1"/>
    </xf>
    <xf numFmtId="22" fontId="31" fillId="0" borderId="6" xfId="0" applyNumberFormat="1" applyFont="1" applyBorder="1" applyAlignment="1">
      <alignment horizontal="right" vertical="center" wrapText="1"/>
    </xf>
    <xf numFmtId="22" fontId="31" fillId="0" borderId="1" xfId="0" applyNumberFormat="1" applyFont="1" applyBorder="1" applyAlignment="1">
      <alignment horizontal="right" vertical="center" wrapText="1"/>
    </xf>
    <xf numFmtId="49" fontId="23" fillId="0" borderId="3" xfId="0" applyNumberFormat="1" applyFont="1" applyBorder="1" applyAlignment="1">
      <alignment horizontal="right" vertical="center" wrapText="1"/>
    </xf>
    <xf numFmtId="1" fontId="23" fillId="0" borderId="3" xfId="0" applyNumberFormat="1" applyFont="1" applyBorder="1" applyAlignment="1">
      <alignment horizontal="center" vertical="center" wrapText="1"/>
    </xf>
    <xf numFmtId="0" fontId="20" fillId="0" borderId="3" xfId="0" applyFont="1" applyBorder="1" applyAlignment="1">
      <alignment horizontal="left"/>
    </xf>
    <xf numFmtId="49" fontId="23" fillId="0" borderId="36" xfId="0" applyNumberFormat="1" applyFont="1" applyBorder="1" applyAlignment="1">
      <alignment horizontal="right" vertical="center" wrapText="1"/>
    </xf>
    <xf numFmtId="49" fontId="23" fillId="0" borderId="31" xfId="0" applyNumberFormat="1" applyFont="1" applyBorder="1" applyAlignment="1">
      <alignment horizontal="left" vertical="center" wrapText="1"/>
    </xf>
    <xf numFmtId="22" fontId="31" fillId="0" borderId="31" xfId="0" applyNumberFormat="1" applyFont="1" applyBorder="1" applyAlignment="1">
      <alignment horizontal="right" vertical="center" wrapText="1"/>
    </xf>
    <xf numFmtId="49" fontId="23" fillId="0" borderId="27" xfId="0" applyNumberFormat="1" applyFont="1" applyBorder="1" applyAlignment="1">
      <alignment vertical="center" wrapText="1"/>
    </xf>
    <xf numFmtId="164" fontId="23" fillId="0" borderId="3" xfId="1" applyNumberFormat="1" applyFont="1" applyBorder="1" applyAlignment="1">
      <alignment vertical="center" wrapText="1"/>
    </xf>
    <xf numFmtId="164" fontId="23" fillId="0" borderId="3" xfId="1" applyNumberFormat="1" applyFont="1" applyBorder="1" applyAlignment="1">
      <alignment horizontal="right" vertical="center" wrapText="1"/>
    </xf>
    <xf numFmtId="22" fontId="23" fillId="0" borderId="31" xfId="0" applyNumberFormat="1" applyFont="1" applyBorder="1" applyAlignment="1">
      <alignment horizontal="right" wrapText="1"/>
    </xf>
    <xf numFmtId="164" fontId="23" fillId="0" borderId="35" xfId="1" applyNumberFormat="1" applyFont="1" applyBorder="1" applyAlignment="1">
      <alignment vertical="center" wrapText="1"/>
    </xf>
    <xf numFmtId="22" fontId="23" fillId="0" borderId="1" xfId="0" applyNumberFormat="1" applyFont="1" applyBorder="1" applyAlignment="1">
      <alignment horizontal="right" wrapText="1"/>
    </xf>
    <xf numFmtId="22" fontId="23" fillId="6" borderId="1" xfId="0" applyNumberFormat="1" applyFont="1" applyFill="1" applyBorder="1" applyAlignment="1">
      <alignment horizontal="right" wrapText="1"/>
    </xf>
    <xf numFmtId="49" fontId="20" fillId="6" borderId="0" xfId="1" applyNumberFormat="1" applyFont="1" applyFill="1" applyAlignment="1">
      <alignment horizontal="center" vertical="center"/>
    </xf>
    <xf numFmtId="49" fontId="20" fillId="6" borderId="0" xfId="0" applyNumberFormat="1" applyFont="1" applyFill="1" applyAlignment="1">
      <alignment horizontal="center" vertical="center"/>
    </xf>
    <xf numFmtId="0" fontId="20" fillId="0" borderId="35" xfId="0" applyFont="1" applyBorder="1" applyAlignment="1">
      <alignment horizontal="left"/>
    </xf>
    <xf numFmtId="49" fontId="23" fillId="0" borderId="35" xfId="0" applyNumberFormat="1" applyFont="1" applyBorder="1" applyAlignment="1">
      <alignment horizontal="left" vertical="center" wrapText="1"/>
    </xf>
    <xf numFmtId="22" fontId="31" fillId="0" borderId="4" xfId="0" applyNumberFormat="1" applyFont="1" applyBorder="1" applyAlignment="1">
      <alignment horizontal="right" wrapText="1"/>
    </xf>
    <xf numFmtId="0" fontId="20" fillId="0" borderId="26" xfId="0" applyFont="1" applyBorder="1" applyAlignment="1">
      <alignment horizontal="left"/>
    </xf>
    <xf numFmtId="49" fontId="23" fillId="0" borderId="91" xfId="0" applyNumberFormat="1" applyFont="1" applyBorder="1" applyAlignment="1">
      <alignment horizontal="left" vertical="center" wrapText="1"/>
    </xf>
    <xf numFmtId="164" fontId="52" fillId="0" borderId="1" xfId="1" applyNumberFormat="1" applyFont="1" applyBorder="1" applyAlignment="1">
      <alignment horizontal="right" vertical="center" wrapText="1"/>
    </xf>
    <xf numFmtId="0" fontId="53" fillId="0" borderId="1" xfId="0" applyFont="1" applyBorder="1"/>
    <xf numFmtId="22" fontId="31" fillId="0" borderId="31" xfId="0" applyNumberFormat="1" applyFont="1" applyBorder="1" applyAlignment="1">
      <alignment horizontal="right" wrapText="1"/>
    </xf>
    <xf numFmtId="164" fontId="32" fillId="0" borderId="36" xfId="1" applyNumberFormat="1" applyFont="1" applyBorder="1" applyAlignment="1">
      <alignment horizontal="right" vertical="center" wrapText="1"/>
    </xf>
    <xf numFmtId="164" fontId="23" fillId="0" borderId="31" xfId="1" applyNumberFormat="1" applyFont="1" applyBorder="1" applyAlignment="1">
      <alignment horizontal="right" vertical="center" wrapText="1"/>
    </xf>
    <xf numFmtId="22" fontId="31" fillId="0" borderId="3" xfId="0" applyNumberFormat="1" applyFont="1" applyBorder="1" applyAlignment="1">
      <alignment horizontal="right" wrapText="1"/>
    </xf>
    <xf numFmtId="164" fontId="24" fillId="0" borderId="1" xfId="1" applyNumberFormat="1" applyFont="1" applyBorder="1" applyAlignment="1">
      <alignment vertical="center" wrapText="1"/>
    </xf>
    <xf numFmtId="49" fontId="55" fillId="0" borderId="3" xfId="0" applyNumberFormat="1" applyFont="1" applyBorder="1" applyAlignment="1">
      <alignment horizontal="left" vertical="center" wrapText="1"/>
    </xf>
    <xf numFmtId="164" fontId="55" fillId="0" borderId="89" xfId="1" applyNumberFormat="1" applyFont="1" applyBorder="1" applyAlignment="1">
      <alignment vertical="center" wrapText="1"/>
    </xf>
    <xf numFmtId="164" fontId="55" fillId="0" borderId="36" xfId="1" applyNumberFormat="1" applyFont="1" applyBorder="1" applyAlignment="1">
      <alignment horizontal="right" vertical="center" wrapText="1"/>
    </xf>
    <xf numFmtId="14" fontId="23" fillId="0" borderId="4" xfId="0" applyNumberFormat="1" applyFont="1" applyBorder="1" applyAlignment="1">
      <alignment horizontal="right" vertical="center" wrapText="1"/>
    </xf>
    <xf numFmtId="0" fontId="20" fillId="6" borderId="4" xfId="0" applyFont="1" applyFill="1" applyBorder="1" applyAlignment="1">
      <alignment horizontal="left"/>
    </xf>
    <xf numFmtId="14" fontId="23" fillId="0" borderId="6" xfId="0" applyNumberFormat="1" applyFont="1" applyBorder="1" applyAlignment="1">
      <alignment horizontal="right" vertical="center" wrapText="1"/>
    </xf>
    <xf numFmtId="14" fontId="23" fillId="6" borderId="1" xfId="0" applyNumberFormat="1" applyFont="1" applyFill="1" applyBorder="1" applyAlignment="1">
      <alignment horizontal="right" vertical="center" wrapText="1"/>
    </xf>
    <xf numFmtId="22" fontId="31" fillId="6" borderId="1" xfId="0" applyNumberFormat="1" applyFont="1" applyFill="1" applyBorder="1" applyAlignment="1">
      <alignment horizontal="right" wrapText="1"/>
    </xf>
    <xf numFmtId="2" fontId="23" fillId="0" borderId="87" xfId="1" applyNumberFormat="1" applyFont="1" applyBorder="1" applyAlignment="1">
      <alignment horizontal="right" vertical="center" wrapText="1"/>
    </xf>
    <xf numFmtId="164" fontId="23" fillId="0" borderId="19" xfId="1" applyNumberFormat="1" applyFont="1" applyBorder="1" applyAlignment="1">
      <alignment vertical="center" wrapText="1"/>
    </xf>
    <xf numFmtId="164" fontId="23" fillId="0" borderId="19" xfId="1" applyNumberFormat="1" applyFont="1" applyBorder="1" applyAlignment="1">
      <alignment horizontal="right" vertical="center" wrapText="1"/>
    </xf>
    <xf numFmtId="164" fontId="23" fillId="0" borderId="26" xfId="1" applyNumberFormat="1" applyFont="1" applyBorder="1" applyAlignment="1">
      <alignment vertical="center" wrapText="1"/>
    </xf>
    <xf numFmtId="164" fontId="23" fillId="0" borderId="1" xfId="1" applyNumberFormat="1" applyFont="1" applyBorder="1" applyAlignment="1">
      <alignment horizontal="right" vertical="center"/>
    </xf>
    <xf numFmtId="14" fontId="20" fillId="0" borderId="3" xfId="0" applyNumberFormat="1" applyFont="1" applyBorder="1" applyAlignment="1">
      <alignment horizontal="right"/>
    </xf>
    <xf numFmtId="0" fontId="20" fillId="0" borderId="36" xfId="0" applyFont="1" applyBorder="1" applyAlignment="1">
      <alignment horizontal="right"/>
    </xf>
    <xf numFmtId="22" fontId="20" fillId="0" borderId="31" xfId="0" applyNumberFormat="1" applyFont="1" applyBorder="1" applyAlignment="1">
      <alignment horizontal="right"/>
    </xf>
    <xf numFmtId="0" fontId="20" fillId="0" borderId="27" xfId="0" applyFont="1" applyBorder="1"/>
    <xf numFmtId="164" fontId="23" fillId="0" borderId="0" xfId="1" applyNumberFormat="1" applyFont="1" applyAlignment="1">
      <alignment vertical="center" wrapText="1"/>
    </xf>
    <xf numFmtId="14" fontId="20" fillId="0" borderId="6" xfId="0" applyNumberFormat="1" applyFont="1" applyBorder="1" applyAlignment="1">
      <alignment horizontal="right"/>
    </xf>
    <xf numFmtId="0" fontId="20" fillId="0" borderId="30" xfId="0" applyFont="1" applyBorder="1" applyAlignment="1">
      <alignment horizontal="right"/>
    </xf>
    <xf numFmtId="164" fontId="23" fillId="0" borderId="25" xfId="1" applyNumberFormat="1" applyFont="1" applyBorder="1" applyAlignment="1">
      <alignment vertical="center" wrapText="1"/>
    </xf>
    <xf numFmtId="164" fontId="32" fillId="0" borderId="17" xfId="1" applyNumberFormat="1" applyFont="1" applyBorder="1" applyAlignment="1">
      <alignment horizontal="right" vertical="center" wrapText="1"/>
    </xf>
    <xf numFmtId="164" fontId="23" fillId="0" borderId="17" xfId="1" applyNumberFormat="1" applyFont="1" applyBorder="1" applyAlignment="1">
      <alignment horizontal="right" vertical="center" wrapText="1"/>
    </xf>
    <xf numFmtId="14" fontId="20" fillId="11" borderId="1" xfId="0" applyNumberFormat="1" applyFont="1" applyFill="1" applyBorder="1" applyAlignment="1">
      <alignment horizontal="right"/>
    </xf>
    <xf numFmtId="49" fontId="23" fillId="11" borderId="28" xfId="0" applyNumberFormat="1" applyFont="1" applyFill="1" applyBorder="1" applyAlignment="1">
      <alignment horizontal="right" vertical="center" wrapText="1"/>
    </xf>
    <xf numFmtId="49" fontId="23" fillId="11" borderId="32" xfId="0" applyNumberFormat="1" applyFont="1" applyFill="1" applyBorder="1" applyAlignment="1">
      <alignment vertical="center" wrapText="1"/>
    </xf>
    <xf numFmtId="43" fontId="18" fillId="0" borderId="0" xfId="0" applyNumberFormat="1" applyFont="1"/>
    <xf numFmtId="164" fontId="27" fillId="0" borderId="1" xfId="1" applyNumberFormat="1" applyFont="1" applyFill="1" applyBorder="1" applyAlignment="1">
      <alignment horizontal="right" vertical="center" wrapText="1"/>
    </xf>
    <xf numFmtId="164" fontId="27" fillId="0" borderId="1" xfId="1" applyNumberFormat="1" applyFont="1" applyFill="1" applyBorder="1" applyAlignment="1">
      <alignment vertical="center" wrapText="1"/>
    </xf>
    <xf numFmtId="164" fontId="27" fillId="0" borderId="85" xfId="1" applyNumberFormat="1" applyFont="1" applyFill="1" applyBorder="1" applyAlignment="1">
      <alignment vertical="center" wrapText="1"/>
    </xf>
    <xf numFmtId="164" fontId="27" fillId="0" borderId="30" xfId="1" applyNumberFormat="1" applyFont="1" applyFill="1" applyBorder="1" applyAlignment="1">
      <alignment horizontal="right" vertical="center" wrapText="1"/>
    </xf>
    <xf numFmtId="49" fontId="23" fillId="0" borderId="88" xfId="0" applyNumberFormat="1" applyFont="1" applyBorder="1" applyAlignment="1">
      <alignment horizontal="left" vertical="center" wrapText="1"/>
    </xf>
    <xf numFmtId="0" fontId="31" fillId="0" borderId="1" xfId="0" applyFont="1" applyBorder="1" applyAlignment="1">
      <alignment horizontal="right" wrapText="1"/>
    </xf>
    <xf numFmtId="0" fontId="32" fillId="0" borderId="1" xfId="0" applyFont="1" applyBorder="1" applyAlignment="1">
      <alignment horizontal="right" wrapText="1"/>
    </xf>
    <xf numFmtId="164" fontId="27" fillId="0" borderId="26" xfId="1" applyNumberFormat="1" applyFont="1" applyFill="1" applyBorder="1" applyAlignment="1">
      <alignment vertical="center" wrapText="1"/>
    </xf>
    <xf numFmtId="164" fontId="27" fillId="0" borderId="24" xfId="1" applyNumberFormat="1" applyFont="1" applyFill="1" applyBorder="1" applyAlignment="1">
      <alignment vertical="center" wrapText="1"/>
    </xf>
    <xf numFmtId="164" fontId="27" fillId="0" borderId="34" xfId="1" applyNumberFormat="1" applyFont="1" applyFill="1" applyBorder="1" applyAlignment="1">
      <alignment horizontal="right" vertical="center" wrapText="1"/>
    </xf>
    <xf numFmtId="0" fontId="31" fillId="0" borderId="19" xfId="0" applyFont="1" applyBorder="1" applyAlignment="1">
      <alignment horizontal="right" wrapText="1"/>
    </xf>
    <xf numFmtId="0" fontId="31" fillId="0" borderId="18" xfId="0" applyFont="1" applyBorder="1" applyAlignment="1">
      <alignment horizontal="right" wrapText="1"/>
    </xf>
    <xf numFmtId="0" fontId="23" fillId="0" borderId="4" xfId="0" applyFont="1" applyBorder="1" applyAlignment="1">
      <alignment horizontal="right" wrapText="1"/>
    </xf>
    <xf numFmtId="0" fontId="31" fillId="0" borderId="6" xfId="0" applyFont="1" applyBorder="1" applyAlignment="1">
      <alignment horizontal="right" vertical="center" wrapText="1"/>
    </xf>
    <xf numFmtId="0" fontId="31" fillId="0" borderId="1" xfId="0" applyFont="1" applyBorder="1" applyAlignment="1">
      <alignment horizontal="right" vertical="center" wrapText="1"/>
    </xf>
    <xf numFmtId="164" fontId="27" fillId="0" borderId="89" xfId="1" applyNumberFormat="1" applyFont="1" applyFill="1" applyBorder="1" applyAlignment="1">
      <alignment vertical="center" wrapText="1"/>
    </xf>
    <xf numFmtId="164" fontId="27" fillId="0" borderId="35" xfId="1" applyNumberFormat="1" applyFont="1" applyFill="1" applyBorder="1" applyAlignment="1">
      <alignment vertical="center" wrapText="1"/>
    </xf>
    <xf numFmtId="164" fontId="27" fillId="0" borderId="36" xfId="1" applyNumberFormat="1" applyFont="1" applyFill="1" applyBorder="1" applyAlignment="1">
      <alignment horizontal="right" vertical="center" wrapText="1"/>
    </xf>
    <xf numFmtId="164" fontId="27" fillId="0" borderId="33" xfId="1" applyNumberFormat="1" applyFont="1" applyFill="1" applyBorder="1" applyAlignment="1">
      <alignment vertical="center" wrapText="1"/>
    </xf>
    <xf numFmtId="49" fontId="28" fillId="0" borderId="0" xfId="1" applyNumberFormat="1" applyFont="1" applyFill="1" applyAlignment="1">
      <alignment horizontal="center" vertical="center"/>
    </xf>
    <xf numFmtId="164" fontId="27" fillId="0" borderId="6" xfId="1" applyNumberFormat="1" applyFont="1" applyFill="1" applyBorder="1" applyAlignment="1">
      <alignment vertical="center" wrapText="1"/>
    </xf>
    <xf numFmtId="164" fontId="27" fillId="0" borderId="6" xfId="1" applyNumberFormat="1" applyFont="1" applyFill="1" applyBorder="1" applyAlignment="1">
      <alignment horizontal="right" vertical="center" wrapText="1"/>
    </xf>
    <xf numFmtId="164" fontId="27" fillId="0" borderId="3" xfId="1" applyNumberFormat="1" applyFont="1" applyFill="1" applyBorder="1" applyAlignment="1">
      <alignment vertical="center" wrapText="1"/>
    </xf>
    <xf numFmtId="164" fontId="27" fillId="0" borderId="3" xfId="1" applyNumberFormat="1" applyFont="1" applyFill="1" applyBorder="1" applyAlignment="1">
      <alignment horizontal="right" vertical="center" wrapText="1"/>
    </xf>
    <xf numFmtId="0" fontId="27" fillId="6" borderId="4" xfId="0" applyFont="1" applyFill="1" applyBorder="1" applyAlignment="1">
      <alignment vertical="center" wrapText="1"/>
    </xf>
    <xf numFmtId="0" fontId="23" fillId="6" borderId="4" xfId="0" applyFont="1" applyFill="1" applyBorder="1" applyAlignment="1">
      <alignment vertical="center" wrapText="1"/>
    </xf>
    <xf numFmtId="49" fontId="23" fillId="6" borderId="4" xfId="0" applyNumberFormat="1" applyFont="1" applyFill="1" applyBorder="1" applyAlignment="1">
      <alignment horizontal="right" vertical="center" wrapText="1"/>
    </xf>
    <xf numFmtId="14" fontId="23" fillId="6" borderId="4" xfId="0" applyNumberFormat="1" applyFont="1" applyFill="1" applyBorder="1" applyAlignment="1">
      <alignment horizontal="right" vertical="center" wrapText="1"/>
    </xf>
    <xf numFmtId="1" fontId="23" fillId="6" borderId="4" xfId="0" applyNumberFormat="1" applyFont="1" applyFill="1" applyBorder="1" applyAlignment="1">
      <alignment horizontal="center" vertical="center" wrapText="1"/>
    </xf>
    <xf numFmtId="49" fontId="23" fillId="6" borderId="4" xfId="0" applyNumberFormat="1" applyFont="1" applyFill="1" applyBorder="1" applyAlignment="1">
      <alignment horizontal="left" vertical="center" wrapText="1"/>
    </xf>
    <xf numFmtId="22" fontId="31" fillId="6" borderId="4" xfId="0" applyNumberFormat="1" applyFont="1" applyFill="1" applyBorder="1" applyAlignment="1">
      <alignment horizontal="right" wrapText="1"/>
    </xf>
    <xf numFmtId="49" fontId="23" fillId="6" borderId="4" xfId="0" applyNumberFormat="1" applyFont="1" applyFill="1" applyBorder="1" applyAlignment="1">
      <alignment vertical="center" wrapText="1"/>
    </xf>
    <xf numFmtId="164" fontId="27" fillId="6" borderId="4" xfId="1" applyNumberFormat="1" applyFont="1" applyFill="1" applyBorder="1" applyAlignment="1">
      <alignment vertical="center" wrapText="1"/>
    </xf>
    <xf numFmtId="0" fontId="28" fillId="6" borderId="4" xfId="0" applyFont="1" applyFill="1" applyBorder="1"/>
    <xf numFmtId="164" fontId="27" fillId="6" borderId="4" xfId="1" applyNumberFormat="1" applyFont="1" applyFill="1" applyBorder="1" applyAlignment="1">
      <alignment horizontal="right" vertical="center" wrapText="1"/>
    </xf>
    <xf numFmtId="164" fontId="27" fillId="0" borderId="18" xfId="1" applyNumberFormat="1" applyFont="1" applyFill="1" applyBorder="1" applyAlignment="1">
      <alignment vertical="center" wrapText="1"/>
    </xf>
    <xf numFmtId="49" fontId="27" fillId="0" borderId="15" xfId="0" applyNumberFormat="1" applyFont="1" applyBorder="1" applyAlignment="1">
      <alignment horizontal="right" vertical="center" wrapText="1"/>
    </xf>
    <xf numFmtId="49" fontId="27" fillId="0" borderId="28" xfId="0" applyNumberFormat="1" applyFont="1" applyBorder="1" applyAlignment="1">
      <alignment horizontal="left" vertical="center" wrapText="1"/>
    </xf>
    <xf numFmtId="14" fontId="27" fillId="0" borderId="29" xfId="0" applyNumberFormat="1" applyFont="1" applyBorder="1" applyAlignment="1">
      <alignment horizontal="right" vertical="center" wrapText="1"/>
    </xf>
    <xf numFmtId="49" fontId="27" fillId="0" borderId="28" xfId="0" applyNumberFormat="1" applyFont="1" applyBorder="1" applyAlignment="1">
      <alignment vertical="center" wrapText="1"/>
    </xf>
    <xf numFmtId="2" fontId="27" fillId="0" borderId="17" xfId="0" applyNumberFormat="1" applyFont="1" applyBorder="1" applyAlignment="1">
      <alignment vertical="center" wrapText="1"/>
    </xf>
    <xf numFmtId="164" fontId="27" fillId="0" borderId="20" xfId="1" applyNumberFormat="1" applyFont="1" applyFill="1" applyBorder="1" applyAlignment="1">
      <alignment vertical="center" wrapText="1"/>
    </xf>
    <xf numFmtId="2" fontId="27" fillId="0" borderId="1" xfId="0" applyNumberFormat="1" applyFont="1" applyBorder="1" applyAlignment="1">
      <alignment horizontal="right" vertical="center" wrapText="1"/>
    </xf>
    <xf numFmtId="164" fontId="27" fillId="0" borderId="15" xfId="1" applyNumberFormat="1" applyFont="1" applyFill="1" applyBorder="1" applyAlignment="1">
      <alignment horizontal="right" vertical="center" wrapText="1"/>
    </xf>
    <xf numFmtId="49" fontId="27" fillId="0" borderId="18" xfId="0" applyNumberFormat="1" applyFont="1" applyBorder="1" applyAlignment="1">
      <alignment vertical="center" wrapText="1"/>
    </xf>
    <xf numFmtId="164" fontId="27" fillId="0" borderId="29" xfId="1" applyNumberFormat="1" applyFont="1" applyFill="1" applyBorder="1" applyAlignment="1">
      <alignment vertical="center" wrapText="1"/>
    </xf>
    <xf numFmtId="0" fontId="28" fillId="0" borderId="15" xfId="0" applyFont="1" applyBorder="1" applyAlignment="1">
      <alignment horizontal="right"/>
    </xf>
    <xf numFmtId="22" fontId="28" fillId="0" borderId="29" xfId="0" applyNumberFormat="1" applyFont="1" applyBorder="1" applyAlignment="1">
      <alignment horizontal="right"/>
    </xf>
    <xf numFmtId="0" fontId="29" fillId="0" borderId="29" xfId="0" applyFont="1" applyBorder="1" applyAlignment="1">
      <alignment horizontal="right" wrapText="1"/>
    </xf>
    <xf numFmtId="0" fontId="29" fillId="0" borderId="1" xfId="0" applyFont="1" applyBorder="1" applyAlignment="1">
      <alignment wrapText="1"/>
    </xf>
    <xf numFmtId="49" fontId="27" fillId="0" borderId="17" xfId="0" applyNumberFormat="1" applyFont="1" applyBorder="1" applyAlignment="1">
      <alignment horizontal="left" vertical="center" wrapText="1"/>
    </xf>
    <xf numFmtId="0" fontId="29" fillId="0" borderId="17" xfId="0" applyFont="1" applyBorder="1" applyAlignment="1">
      <alignment horizontal="right" wrapText="1"/>
    </xf>
    <xf numFmtId="0" fontId="28" fillId="0" borderId="17" xfId="0" applyFont="1" applyBorder="1"/>
    <xf numFmtId="22" fontId="27" fillId="0" borderId="17" xfId="0" applyNumberFormat="1" applyFont="1" applyBorder="1" applyAlignment="1">
      <alignment horizontal="right" wrapText="1"/>
    </xf>
    <xf numFmtId="22" fontId="29" fillId="0" borderId="17" xfId="0" applyNumberFormat="1" applyFont="1" applyBorder="1" applyAlignment="1">
      <alignment horizontal="right" wrapText="1"/>
    </xf>
    <xf numFmtId="14" fontId="27" fillId="0" borderId="1" xfId="0" applyNumberFormat="1" applyFont="1" applyBorder="1" applyAlignment="1">
      <alignment horizontal="right" wrapText="1"/>
    </xf>
    <xf numFmtId="49" fontId="27" fillId="0" borderId="32" xfId="0" applyNumberFormat="1" applyFont="1" applyBorder="1" applyAlignment="1">
      <alignment vertical="center" wrapText="1"/>
    </xf>
    <xf numFmtId="2" fontId="27" fillId="0" borderId="4" xfId="0" applyNumberFormat="1" applyFont="1" applyBorder="1" applyAlignment="1">
      <alignment horizontal="right" vertical="center" wrapText="1"/>
    </xf>
    <xf numFmtId="2" fontId="27" fillId="0" borderId="6" xfId="0" applyNumberFormat="1" applyFont="1" applyBorder="1" applyAlignment="1">
      <alignment horizontal="right" vertical="center" wrapText="1"/>
    </xf>
    <xf numFmtId="49" fontId="27" fillId="0" borderId="15" xfId="0" applyNumberFormat="1" applyFont="1" applyBorder="1" applyAlignment="1">
      <alignment horizontal="left" vertical="center" wrapText="1"/>
    </xf>
    <xf numFmtId="164" fontId="27" fillId="0" borderId="17" xfId="1" applyNumberFormat="1" applyFont="1" applyFill="1" applyBorder="1" applyAlignment="1">
      <alignment vertical="center" wrapText="1"/>
    </xf>
    <xf numFmtId="2" fontId="27" fillId="0" borderId="20" xfId="0" applyNumberFormat="1" applyFont="1" applyBorder="1" applyAlignment="1">
      <alignment horizontal="right" vertical="center" wrapText="1"/>
    </xf>
    <xf numFmtId="49" fontId="27" fillId="0" borderId="28" xfId="0" applyNumberFormat="1" applyFont="1" applyBorder="1" applyAlignment="1">
      <alignment horizontal="right" vertical="center" wrapText="1"/>
    </xf>
    <xf numFmtId="49" fontId="27" fillId="0" borderId="17" xfId="0" applyNumberFormat="1" applyFont="1" applyBorder="1" applyAlignment="1">
      <alignment vertical="center" wrapText="1"/>
    </xf>
    <xf numFmtId="22" fontId="27" fillId="0" borderId="20" xfId="0" applyNumberFormat="1" applyFont="1" applyBorder="1" applyAlignment="1">
      <alignment horizontal="right" wrapText="1"/>
    </xf>
    <xf numFmtId="2" fontId="27" fillId="0" borderId="24" xfId="0" applyNumberFormat="1" applyFont="1" applyBorder="1" applyAlignment="1">
      <alignment horizontal="right" vertical="center" wrapText="1"/>
    </xf>
    <xf numFmtId="14" fontId="28" fillId="0" borderId="1" xfId="0" applyNumberFormat="1" applyFont="1" applyBorder="1" applyAlignment="1">
      <alignment horizontal="right"/>
    </xf>
    <xf numFmtId="22" fontId="28" fillId="0" borderId="17" xfId="0" applyNumberFormat="1" applyFont="1" applyBorder="1" applyAlignment="1">
      <alignment horizontal="right"/>
    </xf>
    <xf numFmtId="0" fontId="28" fillId="0" borderId="28" xfId="0" applyFont="1" applyBorder="1"/>
    <xf numFmtId="0" fontId="28" fillId="0" borderId="30" xfId="0" applyFont="1" applyBorder="1"/>
    <xf numFmtId="0" fontId="28" fillId="0" borderId="26" xfId="0" applyFont="1" applyBorder="1" applyAlignment="1">
      <alignment horizontal="right"/>
    </xf>
    <xf numFmtId="164" fontId="27" fillId="0" borderId="20" xfId="1" applyNumberFormat="1" applyFont="1" applyBorder="1" applyAlignment="1">
      <alignment vertical="center" wrapText="1"/>
    </xf>
    <xf numFmtId="0" fontId="0" fillId="11" borderId="1" xfId="0" applyFill="1" applyBorder="1" applyAlignment="1">
      <alignment horizontal="center" vertical="center"/>
    </xf>
    <xf numFmtId="14" fontId="0" fillId="11" borderId="1" xfId="0" applyNumberFormat="1" applyFill="1" applyBorder="1" applyAlignment="1">
      <alignment horizontal="center" vertical="center"/>
    </xf>
    <xf numFmtId="20" fontId="0" fillId="11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1" xfId="0" applyFill="1" applyBorder="1"/>
    <xf numFmtId="0" fontId="0" fillId="0" borderId="1" xfId="0" applyBorder="1" applyAlignment="1">
      <alignment wrapText="1"/>
    </xf>
    <xf numFmtId="49" fontId="23" fillId="0" borderId="15" xfId="0" applyNumberFormat="1" applyFont="1" applyBorder="1" applyAlignment="1">
      <alignment vertical="center" wrapText="1"/>
    </xf>
    <xf numFmtId="49" fontId="63" fillId="0" borderId="1" xfId="0" applyNumberFormat="1" applyFont="1" applyBorder="1" applyAlignment="1">
      <alignment horizontal="right" vertical="top" wrapText="1"/>
    </xf>
    <xf numFmtId="49" fontId="63" fillId="0" borderId="4" xfId="0" applyNumberFormat="1" applyFont="1" applyBorder="1" applyAlignment="1">
      <alignment horizontal="right" vertical="top" wrapText="1"/>
    </xf>
    <xf numFmtId="164" fontId="63" fillId="0" borderId="1" xfId="1" applyNumberFormat="1" applyFont="1" applyBorder="1" applyAlignment="1">
      <alignment horizontal="right" vertical="top" wrapText="1"/>
    </xf>
    <xf numFmtId="164" fontId="63" fillId="0" borderId="4" xfId="1" applyNumberFormat="1" applyFont="1" applyBorder="1" applyAlignment="1">
      <alignment horizontal="right" vertical="top" wrapText="1"/>
    </xf>
    <xf numFmtId="0" fontId="64" fillId="0" borderId="1" xfId="0" applyFont="1" applyBorder="1" applyAlignment="1">
      <alignment horizontal="right" vertical="top"/>
    </xf>
    <xf numFmtId="0" fontId="63" fillId="0" borderId="1" xfId="0" applyFont="1" applyBorder="1" applyAlignment="1">
      <alignment horizontal="right" vertical="top" wrapText="1"/>
    </xf>
    <xf numFmtId="1" fontId="63" fillId="0" borderId="1" xfId="0" applyNumberFormat="1" applyFont="1" applyBorder="1" applyAlignment="1">
      <alignment horizontal="right" vertical="top" wrapText="1"/>
    </xf>
    <xf numFmtId="49" fontId="64" fillId="0" borderId="0" xfId="1" applyNumberFormat="1" applyFont="1" applyAlignment="1">
      <alignment horizontal="right" vertical="top"/>
    </xf>
    <xf numFmtId="49" fontId="64" fillId="0" borderId="0" xfId="0" applyNumberFormat="1" applyFont="1" applyAlignment="1">
      <alignment horizontal="right" vertical="top"/>
    </xf>
    <xf numFmtId="0" fontId="64" fillId="0" borderId="0" xfId="0" applyFont="1" applyAlignment="1">
      <alignment horizontal="right" vertical="top"/>
    </xf>
    <xf numFmtId="164" fontId="68" fillId="0" borderId="1" xfId="1" applyNumberFormat="1" applyFont="1" applyBorder="1" applyAlignment="1">
      <alignment horizontal="right" vertical="top"/>
    </xf>
    <xf numFmtId="164" fontId="68" fillId="6" borderId="1" xfId="1" applyNumberFormat="1" applyFont="1" applyFill="1" applyBorder="1" applyAlignment="1">
      <alignment horizontal="right" vertical="top"/>
    </xf>
    <xf numFmtId="165" fontId="64" fillId="0" borderId="0" xfId="0" applyNumberFormat="1" applyFont="1" applyAlignment="1">
      <alignment horizontal="right" vertical="top"/>
    </xf>
    <xf numFmtId="49" fontId="63" fillId="0" borderId="3" xfId="0" applyNumberFormat="1" applyFont="1" applyBorder="1" applyAlignment="1">
      <alignment horizontal="right" vertical="top" wrapText="1"/>
    </xf>
    <xf numFmtId="164" fontId="51" fillId="0" borderId="6" xfId="0" applyNumberFormat="1" applyFont="1" applyBorder="1" applyAlignment="1">
      <alignment horizontal="right" vertical="center"/>
    </xf>
    <xf numFmtId="22" fontId="27" fillId="0" borderId="6" xfId="0" applyNumberFormat="1" applyFont="1" applyBorder="1" applyAlignment="1">
      <alignment horizontal="right" wrapText="1"/>
    </xf>
    <xf numFmtId="0" fontId="28" fillId="0" borderId="3" xfId="0" applyFont="1" applyBorder="1" applyAlignment="1">
      <alignment horizontal="left"/>
    </xf>
    <xf numFmtId="2" fontId="63" fillId="0" borderId="6" xfId="0" applyNumberFormat="1" applyFont="1" applyBorder="1" applyAlignment="1">
      <alignment horizontal="right" vertical="top" wrapText="1"/>
    </xf>
    <xf numFmtId="0" fontId="63" fillId="0" borderId="3" xfId="0" applyFont="1" applyBorder="1" applyAlignment="1">
      <alignment horizontal="right" vertical="top" wrapText="1"/>
    </xf>
    <xf numFmtId="1" fontId="63" fillId="0" borderId="3" xfId="0" applyNumberFormat="1" applyFont="1" applyBorder="1" applyAlignment="1">
      <alignment horizontal="right" vertical="top" wrapText="1"/>
    </xf>
    <xf numFmtId="0" fontId="64" fillId="0" borderId="3" xfId="0" applyFont="1" applyBorder="1" applyAlignment="1">
      <alignment horizontal="right" vertical="top"/>
    </xf>
    <xf numFmtId="22" fontId="67" fillId="0" borderId="31" xfId="0" applyNumberFormat="1" applyFont="1" applyBorder="1" applyAlignment="1">
      <alignment horizontal="right" vertical="top" wrapText="1"/>
    </xf>
    <xf numFmtId="164" fontId="63" fillId="0" borderId="35" xfId="1" applyNumberFormat="1" applyFont="1" applyFill="1" applyBorder="1" applyAlignment="1">
      <alignment horizontal="right" vertical="top" wrapText="1"/>
    </xf>
    <xf numFmtId="0" fontId="64" fillId="0" borderId="31" xfId="0" applyFont="1" applyBorder="1" applyAlignment="1">
      <alignment horizontal="right" vertical="top"/>
    </xf>
    <xf numFmtId="164" fontId="63" fillId="0" borderId="31" xfId="1" applyNumberFormat="1" applyFont="1" applyBorder="1" applyAlignment="1">
      <alignment horizontal="right" vertical="top" wrapText="1"/>
    </xf>
    <xf numFmtId="164" fontId="66" fillId="0" borderId="1" xfId="0" applyNumberFormat="1" applyFont="1" applyBorder="1" applyAlignment="1">
      <alignment horizontal="right" vertical="top"/>
    </xf>
    <xf numFmtId="164" fontId="66" fillId="0" borderId="31" xfId="0" applyNumberFormat="1" applyFont="1" applyBorder="1" applyAlignment="1">
      <alignment horizontal="right" vertical="top"/>
    </xf>
    <xf numFmtId="0" fontId="64" fillId="0" borderId="17" xfId="0" applyFont="1" applyBorder="1" applyAlignment="1">
      <alignment horizontal="right" vertical="top"/>
    </xf>
    <xf numFmtId="49" fontId="63" fillId="0" borderId="1" xfId="0" applyNumberFormat="1" applyFont="1" applyBorder="1" applyAlignment="1">
      <alignment horizontal="left" vertical="top" wrapText="1"/>
    </xf>
    <xf numFmtId="0" fontId="64" fillId="0" borderId="1" xfId="0" applyFont="1" applyBorder="1" applyAlignment="1">
      <alignment horizontal="left" vertical="top"/>
    </xf>
    <xf numFmtId="1" fontId="23" fillId="0" borderId="1" xfId="0" applyNumberFormat="1" applyFont="1" applyBorder="1" applyAlignment="1">
      <alignment horizontal="right" vertical="center" wrapText="1"/>
    </xf>
    <xf numFmtId="1" fontId="23" fillId="0" borderId="6" xfId="0" applyNumberFormat="1" applyFont="1" applyBorder="1" applyAlignment="1">
      <alignment horizontal="right" vertical="center" wrapText="1"/>
    </xf>
    <xf numFmtId="1" fontId="23" fillId="0" borderId="4" xfId="0" applyNumberFormat="1" applyFont="1" applyBorder="1" applyAlignment="1">
      <alignment horizontal="right" vertical="center" wrapText="1"/>
    </xf>
    <xf numFmtId="49" fontId="63" fillId="0" borderId="3" xfId="0" applyNumberFormat="1" applyFont="1" applyBorder="1" applyAlignment="1">
      <alignment horizontal="left" vertical="top" wrapText="1"/>
    </xf>
    <xf numFmtId="0" fontId="21" fillId="2" borderId="1" xfId="0" applyFont="1" applyFill="1" applyBorder="1" applyAlignment="1">
      <alignment horizontal="left" vertical="center" wrapText="1"/>
    </xf>
    <xf numFmtId="49" fontId="63" fillId="0" borderId="27" xfId="0" applyNumberFormat="1" applyFont="1" applyBorder="1" applyAlignment="1">
      <alignment horizontal="left" vertical="top" wrapText="1"/>
    </xf>
    <xf numFmtId="49" fontId="23" fillId="0" borderId="32" xfId="0" applyNumberFormat="1" applyFont="1" applyBorder="1" applyAlignment="1">
      <alignment horizontal="left" vertical="center" wrapText="1"/>
    </xf>
    <xf numFmtId="49" fontId="23" fillId="0" borderId="32" xfId="0" applyNumberFormat="1" applyFont="1" applyBorder="1" applyAlignment="1">
      <alignment horizontal="left" vertical="center"/>
    </xf>
    <xf numFmtId="49" fontId="63" fillId="0" borderId="36" xfId="0" applyNumberFormat="1" applyFont="1" applyBorder="1" applyAlignment="1">
      <alignment horizontal="left" vertical="top" wrapText="1"/>
    </xf>
    <xf numFmtId="0" fontId="23" fillId="9" borderId="6" xfId="0" applyFont="1" applyFill="1" applyBorder="1" applyAlignment="1">
      <alignment vertical="center" wrapText="1"/>
    </xf>
    <xf numFmtId="0" fontId="27" fillId="9" borderId="1" xfId="0" applyFont="1" applyFill="1" applyBorder="1" applyAlignment="1">
      <alignment vertical="center" wrapText="1"/>
    </xf>
    <xf numFmtId="49" fontId="27" fillId="9" borderId="1" xfId="0" applyNumberFormat="1" applyFont="1" applyFill="1" applyBorder="1" applyAlignment="1">
      <alignment horizontal="right" vertical="center" wrapText="1"/>
    </xf>
    <xf numFmtId="49" fontId="27" fillId="9" borderId="1" xfId="0" applyNumberFormat="1" applyFont="1" applyFill="1" applyBorder="1" applyAlignment="1">
      <alignment horizontal="left" vertical="center" wrapText="1"/>
    </xf>
    <xf numFmtId="1" fontId="27" fillId="9" borderId="1" xfId="0" applyNumberFormat="1" applyFont="1" applyFill="1" applyBorder="1" applyAlignment="1">
      <alignment horizontal="right" vertical="center" wrapText="1"/>
    </xf>
    <xf numFmtId="49" fontId="23" fillId="9" borderId="1" xfId="0" applyNumberFormat="1" applyFont="1" applyFill="1" applyBorder="1" applyAlignment="1">
      <alignment horizontal="left" vertical="center" wrapText="1"/>
    </xf>
    <xf numFmtId="0" fontId="28" fillId="9" borderId="1" xfId="0" applyFont="1" applyFill="1" applyBorder="1" applyAlignment="1">
      <alignment horizontal="left"/>
    </xf>
    <xf numFmtId="22" fontId="27" fillId="9" borderId="1" xfId="0" applyNumberFormat="1" applyFont="1" applyFill="1" applyBorder="1" applyAlignment="1">
      <alignment horizontal="right" wrapText="1"/>
    </xf>
    <xf numFmtId="49" fontId="27" fillId="9" borderId="15" xfId="0" applyNumberFormat="1" applyFont="1" applyFill="1" applyBorder="1" applyAlignment="1">
      <alignment horizontal="left" vertical="center" wrapText="1"/>
    </xf>
    <xf numFmtId="0" fontId="20" fillId="9" borderId="17" xfId="0" applyFont="1" applyFill="1" applyBorder="1" applyAlignment="1">
      <alignment horizontal="left" vertical="center" wrapText="1"/>
    </xf>
    <xf numFmtId="2" fontId="20" fillId="9" borderId="17" xfId="0" applyNumberFormat="1" applyFont="1" applyFill="1" applyBorder="1" applyAlignment="1">
      <alignment horizontal="center" vertical="center" wrapText="1"/>
    </xf>
    <xf numFmtId="164" fontId="23" fillId="9" borderId="92" xfId="1" applyNumberFormat="1" applyFont="1" applyFill="1" applyBorder="1" applyAlignment="1">
      <alignment horizontal="right" vertical="center" wrapText="1"/>
    </xf>
    <xf numFmtId="2" fontId="23" fillId="9" borderId="15" xfId="0" applyNumberFormat="1" applyFont="1" applyFill="1" applyBorder="1" applyAlignment="1">
      <alignment horizontal="right" vertical="center" wrapText="1"/>
    </xf>
    <xf numFmtId="0" fontId="20" fillId="9" borderId="17" xfId="0" applyFont="1" applyFill="1" applyBorder="1" applyAlignment="1">
      <alignment horizontal="center" vertical="center" wrapText="1"/>
    </xf>
    <xf numFmtId="164" fontId="23" fillId="9" borderId="17" xfId="1" applyNumberFormat="1" applyFont="1" applyFill="1" applyBorder="1" applyAlignment="1">
      <alignment horizontal="right" vertical="center" wrapText="1"/>
    </xf>
    <xf numFmtId="0" fontId="20" fillId="9" borderId="20" xfId="0" applyFont="1" applyFill="1" applyBorder="1" applyAlignment="1">
      <alignment horizontal="center" vertical="center"/>
    </xf>
    <xf numFmtId="0" fontId="20" fillId="9" borderId="17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 wrapText="1"/>
    </xf>
    <xf numFmtId="0" fontId="58" fillId="9" borderId="0" xfId="0" applyFont="1" applyFill="1"/>
    <xf numFmtId="0" fontId="23" fillId="9" borderId="1" xfId="0" applyFont="1" applyFill="1" applyBorder="1" applyAlignment="1">
      <alignment vertical="center" wrapText="1"/>
    </xf>
    <xf numFmtId="0" fontId="20" fillId="9" borderId="1" xfId="0" applyFont="1" applyFill="1" applyBorder="1" applyAlignment="1">
      <alignment horizontal="left" vertical="center" wrapText="1"/>
    </xf>
    <xf numFmtId="2" fontId="20" fillId="9" borderId="1" xfId="0" applyNumberFormat="1" applyFont="1" applyFill="1" applyBorder="1" applyAlignment="1">
      <alignment horizontal="center" vertical="center" wrapText="1"/>
    </xf>
    <xf numFmtId="164" fontId="23" fillId="9" borderId="1" xfId="1" applyNumberFormat="1" applyFont="1" applyFill="1" applyBorder="1" applyAlignment="1">
      <alignment horizontal="right" vertical="center" wrapText="1"/>
    </xf>
    <xf numFmtId="2" fontId="23" fillId="9" borderId="1" xfId="0" applyNumberFormat="1" applyFont="1" applyFill="1" applyBorder="1" applyAlignment="1">
      <alignment horizontal="right" vertical="center" wrapText="1"/>
    </xf>
    <xf numFmtId="0" fontId="20" fillId="9" borderId="1" xfId="0" applyFont="1" applyFill="1" applyBorder="1" applyAlignment="1">
      <alignment horizontal="center" vertical="center" wrapText="1"/>
    </xf>
    <xf numFmtId="164" fontId="35" fillId="9" borderId="1" xfId="0" applyNumberFormat="1" applyFont="1" applyFill="1" applyBorder="1" applyAlignment="1">
      <alignment horizontal="right" vertical="center"/>
    </xf>
    <xf numFmtId="164" fontId="23" fillId="9" borderId="6" xfId="1" applyNumberFormat="1" applyFont="1" applyFill="1" applyBorder="1" applyAlignment="1">
      <alignment vertical="center" wrapText="1"/>
    </xf>
    <xf numFmtId="49" fontId="23" fillId="9" borderId="6" xfId="0" applyNumberFormat="1" applyFont="1" applyFill="1" applyBorder="1" applyAlignment="1">
      <alignment vertical="center" wrapText="1"/>
    </xf>
    <xf numFmtId="164" fontId="23" fillId="9" borderId="6" xfId="1" applyNumberFormat="1" applyFont="1" applyFill="1" applyBorder="1" applyAlignment="1">
      <alignment horizontal="right" vertical="center" wrapText="1"/>
    </xf>
    <xf numFmtId="164" fontId="35" fillId="9" borderId="6" xfId="0" applyNumberFormat="1" applyFont="1" applyFill="1" applyBorder="1" applyAlignment="1">
      <alignment horizontal="right" vertical="center"/>
    </xf>
    <xf numFmtId="49" fontId="20" fillId="9" borderId="0" xfId="1" applyNumberFormat="1" applyFont="1" applyFill="1" applyAlignment="1">
      <alignment horizontal="center" vertical="center"/>
    </xf>
    <xf numFmtId="49" fontId="20" fillId="9" borderId="0" xfId="0" applyNumberFormat="1" applyFont="1" applyFill="1" applyAlignment="1">
      <alignment horizontal="center" vertical="center"/>
    </xf>
    <xf numFmtId="0" fontId="20" fillId="9" borderId="0" xfId="0" applyFont="1" applyFill="1"/>
    <xf numFmtId="49" fontId="23" fillId="9" borderId="17" xfId="0" applyNumberFormat="1" applyFont="1" applyFill="1" applyBorder="1" applyAlignment="1">
      <alignment horizontal="left" vertical="center" wrapText="1"/>
    </xf>
    <xf numFmtId="0" fontId="28" fillId="9" borderId="20" xfId="0" applyFont="1" applyFill="1" applyBorder="1" applyAlignment="1">
      <alignment horizontal="left"/>
    </xf>
    <xf numFmtId="49" fontId="23" fillId="9" borderId="4" xfId="0" applyNumberFormat="1" applyFont="1" applyFill="1" applyBorder="1" applyAlignment="1">
      <alignment horizontal="left" vertical="center" wrapText="1"/>
    </xf>
    <xf numFmtId="164" fontId="23" fillId="9" borderId="4" xfId="1" applyNumberFormat="1" applyFont="1" applyFill="1" applyBorder="1" applyAlignment="1">
      <alignment horizontal="right" vertical="center" wrapText="1"/>
    </xf>
    <xf numFmtId="49" fontId="23" fillId="9" borderId="4" xfId="0" applyNumberFormat="1" applyFont="1" applyFill="1" applyBorder="1" applyAlignment="1">
      <alignment vertical="center" wrapText="1"/>
    </xf>
    <xf numFmtId="164" fontId="35" fillId="9" borderId="4" xfId="0" applyNumberFormat="1" applyFont="1" applyFill="1" applyBorder="1" applyAlignment="1">
      <alignment horizontal="right" vertical="center"/>
    </xf>
    <xf numFmtId="49" fontId="23" fillId="9" borderId="1" xfId="0" applyNumberFormat="1" applyFont="1" applyFill="1" applyBorder="1" applyAlignment="1">
      <alignment horizontal="right" vertical="center" wrapText="1"/>
    </xf>
    <xf numFmtId="1" fontId="23" fillId="9" borderId="1" xfId="0" applyNumberFormat="1" applyFont="1" applyFill="1" applyBorder="1" applyAlignment="1">
      <alignment horizontal="right" vertical="center" wrapText="1"/>
    </xf>
    <xf numFmtId="0" fontId="23" fillId="9" borderId="1" xfId="0" applyFont="1" applyFill="1" applyBorder="1" applyAlignment="1">
      <alignment horizontal="left" vertical="center" wrapText="1"/>
    </xf>
    <xf numFmtId="22" fontId="31" fillId="9" borderId="1" xfId="0" applyNumberFormat="1" applyFont="1" applyFill="1" applyBorder="1" applyAlignment="1">
      <alignment horizontal="right" wrapText="1"/>
    </xf>
    <xf numFmtId="49" fontId="23" fillId="9" borderId="1" xfId="0" applyNumberFormat="1" applyFont="1" applyFill="1" applyBorder="1" applyAlignment="1">
      <alignment vertical="center" wrapText="1"/>
    </xf>
    <xf numFmtId="164" fontId="35" fillId="9" borderId="0" xfId="0" applyNumberFormat="1" applyFont="1" applyFill="1" applyAlignment="1">
      <alignment horizontal="right" vertical="center"/>
    </xf>
    <xf numFmtId="14" fontId="23" fillId="9" borderId="1" xfId="0" applyNumberFormat="1" applyFont="1" applyFill="1" applyBorder="1" applyAlignment="1">
      <alignment horizontal="right" vertical="center" wrapText="1"/>
    </xf>
    <xf numFmtId="0" fontId="20" fillId="9" borderId="20" xfId="0" applyFont="1" applyFill="1" applyBorder="1" applyAlignment="1">
      <alignment horizontal="left"/>
    </xf>
    <xf numFmtId="164" fontId="23" fillId="9" borderId="1" xfId="1" applyNumberFormat="1" applyFont="1" applyFill="1" applyBorder="1" applyAlignment="1">
      <alignment vertical="center" wrapText="1"/>
    </xf>
    <xf numFmtId="0" fontId="20" fillId="9" borderId="1" xfId="0" applyFont="1" applyFill="1" applyBorder="1"/>
    <xf numFmtId="0" fontId="20" fillId="9" borderId="17" xfId="0" applyFont="1" applyFill="1" applyBorder="1"/>
    <xf numFmtId="0" fontId="27" fillId="9" borderId="4" xfId="0" applyFont="1" applyFill="1" applyBorder="1" applyAlignment="1">
      <alignment vertical="center" wrapText="1"/>
    </xf>
    <xf numFmtId="0" fontId="23" fillId="9" borderId="4" xfId="0" applyFont="1" applyFill="1" applyBorder="1" applyAlignment="1">
      <alignment vertical="center" wrapText="1"/>
    </xf>
    <xf numFmtId="49" fontId="23" fillId="9" borderId="4" xfId="0" applyNumberFormat="1" applyFont="1" applyFill="1" applyBorder="1" applyAlignment="1">
      <alignment horizontal="right" vertical="center" wrapText="1"/>
    </xf>
    <xf numFmtId="49" fontId="27" fillId="9" borderId="4" xfId="0" applyNumberFormat="1" applyFont="1" applyFill="1" applyBorder="1" applyAlignment="1">
      <alignment horizontal="left" vertical="center" wrapText="1"/>
    </xf>
    <xf numFmtId="14" fontId="23" fillId="9" borderId="4" xfId="0" applyNumberFormat="1" applyFont="1" applyFill="1" applyBorder="1" applyAlignment="1">
      <alignment horizontal="right" vertical="center" wrapText="1"/>
    </xf>
    <xf numFmtId="1" fontId="23" fillId="9" borderId="4" xfId="0" applyNumberFormat="1" applyFont="1" applyFill="1" applyBorder="1" applyAlignment="1">
      <alignment horizontal="right" vertical="center" wrapText="1"/>
    </xf>
    <xf numFmtId="22" fontId="31" fillId="9" borderId="17" xfId="0" applyNumberFormat="1" applyFont="1" applyFill="1" applyBorder="1" applyAlignment="1">
      <alignment horizontal="right" wrapText="1"/>
    </xf>
    <xf numFmtId="164" fontId="23" fillId="9" borderId="30" xfId="1" applyNumberFormat="1" applyFont="1" applyFill="1" applyBorder="1" applyAlignment="1">
      <alignment horizontal="right" vertical="center" wrapText="1"/>
    </xf>
    <xf numFmtId="164" fontId="35" fillId="9" borderId="19" xfId="0" applyNumberFormat="1" applyFont="1" applyFill="1" applyBorder="1" applyAlignment="1">
      <alignment horizontal="right" vertical="center"/>
    </xf>
    <xf numFmtId="49" fontId="20" fillId="9" borderId="0" xfId="1" applyNumberFormat="1" applyFont="1" applyFill="1" applyAlignment="1">
      <alignment horizontal="left" vertical="center"/>
    </xf>
    <xf numFmtId="0" fontId="20" fillId="9" borderId="17" xfId="0" applyFont="1" applyFill="1" applyBorder="1" applyAlignment="1">
      <alignment horizontal="left"/>
    </xf>
    <xf numFmtId="0" fontId="20" fillId="9" borderId="24" xfId="0" applyFont="1" applyFill="1" applyBorder="1" applyAlignment="1">
      <alignment horizontal="left"/>
    </xf>
    <xf numFmtId="22" fontId="31" fillId="9" borderId="18" xfId="0" applyNumberFormat="1" applyFont="1" applyFill="1" applyBorder="1" applyAlignment="1">
      <alignment horizontal="right" wrapText="1"/>
    </xf>
    <xf numFmtId="49" fontId="23" fillId="9" borderId="88" xfId="0" applyNumberFormat="1" applyFont="1" applyFill="1" applyBorder="1" applyAlignment="1">
      <alignment horizontal="left" vertical="center" wrapText="1"/>
    </xf>
    <xf numFmtId="164" fontId="27" fillId="9" borderId="24" xfId="1" applyNumberFormat="1" applyFont="1" applyFill="1" applyBorder="1" applyAlignment="1">
      <alignment vertical="center" wrapText="1"/>
    </xf>
    <xf numFmtId="0" fontId="28" fillId="9" borderId="4" xfId="0" applyFont="1" applyFill="1" applyBorder="1"/>
    <xf numFmtId="164" fontId="27" fillId="9" borderId="34" xfId="1" applyNumberFormat="1" applyFont="1" applyFill="1" applyBorder="1" applyAlignment="1">
      <alignment horizontal="right" vertical="center" wrapText="1"/>
    </xf>
    <xf numFmtId="164" fontId="35" fillId="9" borderId="18" xfId="0" applyNumberFormat="1" applyFont="1" applyFill="1" applyBorder="1" applyAlignment="1">
      <alignment horizontal="right" vertical="center"/>
    </xf>
    <xf numFmtId="0" fontId="58" fillId="9" borderId="0" xfId="0" applyFont="1" applyFill="1" applyAlignment="1">
      <alignment horizontal="center" vertical="center"/>
    </xf>
    <xf numFmtId="14" fontId="27" fillId="9" borderId="1" xfId="0" applyNumberFormat="1" applyFont="1" applyFill="1" applyBorder="1" applyAlignment="1">
      <alignment horizontal="right" vertical="center" wrapText="1"/>
    </xf>
    <xf numFmtId="164" fontId="23" fillId="9" borderId="1" xfId="1" applyNumberFormat="1" applyFont="1" applyFill="1" applyBorder="1" applyAlignment="1">
      <alignment horizontal="left" vertical="center" wrapText="1"/>
    </xf>
    <xf numFmtId="164" fontId="20" fillId="9" borderId="0" xfId="0" applyNumberFormat="1" applyFont="1" applyFill="1"/>
    <xf numFmtId="0" fontId="58" fillId="9" borderId="0" xfId="0" applyFont="1" applyFill="1" applyAlignment="1">
      <alignment vertical="center"/>
    </xf>
    <xf numFmtId="164" fontId="27" fillId="9" borderId="1" xfId="1" applyNumberFormat="1" applyFont="1" applyFill="1" applyBorder="1" applyAlignment="1">
      <alignment vertical="center" wrapText="1"/>
    </xf>
    <xf numFmtId="49" fontId="27" fillId="9" borderId="1" xfId="0" applyNumberFormat="1" applyFont="1" applyFill="1" applyBorder="1" applyAlignment="1">
      <alignment vertical="center" wrapText="1"/>
    </xf>
    <xf numFmtId="164" fontId="27" fillId="9" borderId="1" xfId="1" applyNumberFormat="1" applyFont="1" applyFill="1" applyBorder="1" applyAlignment="1">
      <alignment horizontal="right" vertical="center" wrapText="1"/>
    </xf>
    <xf numFmtId="2" fontId="23" fillId="9" borderId="6" xfId="0" applyNumberFormat="1" applyFont="1" applyFill="1" applyBorder="1" applyAlignment="1">
      <alignment horizontal="right" vertical="center" wrapText="1"/>
    </xf>
    <xf numFmtId="164" fontId="32" fillId="9" borderId="6" xfId="1" applyNumberFormat="1" applyFont="1" applyFill="1" applyBorder="1" applyAlignment="1">
      <alignment horizontal="right" vertical="center" wrapText="1"/>
    </xf>
    <xf numFmtId="49" fontId="23" fillId="9" borderId="6" xfId="0" applyNumberFormat="1" applyFont="1" applyFill="1" applyBorder="1" applyAlignment="1">
      <alignment horizontal="right" vertical="center" wrapText="1"/>
    </xf>
    <xf numFmtId="49" fontId="23" fillId="9" borderId="6" xfId="0" applyNumberFormat="1" applyFont="1" applyFill="1" applyBorder="1" applyAlignment="1">
      <alignment horizontal="left" vertical="center" wrapText="1"/>
    </xf>
    <xf numFmtId="1" fontId="23" fillId="9" borderId="6" xfId="0" applyNumberFormat="1" applyFont="1" applyFill="1" applyBorder="1" applyAlignment="1">
      <alignment horizontal="right" vertical="center" wrapText="1"/>
    </xf>
    <xf numFmtId="22" fontId="31" fillId="9" borderId="6" xfId="0" applyNumberFormat="1" applyFont="1" applyFill="1" applyBorder="1" applyAlignment="1">
      <alignment horizontal="right" wrapText="1"/>
    </xf>
    <xf numFmtId="49" fontId="20" fillId="9" borderId="17" xfId="0" applyNumberFormat="1" applyFont="1" applyFill="1" applyBorder="1" applyAlignment="1">
      <alignment horizontal="center" vertical="center"/>
    </xf>
    <xf numFmtId="0" fontId="33" fillId="9" borderId="4" xfId="0" applyFont="1" applyFill="1" applyBorder="1" applyAlignment="1">
      <alignment horizontal="left" wrapText="1"/>
    </xf>
    <xf numFmtId="164" fontId="32" fillId="9" borderId="4" xfId="1" applyNumberFormat="1" applyFont="1" applyFill="1" applyBorder="1" applyAlignment="1">
      <alignment vertical="center" wrapText="1"/>
    </xf>
    <xf numFmtId="49" fontId="32" fillId="9" borderId="4" xfId="0" applyNumberFormat="1" applyFont="1" applyFill="1" applyBorder="1" applyAlignment="1">
      <alignment vertical="center" wrapText="1"/>
    </xf>
    <xf numFmtId="164" fontId="32" fillId="9" borderId="4" xfId="1" applyNumberFormat="1" applyFont="1" applyFill="1" applyBorder="1" applyAlignment="1">
      <alignment horizontal="right" vertical="center" wrapText="1"/>
    </xf>
    <xf numFmtId="2" fontId="27" fillId="9" borderId="1" xfId="0" applyNumberFormat="1" applyFont="1" applyFill="1" applyBorder="1" applyAlignment="1">
      <alignment vertical="center" wrapText="1"/>
    </xf>
    <xf numFmtId="49" fontId="63" fillId="0" borderId="4" xfId="0" applyNumberFormat="1" applyFont="1" applyBorder="1" applyAlignment="1">
      <alignment horizontal="left" vertical="top" wrapText="1"/>
    </xf>
    <xf numFmtId="2" fontId="63" fillId="0" borderId="4" xfId="0" applyNumberFormat="1" applyFont="1" applyBorder="1" applyAlignment="1">
      <alignment horizontal="right" vertical="top" wrapText="1"/>
    </xf>
    <xf numFmtId="49" fontId="23" fillId="9" borderId="18" xfId="0" applyNumberFormat="1" applyFont="1" applyFill="1" applyBorder="1" applyAlignment="1">
      <alignment horizontal="left" vertical="center" wrapText="1"/>
    </xf>
    <xf numFmtId="22" fontId="27" fillId="9" borderId="4" xfId="0" applyNumberFormat="1" applyFont="1" applyFill="1" applyBorder="1" applyAlignment="1">
      <alignment horizontal="right" wrapText="1"/>
    </xf>
    <xf numFmtId="2" fontId="23" fillId="9" borderId="4" xfId="0" applyNumberFormat="1" applyFont="1" applyFill="1" applyBorder="1" applyAlignment="1">
      <alignment horizontal="right" vertical="center" wrapText="1"/>
    </xf>
    <xf numFmtId="164" fontId="65" fillId="0" borderId="0" xfId="1" applyNumberFormat="1" applyFont="1" applyFill="1" applyBorder="1" applyAlignment="1">
      <alignment horizontal="right" vertical="top" wrapText="1"/>
    </xf>
    <xf numFmtId="22" fontId="27" fillId="0" borderId="3" xfId="0" applyNumberFormat="1" applyFont="1" applyBorder="1" applyAlignment="1">
      <alignment horizontal="right" wrapText="1"/>
    </xf>
    <xf numFmtId="49" fontId="27" fillId="9" borderId="6" xfId="0" applyNumberFormat="1" applyFont="1" applyFill="1" applyBorder="1" applyAlignment="1">
      <alignment horizontal="left" vertical="center" wrapText="1"/>
    </xf>
    <xf numFmtId="0" fontId="28" fillId="9" borderId="6" xfId="0" applyFont="1" applyFill="1" applyBorder="1" applyAlignment="1">
      <alignment horizontal="left"/>
    </xf>
    <xf numFmtId="22" fontId="27" fillId="9" borderId="6" xfId="0" applyNumberFormat="1" applyFont="1" applyFill="1" applyBorder="1" applyAlignment="1">
      <alignment horizontal="right" wrapText="1"/>
    </xf>
    <xf numFmtId="49" fontId="27" fillId="9" borderId="3" xfId="0" applyNumberFormat="1" applyFont="1" applyFill="1" applyBorder="1" applyAlignment="1">
      <alignment horizontal="left" vertical="center" wrapText="1"/>
    </xf>
    <xf numFmtId="49" fontId="23" fillId="9" borderId="31" xfId="0" applyNumberFormat="1" applyFont="1" applyFill="1" applyBorder="1" applyAlignment="1">
      <alignment horizontal="left" vertical="center" wrapText="1"/>
    </xf>
    <xf numFmtId="0" fontId="28" fillId="9" borderId="35" xfId="0" applyFont="1" applyFill="1" applyBorder="1" applyAlignment="1">
      <alignment horizontal="left"/>
    </xf>
    <xf numFmtId="22" fontId="27" fillId="9" borderId="3" xfId="0" applyNumberFormat="1" applyFont="1" applyFill="1" applyBorder="1" applyAlignment="1">
      <alignment horizontal="right" wrapText="1"/>
    </xf>
    <xf numFmtId="49" fontId="23" fillId="9" borderId="3" xfId="0" applyNumberFormat="1" applyFont="1" applyFill="1" applyBorder="1" applyAlignment="1">
      <alignment horizontal="left" vertical="center" wrapText="1"/>
    </xf>
    <xf numFmtId="164" fontId="23" fillId="9" borderId="3" xfId="1" applyNumberFormat="1" applyFont="1" applyFill="1" applyBorder="1" applyAlignment="1">
      <alignment horizontal="right" vertical="center" wrapText="1"/>
    </xf>
    <xf numFmtId="2" fontId="23" fillId="9" borderId="3" xfId="0" applyNumberFormat="1" applyFont="1" applyFill="1" applyBorder="1" applyAlignment="1">
      <alignment horizontal="right" vertical="center" wrapText="1"/>
    </xf>
    <xf numFmtId="49" fontId="23" fillId="9" borderId="3" xfId="0" applyNumberFormat="1" applyFont="1" applyFill="1" applyBorder="1" applyAlignment="1">
      <alignment vertical="center" wrapText="1"/>
    </xf>
    <xf numFmtId="0" fontId="23" fillId="9" borderId="1" xfId="0" applyFont="1" applyFill="1" applyBorder="1" applyAlignment="1">
      <alignment horizontal="right" vertical="center" wrapText="1"/>
    </xf>
    <xf numFmtId="0" fontId="20" fillId="9" borderId="1" xfId="0" applyFont="1" applyFill="1" applyBorder="1" applyAlignment="1">
      <alignment horizontal="right"/>
    </xf>
    <xf numFmtId="14" fontId="20" fillId="9" borderId="1" xfId="0" applyNumberFormat="1" applyFont="1" applyFill="1" applyBorder="1" applyAlignment="1">
      <alignment horizontal="right"/>
    </xf>
    <xf numFmtId="49" fontId="23" fillId="9" borderId="15" xfId="0" applyNumberFormat="1" applyFont="1" applyFill="1" applyBorder="1" applyAlignment="1">
      <alignment horizontal="right" vertical="center" wrapText="1"/>
    </xf>
    <xf numFmtId="164" fontId="23" fillId="9" borderId="17" xfId="1" applyNumberFormat="1" applyFont="1" applyFill="1" applyBorder="1" applyAlignment="1">
      <alignment vertical="center" wrapText="1"/>
    </xf>
    <xf numFmtId="164" fontId="32" fillId="9" borderId="17" xfId="0" applyNumberFormat="1" applyFont="1" applyFill="1" applyBorder="1" applyAlignment="1">
      <alignment horizontal="right" vertical="center"/>
    </xf>
    <xf numFmtId="2" fontId="23" fillId="9" borderId="17" xfId="0" applyNumberFormat="1" applyFont="1" applyFill="1" applyBorder="1" applyAlignment="1">
      <alignment horizontal="right" vertical="center" wrapText="1"/>
    </xf>
    <xf numFmtId="0" fontId="0" fillId="9" borderId="17" xfId="0" applyFill="1" applyBorder="1"/>
    <xf numFmtId="164" fontId="35" fillId="9" borderId="20" xfId="0" applyNumberFormat="1" applyFont="1" applyFill="1" applyBorder="1" applyAlignment="1">
      <alignment horizontal="right" vertical="center"/>
    </xf>
    <xf numFmtId="0" fontId="0" fillId="9" borderId="0" xfId="0" applyFill="1"/>
    <xf numFmtId="1" fontId="27" fillId="9" borderId="15" xfId="0" applyNumberFormat="1" applyFont="1" applyFill="1" applyBorder="1" applyAlignment="1">
      <alignment horizontal="right" vertical="center" wrapText="1"/>
    </xf>
    <xf numFmtId="49" fontId="27" fillId="9" borderId="17" xfId="0" applyNumberFormat="1" applyFont="1" applyFill="1" applyBorder="1" applyAlignment="1">
      <alignment horizontal="left" vertical="center" wrapText="1"/>
    </xf>
    <xf numFmtId="0" fontId="28" fillId="9" borderId="17" xfId="0" applyFont="1" applyFill="1" applyBorder="1" applyAlignment="1">
      <alignment horizontal="left"/>
    </xf>
    <xf numFmtId="22" fontId="27" fillId="9" borderId="17" xfId="0" applyNumberFormat="1" applyFont="1" applyFill="1" applyBorder="1" applyAlignment="1">
      <alignment horizontal="right" wrapText="1"/>
    </xf>
    <xf numFmtId="164" fontId="32" fillId="9" borderId="17" xfId="1" applyNumberFormat="1" applyFont="1" applyFill="1" applyBorder="1" applyAlignment="1">
      <alignment horizontal="right" vertical="center" wrapText="1"/>
    </xf>
    <xf numFmtId="164" fontId="35" fillId="9" borderId="85" xfId="0" applyNumberFormat="1" applyFont="1" applyFill="1" applyBorder="1" applyAlignment="1">
      <alignment horizontal="right" vertical="center"/>
    </xf>
    <xf numFmtId="1" fontId="23" fillId="9" borderId="15" xfId="0" applyNumberFormat="1" applyFont="1" applyFill="1" applyBorder="1" applyAlignment="1">
      <alignment horizontal="right" vertical="center" wrapText="1"/>
    </xf>
    <xf numFmtId="164" fontId="52" fillId="9" borderId="17" xfId="1" applyNumberFormat="1" applyFont="1" applyFill="1" applyBorder="1" applyAlignment="1">
      <alignment horizontal="right" vertical="center" wrapText="1"/>
    </xf>
    <xf numFmtId="0" fontId="28" fillId="9" borderId="17" xfId="0" applyFont="1" applyFill="1" applyBorder="1"/>
    <xf numFmtId="164" fontId="27" fillId="9" borderId="17" xfId="1" applyNumberFormat="1" applyFont="1" applyFill="1" applyBorder="1" applyAlignment="1">
      <alignment horizontal="right" vertical="center" wrapText="1"/>
    </xf>
    <xf numFmtId="164" fontId="35" fillId="9" borderId="29" xfId="0" applyNumberFormat="1" applyFont="1" applyFill="1" applyBorder="1" applyAlignment="1">
      <alignment horizontal="right" vertical="center"/>
    </xf>
    <xf numFmtId="164" fontId="23" fillId="9" borderId="17" xfId="1" applyNumberFormat="1" applyFont="1" applyFill="1" applyBorder="1" applyAlignment="1">
      <alignment horizontal="left" vertical="center" wrapText="1"/>
    </xf>
    <xf numFmtId="2" fontId="20" fillId="9" borderId="17" xfId="0" applyNumberFormat="1" applyFont="1" applyFill="1" applyBorder="1"/>
    <xf numFmtId="164" fontId="35" fillId="9" borderId="26" xfId="0" applyNumberFormat="1" applyFont="1" applyFill="1" applyBorder="1" applyAlignment="1">
      <alignment horizontal="right" vertical="center"/>
    </xf>
    <xf numFmtId="0" fontId="64" fillId="9" borderId="0" xfId="0" applyFont="1" applyFill="1" applyAlignment="1">
      <alignment horizontal="right" vertical="top"/>
    </xf>
    <xf numFmtId="0" fontId="23" fillId="9" borderId="3" xfId="0" applyFont="1" applyFill="1" applyBorder="1" applyAlignment="1">
      <alignment vertical="center" wrapText="1"/>
    </xf>
    <xf numFmtId="164" fontId="51" fillId="9" borderId="26" xfId="0" applyNumberFormat="1" applyFont="1" applyFill="1" applyBorder="1" applyAlignment="1">
      <alignment horizontal="right" vertical="center"/>
    </xf>
    <xf numFmtId="0" fontId="28" fillId="9" borderId="4" xfId="0" applyFont="1" applyFill="1" applyBorder="1" applyAlignment="1">
      <alignment horizontal="left"/>
    </xf>
    <xf numFmtId="164" fontId="27" fillId="9" borderId="34" xfId="1" applyNumberFormat="1" applyFont="1" applyFill="1" applyBorder="1" applyAlignment="1">
      <alignment vertical="center" wrapText="1"/>
    </xf>
    <xf numFmtId="164" fontId="51" fillId="9" borderId="17" xfId="0" applyNumberFormat="1" applyFont="1" applyFill="1" applyBorder="1" applyAlignment="1">
      <alignment horizontal="right" vertical="center"/>
    </xf>
    <xf numFmtId="164" fontId="23" fillId="9" borderId="0" xfId="1" applyNumberFormat="1" applyFont="1" applyFill="1" applyBorder="1" applyAlignment="1">
      <alignment vertical="center" wrapText="1"/>
    </xf>
    <xf numFmtId="0" fontId="29" fillId="9" borderId="4" xfId="0" applyFont="1" applyFill="1" applyBorder="1" applyAlignment="1">
      <alignment horizontal="left" wrapText="1"/>
    </xf>
    <xf numFmtId="164" fontId="52" fillId="9" borderId="4" xfId="1" applyNumberFormat="1" applyFont="1" applyFill="1" applyBorder="1" applyAlignment="1">
      <alignment horizontal="right" vertical="center" wrapText="1"/>
    </xf>
    <xf numFmtId="49" fontId="27" fillId="9" borderId="4" xfId="0" applyNumberFormat="1" applyFont="1" applyFill="1" applyBorder="1" applyAlignment="1">
      <alignment vertical="center" wrapText="1"/>
    </xf>
    <xf numFmtId="164" fontId="27" fillId="9" borderId="4" xfId="1" applyNumberFormat="1" applyFont="1" applyFill="1" applyBorder="1" applyAlignment="1">
      <alignment horizontal="right" vertical="center" wrapText="1"/>
    </xf>
    <xf numFmtId="164" fontId="51" fillId="9" borderId="1" xfId="0" applyNumberFormat="1" applyFont="1" applyFill="1" applyBorder="1" applyAlignment="1">
      <alignment horizontal="right" vertical="center"/>
    </xf>
    <xf numFmtId="164" fontId="23" fillId="9" borderId="4" xfId="1" applyNumberFormat="1" applyFont="1" applyFill="1" applyBorder="1" applyAlignment="1">
      <alignment horizontal="left" vertical="center" wrapText="1"/>
    </xf>
    <xf numFmtId="164" fontId="23" fillId="9" borderId="34" xfId="1" applyNumberFormat="1" applyFont="1" applyFill="1" applyBorder="1" applyAlignment="1">
      <alignment vertical="center" wrapText="1"/>
    </xf>
    <xf numFmtId="49" fontId="23" fillId="9" borderId="17" xfId="0" applyNumberFormat="1" applyFont="1" applyFill="1" applyBorder="1" applyAlignment="1">
      <alignment vertical="center" wrapText="1"/>
    </xf>
    <xf numFmtId="49" fontId="23" fillId="9" borderId="31" xfId="0" applyNumberFormat="1" applyFont="1" applyFill="1" applyBorder="1" applyAlignment="1">
      <alignment vertical="center" wrapText="1"/>
    </xf>
    <xf numFmtId="164" fontId="23" fillId="9" borderId="31" xfId="1" applyNumberFormat="1" applyFont="1" applyFill="1" applyBorder="1" applyAlignment="1">
      <alignment horizontal="right" vertical="center" wrapText="1"/>
    </xf>
    <xf numFmtId="0" fontId="20" fillId="9" borderId="0" xfId="0" applyFont="1" applyFill="1" applyAlignment="1">
      <alignment vertical="center"/>
    </xf>
    <xf numFmtId="164" fontId="23" fillId="9" borderId="3" xfId="1" applyNumberFormat="1" applyFont="1" applyFill="1" applyBorder="1" applyAlignment="1">
      <alignment horizontal="left" vertical="center" wrapText="1"/>
    </xf>
    <xf numFmtId="0" fontId="20" fillId="9" borderId="6" xfId="0" applyFont="1" applyFill="1" applyBorder="1" applyAlignment="1">
      <alignment vertical="center"/>
    </xf>
    <xf numFmtId="0" fontId="53" fillId="9" borderId="6" xfId="0" applyFont="1" applyFill="1" applyBorder="1"/>
    <xf numFmtId="164" fontId="27" fillId="9" borderId="6" xfId="1" applyNumberFormat="1" applyFont="1" applyFill="1" applyBorder="1" applyAlignment="1">
      <alignment horizontal="right" vertical="center" wrapText="1"/>
    </xf>
    <xf numFmtId="22" fontId="31" fillId="9" borderId="19" xfId="0" applyNumberFormat="1" applyFont="1" applyFill="1" applyBorder="1" applyAlignment="1">
      <alignment horizontal="right" wrapText="1"/>
    </xf>
    <xf numFmtId="49" fontId="23" fillId="9" borderId="86" xfId="0" applyNumberFormat="1" applyFont="1" applyFill="1" applyBorder="1" applyAlignment="1">
      <alignment horizontal="left" vertical="center" wrapText="1"/>
    </xf>
    <xf numFmtId="164" fontId="23" fillId="9" borderId="19" xfId="1" applyNumberFormat="1" applyFont="1" applyFill="1" applyBorder="1" applyAlignment="1">
      <alignment horizontal="right" vertical="center" wrapText="1"/>
    </xf>
    <xf numFmtId="164" fontId="23" fillId="9" borderId="24" xfId="1" applyNumberFormat="1" applyFont="1" applyFill="1" applyBorder="1" applyAlignment="1">
      <alignment horizontal="right" vertical="center" wrapText="1"/>
    </xf>
    <xf numFmtId="0" fontId="20" fillId="9" borderId="6" xfId="0" applyFont="1" applyFill="1" applyBorder="1"/>
    <xf numFmtId="164" fontId="51" fillId="9" borderId="18" xfId="0" applyNumberFormat="1" applyFont="1" applyFill="1" applyBorder="1" applyAlignment="1">
      <alignment horizontal="right" vertical="center"/>
    </xf>
    <xf numFmtId="49" fontId="23" fillId="9" borderId="15" xfId="0" applyNumberFormat="1" applyFont="1" applyFill="1" applyBorder="1" applyAlignment="1">
      <alignment horizontal="left" vertical="center" wrapText="1"/>
    </xf>
    <xf numFmtId="0" fontId="20" fillId="9" borderId="4" xfId="0" applyFont="1" applyFill="1" applyBorder="1"/>
    <xf numFmtId="22" fontId="31" fillId="9" borderId="4" xfId="0" applyNumberFormat="1" applyFont="1" applyFill="1" applyBorder="1" applyAlignment="1">
      <alignment horizontal="right" wrapText="1"/>
    </xf>
    <xf numFmtId="3" fontId="6" fillId="9" borderId="17" xfId="0" applyNumberFormat="1" applyFont="1" applyFill="1" applyBorder="1" applyAlignment="1">
      <alignment vertical="center" wrapText="1"/>
    </xf>
    <xf numFmtId="0" fontId="20" fillId="9" borderId="1" xfId="0" applyFont="1" applyFill="1" applyBorder="1" applyAlignment="1">
      <alignment horizontal="left"/>
    </xf>
    <xf numFmtId="0" fontId="55" fillId="9" borderId="4" xfId="0" applyFont="1" applyFill="1" applyBorder="1" applyAlignment="1">
      <alignment vertical="center" wrapText="1"/>
    </xf>
    <xf numFmtId="0" fontId="55" fillId="9" borderId="1" xfId="0" applyFont="1" applyFill="1" applyBorder="1" applyAlignment="1">
      <alignment vertical="center" wrapText="1"/>
    </xf>
    <xf numFmtId="0" fontId="27" fillId="9" borderId="3" xfId="0" applyFont="1" applyFill="1" applyBorder="1" applyAlignment="1">
      <alignment vertical="center" wrapText="1"/>
    </xf>
    <xf numFmtId="49" fontId="27" fillId="9" borderId="3" xfId="0" applyNumberFormat="1" applyFont="1" applyFill="1" applyBorder="1" applyAlignment="1">
      <alignment horizontal="right" vertical="center" wrapText="1"/>
    </xf>
    <xf numFmtId="14" fontId="27" fillId="9" borderId="3" xfId="0" applyNumberFormat="1" applyFont="1" applyFill="1" applyBorder="1" applyAlignment="1">
      <alignment horizontal="right" vertical="center" wrapText="1"/>
    </xf>
    <xf numFmtId="1" fontId="27" fillId="9" borderId="3" xfId="0" applyNumberFormat="1" applyFont="1" applyFill="1" applyBorder="1" applyAlignment="1">
      <alignment horizontal="right" vertical="center" wrapText="1"/>
    </xf>
    <xf numFmtId="0" fontId="55" fillId="9" borderId="4" xfId="0" applyFont="1" applyFill="1" applyBorder="1"/>
    <xf numFmtId="164" fontId="51" fillId="9" borderId="4" xfId="0" applyNumberFormat="1" applyFont="1" applyFill="1" applyBorder="1" applyAlignment="1">
      <alignment horizontal="right" vertical="center"/>
    </xf>
    <xf numFmtId="0" fontId="28" fillId="9" borderId="3" xfId="0" applyFont="1" applyFill="1" applyBorder="1" applyAlignment="1">
      <alignment horizontal="left"/>
    </xf>
    <xf numFmtId="164" fontId="23" fillId="9" borderId="18" xfId="1" applyNumberFormat="1" applyFont="1" applyFill="1" applyBorder="1" applyAlignment="1">
      <alignment horizontal="right" vertical="center" wrapText="1"/>
    </xf>
    <xf numFmtId="49" fontId="23" fillId="9" borderId="18" xfId="0" applyNumberFormat="1" applyFont="1" applyFill="1" applyBorder="1" applyAlignment="1">
      <alignment vertical="center" wrapText="1"/>
    </xf>
    <xf numFmtId="49" fontId="27" fillId="9" borderId="4" xfId="0" applyNumberFormat="1" applyFont="1" applyFill="1" applyBorder="1" applyAlignment="1">
      <alignment horizontal="right" vertical="center" wrapText="1"/>
    </xf>
    <xf numFmtId="14" fontId="27" fillId="9" borderId="4" xfId="0" applyNumberFormat="1" applyFont="1" applyFill="1" applyBorder="1" applyAlignment="1">
      <alignment horizontal="right" vertical="center" wrapText="1"/>
    </xf>
    <xf numFmtId="1" fontId="27" fillId="9" borderId="4" xfId="0" applyNumberFormat="1" applyFont="1" applyFill="1" applyBorder="1" applyAlignment="1">
      <alignment horizontal="right" vertical="center" wrapText="1"/>
    </xf>
    <xf numFmtId="0" fontId="27" fillId="9" borderId="6" xfId="0" applyFont="1" applyFill="1" applyBorder="1" applyAlignment="1">
      <alignment vertical="center" wrapText="1"/>
    </xf>
    <xf numFmtId="49" fontId="27" fillId="9" borderId="6" xfId="0" applyNumberFormat="1" applyFont="1" applyFill="1" applyBorder="1" applyAlignment="1">
      <alignment horizontal="right" vertical="center" wrapText="1"/>
    </xf>
    <xf numFmtId="14" fontId="27" fillId="9" borderId="6" xfId="0" applyNumberFormat="1" applyFont="1" applyFill="1" applyBorder="1" applyAlignment="1">
      <alignment horizontal="right" vertical="center" wrapText="1"/>
    </xf>
    <xf numFmtId="1" fontId="27" fillId="9" borderId="6" xfId="0" applyNumberFormat="1" applyFont="1" applyFill="1" applyBorder="1" applyAlignment="1">
      <alignment horizontal="right" vertical="center" wrapText="1"/>
    </xf>
    <xf numFmtId="22" fontId="27" fillId="9" borderId="19" xfId="0" applyNumberFormat="1" applyFont="1" applyFill="1" applyBorder="1" applyAlignment="1">
      <alignment horizontal="right" wrapText="1"/>
    </xf>
    <xf numFmtId="0" fontId="48" fillId="9" borderId="0" xfId="0" applyFont="1" applyFill="1"/>
    <xf numFmtId="0" fontId="45" fillId="9" borderId="6" xfId="0" applyFont="1" applyFill="1" applyBorder="1" applyAlignment="1">
      <alignment vertical="center" wrapText="1"/>
    </xf>
    <xf numFmtId="14" fontId="23" fillId="9" borderId="6" xfId="0" applyNumberFormat="1" applyFont="1" applyFill="1" applyBorder="1" applyAlignment="1">
      <alignment horizontal="right" vertical="center" wrapText="1"/>
    </xf>
    <xf numFmtId="0" fontId="20" fillId="9" borderId="26" xfId="0" applyFont="1" applyFill="1" applyBorder="1" applyAlignment="1">
      <alignment horizontal="left"/>
    </xf>
    <xf numFmtId="0" fontId="48" fillId="9" borderId="19" xfId="0" applyFont="1" applyFill="1" applyBorder="1"/>
    <xf numFmtId="164" fontId="45" fillId="9" borderId="19" xfId="1" applyNumberFormat="1" applyFont="1" applyFill="1" applyBorder="1" applyAlignment="1">
      <alignment horizontal="right" vertical="center" wrapText="1"/>
    </xf>
    <xf numFmtId="164" fontId="49" fillId="9" borderId="19" xfId="0" applyNumberFormat="1" applyFont="1" applyFill="1" applyBorder="1" applyAlignment="1">
      <alignment horizontal="right" vertical="center"/>
    </xf>
    <xf numFmtId="0" fontId="48" fillId="9" borderId="17" xfId="0" applyFont="1" applyFill="1" applyBorder="1"/>
    <xf numFmtId="14" fontId="29" fillId="9" borderId="6" xfId="0" applyNumberFormat="1" applyFont="1" applyFill="1" applyBorder="1" applyAlignment="1">
      <alignment horizontal="right" vertical="center" wrapText="1"/>
    </xf>
    <xf numFmtId="0" fontId="27" fillId="9" borderId="3" xfId="0" applyFont="1" applyFill="1" applyBorder="1" applyAlignment="1">
      <alignment horizontal="left" vertical="center" wrapText="1"/>
    </xf>
    <xf numFmtId="22" fontId="31" fillId="9" borderId="3" xfId="0" applyNumberFormat="1" applyFont="1" applyFill="1" applyBorder="1" applyAlignment="1">
      <alignment horizontal="right" wrapText="1"/>
    </xf>
    <xf numFmtId="0" fontId="23" fillId="9" borderId="1" xfId="0" applyFont="1" applyFill="1" applyBorder="1" applyAlignment="1">
      <alignment vertical="center"/>
    </xf>
    <xf numFmtId="0" fontId="20" fillId="9" borderId="6" xfId="0" applyFont="1" applyFill="1" applyBorder="1" applyAlignment="1">
      <alignment horizontal="left"/>
    </xf>
    <xf numFmtId="14" fontId="37" fillId="9" borderId="1" xfId="0" applyNumberFormat="1" applyFont="1" applyFill="1" applyBorder="1" applyAlignment="1">
      <alignment horizontal="right" wrapText="1"/>
    </xf>
    <xf numFmtId="0" fontId="37" fillId="9" borderId="1" xfId="0" applyFont="1" applyFill="1" applyBorder="1" applyAlignment="1">
      <alignment horizontal="right" wrapText="1"/>
    </xf>
    <xf numFmtId="164" fontId="32" fillId="9" borderId="17" xfId="1" applyNumberFormat="1" applyFont="1" applyFill="1" applyBorder="1" applyAlignment="1">
      <alignment vertical="center" wrapText="1"/>
    </xf>
    <xf numFmtId="22" fontId="20" fillId="9" borderId="1" xfId="0" applyNumberFormat="1" applyFont="1" applyFill="1" applyBorder="1" applyAlignment="1">
      <alignment horizontal="right"/>
    </xf>
    <xf numFmtId="2" fontId="23" fillId="9" borderId="15" xfId="0" applyNumberFormat="1" applyFont="1" applyFill="1" applyBorder="1" applyAlignment="1">
      <alignment horizontal="left" vertical="center" wrapText="1"/>
    </xf>
    <xf numFmtId="0" fontId="23" fillId="9" borderId="17" xfId="0" applyFont="1" applyFill="1" applyBorder="1" applyAlignment="1">
      <alignment horizontal="left" vertical="center" wrapText="1"/>
    </xf>
    <xf numFmtId="2" fontId="24" fillId="9" borderId="17" xfId="0" applyNumberFormat="1" applyFont="1" applyFill="1" applyBorder="1" applyAlignment="1">
      <alignment horizontal="left" vertical="center" wrapText="1"/>
    </xf>
    <xf numFmtId="164" fontId="24" fillId="9" borderId="17" xfId="1" applyNumberFormat="1" applyFont="1" applyFill="1" applyBorder="1" applyAlignment="1">
      <alignment vertical="center" wrapText="1"/>
    </xf>
    <xf numFmtId="49" fontId="55" fillId="9" borderId="17" xfId="0" applyNumberFormat="1" applyFont="1" applyFill="1" applyBorder="1" applyAlignment="1">
      <alignment horizontal="left" vertical="center" wrapText="1"/>
    </xf>
    <xf numFmtId="0" fontId="16" fillId="9" borderId="17" xfId="0" applyFont="1" applyFill="1" applyBorder="1" applyAlignment="1">
      <alignment horizontal="left" wrapText="1"/>
    </xf>
    <xf numFmtId="49" fontId="45" fillId="9" borderId="17" xfId="0" applyNumberFormat="1" applyFont="1" applyFill="1" applyBorder="1" applyAlignment="1">
      <alignment horizontal="left" vertical="center" wrapText="1"/>
    </xf>
    <xf numFmtId="164" fontId="45" fillId="9" borderId="17" xfId="1" applyNumberFormat="1" applyFont="1" applyFill="1" applyBorder="1" applyAlignment="1">
      <alignment vertical="center" wrapText="1"/>
    </xf>
    <xf numFmtId="0" fontId="20" fillId="9" borderId="17" xfId="0" applyFont="1" applyFill="1" applyBorder="1" applyAlignment="1">
      <alignment horizontal="left" vertical="center"/>
    </xf>
    <xf numFmtId="22" fontId="31" fillId="9" borderId="17" xfId="0" applyNumberFormat="1" applyFont="1" applyFill="1" applyBorder="1" applyAlignment="1">
      <alignment horizontal="right" vertical="center" wrapText="1"/>
    </xf>
    <xf numFmtId="164" fontId="53" fillId="9" borderId="17" xfId="0" applyNumberFormat="1" applyFont="1" applyFill="1" applyBorder="1" applyAlignment="1">
      <alignment vertical="center"/>
    </xf>
    <xf numFmtId="2" fontId="23" fillId="9" borderId="0" xfId="0" applyNumberFormat="1" applyFont="1" applyFill="1" applyAlignment="1">
      <alignment horizontal="right" vertical="center" wrapText="1"/>
    </xf>
    <xf numFmtId="2" fontId="23" fillId="9" borderId="26" xfId="0" applyNumberFormat="1" applyFont="1" applyFill="1" applyBorder="1" applyAlignment="1">
      <alignment horizontal="right" vertical="center" wrapText="1"/>
    </xf>
    <xf numFmtId="2" fontId="23" fillId="9" borderId="20" xfId="0" applyNumberFormat="1" applyFont="1" applyFill="1" applyBorder="1" applyAlignment="1">
      <alignment horizontal="right" vertical="center" wrapText="1"/>
    </xf>
    <xf numFmtId="2" fontId="23" fillId="9" borderId="24" xfId="0" applyNumberFormat="1" applyFont="1" applyFill="1" applyBorder="1" applyAlignment="1">
      <alignment horizontal="right" vertical="center" wrapText="1"/>
    </xf>
    <xf numFmtId="2" fontId="23" fillId="9" borderId="29" xfId="0" applyNumberFormat="1" applyFont="1" applyFill="1" applyBorder="1" applyAlignment="1">
      <alignment horizontal="right" vertical="center" wrapText="1"/>
    </xf>
    <xf numFmtId="0" fontId="20" fillId="9" borderId="18" xfId="0" applyFont="1" applyFill="1" applyBorder="1" applyAlignment="1">
      <alignment horizontal="left"/>
    </xf>
    <xf numFmtId="2" fontId="23" fillId="9" borderId="18" xfId="1" applyNumberFormat="1" applyFont="1" applyFill="1" applyBorder="1" applyAlignment="1">
      <alignment horizontal="right" vertical="center" wrapText="1"/>
    </xf>
    <xf numFmtId="164" fontId="23" fillId="9" borderId="18" xfId="1" applyNumberFormat="1" applyFont="1" applyFill="1" applyBorder="1" applyAlignment="1">
      <alignment vertical="center" wrapText="1"/>
    </xf>
    <xf numFmtId="0" fontId="23" fillId="9" borderId="3" xfId="0" applyFont="1" applyFill="1" applyBorder="1" applyAlignment="1">
      <alignment horizontal="left" vertical="center" wrapText="1"/>
    </xf>
    <xf numFmtId="164" fontId="23" fillId="9" borderId="4" xfId="1" applyNumberFormat="1" applyFont="1" applyFill="1" applyBorder="1" applyAlignment="1">
      <alignment vertical="center" wrapText="1"/>
    </xf>
    <xf numFmtId="49" fontId="23" fillId="9" borderId="19" xfId="0" applyNumberFormat="1" applyFont="1" applyFill="1" applyBorder="1" applyAlignment="1">
      <alignment horizontal="left" vertical="center" wrapText="1"/>
    </xf>
    <xf numFmtId="0" fontId="28" fillId="9" borderId="19" xfId="0" applyFont="1" applyFill="1" applyBorder="1" applyAlignment="1">
      <alignment horizontal="left"/>
    </xf>
    <xf numFmtId="49" fontId="27" fillId="9" borderId="19" xfId="0" applyNumberFormat="1" applyFont="1" applyFill="1" applyBorder="1" applyAlignment="1">
      <alignment horizontal="left" vertical="center" wrapText="1"/>
    </xf>
    <xf numFmtId="164" fontId="23" fillId="9" borderId="19" xfId="1" applyNumberFormat="1" applyFont="1" applyFill="1" applyBorder="1" applyAlignment="1">
      <alignment horizontal="left" vertical="center" wrapText="1"/>
    </xf>
    <xf numFmtId="2" fontId="20" fillId="9" borderId="19" xfId="0" applyNumberFormat="1" applyFont="1" applyFill="1" applyBorder="1"/>
    <xf numFmtId="22" fontId="63" fillId="0" borderId="3" xfId="0" applyNumberFormat="1" applyFont="1" applyBorder="1" applyAlignment="1">
      <alignment horizontal="right" vertical="top" wrapText="1"/>
    </xf>
    <xf numFmtId="49" fontId="63" fillId="0" borderId="31" xfId="0" applyNumberFormat="1" applyFont="1" applyBorder="1" applyAlignment="1">
      <alignment horizontal="left" vertical="top" wrapText="1"/>
    </xf>
    <xf numFmtId="164" fontId="63" fillId="0" borderId="31" xfId="1" applyNumberFormat="1" applyFont="1" applyFill="1" applyBorder="1" applyAlignment="1">
      <alignment horizontal="right" vertical="top" wrapText="1"/>
    </xf>
    <xf numFmtId="22" fontId="23" fillId="0" borderId="6" xfId="0" applyNumberFormat="1" applyFont="1" applyBorder="1" applyAlignment="1">
      <alignment horizontal="right" wrapText="1"/>
    </xf>
    <xf numFmtId="49" fontId="63" fillId="0" borderId="23" xfId="0" applyNumberFormat="1" applyFont="1" applyBorder="1" applyAlignment="1">
      <alignment horizontal="left" vertical="top" wrapText="1"/>
    </xf>
    <xf numFmtId="164" fontId="63" fillId="0" borderId="19" xfId="1" applyNumberFormat="1" applyFont="1" applyFill="1" applyBorder="1" applyAlignment="1">
      <alignment horizontal="right" vertical="top" wrapText="1"/>
    </xf>
    <xf numFmtId="0" fontId="20" fillId="9" borderId="19" xfId="0" applyFont="1" applyFill="1" applyBorder="1" applyAlignment="1">
      <alignment horizontal="left"/>
    </xf>
    <xf numFmtId="164" fontId="27" fillId="9" borderId="19" xfId="1" applyNumberFormat="1" applyFont="1" applyFill="1" applyBorder="1" applyAlignment="1">
      <alignment vertical="center" wrapText="1"/>
    </xf>
    <xf numFmtId="49" fontId="27" fillId="0" borderId="36" xfId="0" applyNumberFormat="1" applyFont="1" applyBorder="1" applyAlignment="1">
      <alignment horizontal="left" vertical="center" wrapText="1"/>
    </xf>
    <xf numFmtId="164" fontId="27" fillId="0" borderId="31" xfId="1" applyNumberFormat="1" applyFont="1" applyFill="1" applyBorder="1" applyAlignment="1">
      <alignment vertical="center" wrapText="1"/>
    </xf>
    <xf numFmtId="164" fontId="23" fillId="9" borderId="26" xfId="1" applyNumberFormat="1" applyFont="1" applyFill="1" applyBorder="1" applyAlignment="1">
      <alignment vertical="center" wrapText="1"/>
    </xf>
    <xf numFmtId="0" fontId="20" fillId="9" borderId="31" xfId="0" applyFont="1" applyFill="1" applyBorder="1" applyAlignment="1">
      <alignment horizontal="left"/>
    </xf>
    <xf numFmtId="22" fontId="31" fillId="9" borderId="31" xfId="0" applyNumberFormat="1" applyFont="1" applyFill="1" applyBorder="1" applyAlignment="1">
      <alignment horizontal="right" wrapText="1"/>
    </xf>
    <xf numFmtId="164" fontId="23" fillId="9" borderId="31" xfId="1" applyNumberFormat="1" applyFont="1" applyFill="1" applyBorder="1" applyAlignment="1">
      <alignment vertical="center" wrapText="1"/>
    </xf>
    <xf numFmtId="49" fontId="23" fillId="9" borderId="6" xfId="0" applyNumberFormat="1" applyFont="1" applyFill="1" applyBorder="1" applyAlignment="1">
      <alignment horizontal="left" vertical="center"/>
    </xf>
    <xf numFmtId="49" fontId="23" fillId="9" borderId="17" xfId="0" applyNumberFormat="1" applyFont="1" applyFill="1" applyBorder="1" applyAlignment="1">
      <alignment vertical="center"/>
    </xf>
    <xf numFmtId="164" fontId="23" fillId="9" borderId="17" xfId="1" applyNumberFormat="1" applyFont="1" applyFill="1" applyBorder="1" applyAlignment="1">
      <alignment horizontal="right" vertical="center"/>
    </xf>
    <xf numFmtId="164" fontId="23" fillId="9" borderId="28" xfId="1" applyNumberFormat="1" applyFont="1" applyFill="1" applyBorder="1" applyAlignment="1">
      <alignment horizontal="right" vertical="center" wrapText="1"/>
    </xf>
    <xf numFmtId="164" fontId="23" fillId="9" borderId="36" xfId="1" applyNumberFormat="1" applyFont="1" applyFill="1" applyBorder="1" applyAlignment="1">
      <alignment horizontal="right" vertical="center" wrapText="1"/>
    </xf>
    <xf numFmtId="164" fontId="23" fillId="9" borderId="87" xfId="1" applyNumberFormat="1" applyFont="1" applyFill="1" applyBorder="1" applyAlignment="1">
      <alignment horizontal="right" vertical="center" wrapText="1"/>
    </xf>
    <xf numFmtId="2" fontId="23" fillId="9" borderId="31" xfId="0" applyNumberFormat="1" applyFont="1" applyFill="1" applyBorder="1" applyAlignment="1">
      <alignment horizontal="right" vertical="center" wrapText="1"/>
    </xf>
    <xf numFmtId="0" fontId="20" fillId="9" borderId="31" xfId="0" applyFont="1" applyFill="1" applyBorder="1"/>
    <xf numFmtId="164" fontId="35" fillId="9" borderId="35" xfId="0" applyNumberFormat="1" applyFont="1" applyFill="1" applyBorder="1" applyAlignment="1">
      <alignment horizontal="right" vertical="center"/>
    </xf>
    <xf numFmtId="0" fontId="63" fillId="9" borderId="1" xfId="0" applyFont="1" applyFill="1" applyBorder="1" applyAlignment="1">
      <alignment horizontal="left" vertical="top" wrapText="1"/>
    </xf>
    <xf numFmtId="0" fontId="63" fillId="9" borderId="1" xfId="0" applyFont="1" applyFill="1" applyBorder="1" applyAlignment="1">
      <alignment horizontal="right" vertical="top" wrapText="1"/>
    </xf>
    <xf numFmtId="49" fontId="63" fillId="9" borderId="1" xfId="0" applyNumberFormat="1" applyFont="1" applyFill="1" applyBorder="1" applyAlignment="1">
      <alignment horizontal="right" vertical="top" wrapText="1"/>
    </xf>
    <xf numFmtId="49" fontId="63" fillId="9" borderId="1" xfId="0" applyNumberFormat="1" applyFont="1" applyFill="1" applyBorder="1" applyAlignment="1">
      <alignment horizontal="left" vertical="top" wrapText="1"/>
    </xf>
    <xf numFmtId="1" fontId="63" fillId="9" borderId="1" xfId="0" applyNumberFormat="1" applyFont="1" applyFill="1" applyBorder="1" applyAlignment="1">
      <alignment horizontal="right" vertical="top" wrapText="1"/>
    </xf>
    <xf numFmtId="49" fontId="63" fillId="9" borderId="4" xfId="0" applyNumberFormat="1" applyFont="1" applyFill="1" applyBorder="1" applyAlignment="1">
      <alignment horizontal="left" vertical="top" wrapText="1"/>
    </xf>
    <xf numFmtId="0" fontId="64" fillId="9" borderId="4" xfId="0" applyFont="1" applyFill="1" applyBorder="1" applyAlignment="1">
      <alignment horizontal="left" vertical="top"/>
    </xf>
    <xf numFmtId="22" fontId="63" fillId="9" borderId="4" xfId="0" applyNumberFormat="1" applyFont="1" applyFill="1" applyBorder="1" applyAlignment="1">
      <alignment horizontal="right" vertical="top" wrapText="1"/>
    </xf>
    <xf numFmtId="164" fontId="63" fillId="9" borderId="4" xfId="1" applyNumberFormat="1" applyFont="1" applyFill="1" applyBorder="1" applyAlignment="1">
      <alignment horizontal="left" vertical="top" wrapText="1"/>
    </xf>
    <xf numFmtId="2" fontId="63" fillId="9" borderId="4" xfId="0" applyNumberFormat="1" applyFont="1" applyFill="1" applyBorder="1" applyAlignment="1">
      <alignment horizontal="right" vertical="top" wrapText="1"/>
    </xf>
    <xf numFmtId="164" fontId="69" fillId="9" borderId="1" xfId="0" applyNumberFormat="1" applyFont="1" applyFill="1" applyBorder="1" applyAlignment="1">
      <alignment horizontal="left" vertical="top"/>
    </xf>
    <xf numFmtId="49" fontId="64" fillId="9" borderId="0" xfId="1" applyNumberFormat="1" applyFont="1" applyFill="1" applyAlignment="1">
      <alignment horizontal="left" vertical="top"/>
    </xf>
    <xf numFmtId="49" fontId="64" fillId="9" borderId="0" xfId="0" applyNumberFormat="1" applyFont="1" applyFill="1" applyAlignment="1">
      <alignment horizontal="left" vertical="top"/>
    </xf>
    <xf numFmtId="0" fontId="64" fillId="9" borderId="0" xfId="0" applyFont="1" applyFill="1" applyAlignment="1">
      <alignment horizontal="left" vertical="top"/>
    </xf>
    <xf numFmtId="0" fontId="58" fillId="9" borderId="0" xfId="0" applyFont="1" applyFill="1" applyAlignment="1">
      <alignment horizontal="left" vertical="center"/>
    </xf>
    <xf numFmtId="0" fontId="23" fillId="15" borderId="1" xfId="0" applyFont="1" applyFill="1" applyBorder="1" applyAlignment="1">
      <alignment vertical="center" wrapText="1"/>
    </xf>
    <xf numFmtId="0" fontId="27" fillId="15" borderId="1" xfId="0" applyFont="1" applyFill="1" applyBorder="1" applyAlignment="1">
      <alignment vertical="center" wrapText="1"/>
    </xf>
    <xf numFmtId="49" fontId="27" fillId="15" borderId="1" xfId="0" applyNumberFormat="1" applyFont="1" applyFill="1" applyBorder="1" applyAlignment="1">
      <alignment horizontal="right" vertical="center" wrapText="1"/>
    </xf>
    <xf numFmtId="49" fontId="27" fillId="15" borderId="1" xfId="0" applyNumberFormat="1" applyFont="1" applyFill="1" applyBorder="1" applyAlignment="1">
      <alignment horizontal="left" vertical="center" wrapText="1"/>
    </xf>
    <xf numFmtId="1" fontId="27" fillId="15" borderId="1" xfId="0" applyNumberFormat="1" applyFont="1" applyFill="1" applyBorder="1" applyAlignment="1">
      <alignment horizontal="right" vertical="center" wrapText="1"/>
    </xf>
    <xf numFmtId="0" fontId="20" fillId="15" borderId="1" xfId="0" applyFont="1" applyFill="1" applyBorder="1" applyAlignment="1">
      <alignment horizontal="left"/>
    </xf>
    <xf numFmtId="49" fontId="23" fillId="15" borderId="1" xfId="0" applyNumberFormat="1" applyFont="1" applyFill="1" applyBorder="1" applyAlignment="1">
      <alignment horizontal="left" vertical="center" wrapText="1"/>
    </xf>
    <xf numFmtId="0" fontId="28" fillId="15" borderId="1" xfId="0" applyFont="1" applyFill="1" applyBorder="1" applyAlignment="1">
      <alignment horizontal="left"/>
    </xf>
    <xf numFmtId="22" fontId="27" fillId="15" borderId="1" xfId="0" applyNumberFormat="1" applyFont="1" applyFill="1" applyBorder="1" applyAlignment="1">
      <alignment horizontal="right" wrapText="1"/>
    </xf>
    <xf numFmtId="0" fontId="20" fillId="15" borderId="1" xfId="0" applyFont="1" applyFill="1" applyBorder="1" applyAlignment="1">
      <alignment horizontal="left" vertical="center" wrapText="1"/>
    </xf>
    <xf numFmtId="164" fontId="23" fillId="15" borderId="1" xfId="1" applyNumberFormat="1" applyFont="1" applyFill="1" applyBorder="1" applyAlignment="1">
      <alignment horizontal="right" vertical="center" wrapText="1"/>
    </xf>
    <xf numFmtId="2" fontId="23" fillId="15" borderId="1" xfId="0" applyNumberFormat="1" applyFont="1" applyFill="1" applyBorder="1" applyAlignment="1">
      <alignment horizontal="right" vertical="center" wrapText="1"/>
    </xf>
    <xf numFmtId="164" fontId="35" fillId="15" borderId="1" xfId="0" applyNumberFormat="1" applyFont="1" applyFill="1" applyBorder="1" applyAlignment="1">
      <alignment horizontal="right" vertical="center"/>
    </xf>
    <xf numFmtId="0" fontId="20" fillId="15" borderId="0" xfId="0" applyFont="1" applyFill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20" fillId="15" borderId="0" xfId="0" applyFont="1" applyFill="1" applyAlignment="1">
      <alignment horizontal="center" vertical="center" wrapText="1"/>
    </xf>
    <xf numFmtId="0" fontId="58" fillId="15" borderId="0" xfId="0" applyFont="1" applyFill="1" applyAlignment="1">
      <alignment horizontal="center" vertical="center"/>
    </xf>
    <xf numFmtId="0" fontId="63" fillId="15" borderId="1" xfId="0" applyFont="1" applyFill="1" applyBorder="1" applyAlignment="1">
      <alignment horizontal="left" vertical="top" wrapText="1"/>
    </xf>
    <xf numFmtId="0" fontId="63" fillId="15" borderId="1" xfId="0" applyFont="1" applyFill="1" applyBorder="1" applyAlignment="1">
      <alignment horizontal="right" vertical="top" wrapText="1"/>
    </xf>
    <xf numFmtId="49" fontId="63" fillId="15" borderId="1" xfId="0" applyNumberFormat="1" applyFont="1" applyFill="1" applyBorder="1" applyAlignment="1">
      <alignment horizontal="right" vertical="top" wrapText="1"/>
    </xf>
    <xf numFmtId="49" fontId="63" fillId="15" borderId="1" xfId="0" applyNumberFormat="1" applyFont="1" applyFill="1" applyBorder="1" applyAlignment="1">
      <alignment horizontal="left" vertical="top" wrapText="1"/>
    </xf>
    <xf numFmtId="1" fontId="63" fillId="15" borderId="1" xfId="0" applyNumberFormat="1" applyFont="1" applyFill="1" applyBorder="1" applyAlignment="1">
      <alignment horizontal="right" vertical="top" wrapText="1"/>
    </xf>
    <xf numFmtId="49" fontId="63" fillId="15" borderId="4" xfId="0" applyNumberFormat="1" applyFont="1" applyFill="1" applyBorder="1" applyAlignment="1">
      <alignment horizontal="left" vertical="top" wrapText="1"/>
    </xf>
    <xf numFmtId="0" fontId="64" fillId="15" borderId="4" xfId="0" applyFont="1" applyFill="1" applyBorder="1" applyAlignment="1">
      <alignment horizontal="left" vertical="top"/>
    </xf>
    <xf numFmtId="22" fontId="63" fillId="15" borderId="4" xfId="0" applyNumberFormat="1" applyFont="1" applyFill="1" applyBorder="1" applyAlignment="1">
      <alignment horizontal="right" vertical="top" wrapText="1"/>
    </xf>
    <xf numFmtId="164" fontId="63" fillId="15" borderId="4" xfId="1" applyNumberFormat="1" applyFont="1" applyFill="1" applyBorder="1" applyAlignment="1">
      <alignment horizontal="left" vertical="top" wrapText="1"/>
    </xf>
    <xf numFmtId="164" fontId="69" fillId="15" borderId="1" xfId="0" applyNumberFormat="1" applyFont="1" applyFill="1" applyBorder="1" applyAlignment="1">
      <alignment horizontal="left" vertical="top"/>
    </xf>
    <xf numFmtId="49" fontId="64" fillId="15" borderId="0" xfId="1" applyNumberFormat="1" applyFont="1" applyFill="1" applyAlignment="1">
      <alignment horizontal="left" vertical="top"/>
    </xf>
    <xf numFmtId="49" fontId="64" fillId="15" borderId="0" xfId="0" applyNumberFormat="1" applyFont="1" applyFill="1" applyAlignment="1">
      <alignment horizontal="left" vertical="top"/>
    </xf>
    <xf numFmtId="0" fontId="64" fillId="15" borderId="0" xfId="0" applyFont="1" applyFill="1" applyAlignment="1">
      <alignment horizontal="left" vertical="top"/>
    </xf>
    <xf numFmtId="0" fontId="58" fillId="15" borderId="0" xfId="0" applyFont="1" applyFill="1" applyAlignment="1">
      <alignment horizontal="left" vertical="center"/>
    </xf>
    <xf numFmtId="0" fontId="23" fillId="15" borderId="1" xfId="0" applyFont="1" applyFill="1" applyBorder="1" applyAlignment="1">
      <alignment horizontal="right" vertical="center" wrapText="1"/>
    </xf>
    <xf numFmtId="0" fontId="20" fillId="15" borderId="1" xfId="0" applyFont="1" applyFill="1" applyBorder="1" applyAlignment="1">
      <alignment horizontal="right"/>
    </xf>
    <xf numFmtId="14" fontId="20" fillId="15" borderId="1" xfId="0" applyNumberFormat="1" applyFont="1" applyFill="1" applyBorder="1" applyAlignment="1">
      <alignment horizontal="right"/>
    </xf>
    <xf numFmtId="49" fontId="23" fillId="15" borderId="1" xfId="0" applyNumberFormat="1" applyFont="1" applyFill="1" applyBorder="1" applyAlignment="1">
      <alignment horizontal="right" vertical="center" wrapText="1"/>
    </xf>
    <xf numFmtId="49" fontId="23" fillId="15" borderId="15" xfId="0" applyNumberFormat="1" applyFont="1" applyFill="1" applyBorder="1" applyAlignment="1">
      <alignment horizontal="right" vertical="center" wrapText="1"/>
    </xf>
    <xf numFmtId="0" fontId="20" fillId="15" borderId="17" xfId="0" applyFont="1" applyFill="1" applyBorder="1" applyAlignment="1">
      <alignment horizontal="left"/>
    </xf>
    <xf numFmtId="49" fontId="23" fillId="15" borderId="20" xfId="0" applyNumberFormat="1" applyFont="1" applyFill="1" applyBorder="1" applyAlignment="1">
      <alignment horizontal="left" vertical="center" wrapText="1"/>
    </xf>
    <xf numFmtId="0" fontId="0" fillId="15" borderId="1" xfId="0" applyFill="1" applyBorder="1" applyAlignment="1">
      <alignment wrapText="1"/>
    </xf>
    <xf numFmtId="49" fontId="23" fillId="15" borderId="15" xfId="0" applyNumberFormat="1" applyFont="1" applyFill="1" applyBorder="1" applyAlignment="1">
      <alignment vertical="center" wrapText="1"/>
    </xf>
    <xf numFmtId="49" fontId="23" fillId="15" borderId="17" xfId="0" applyNumberFormat="1" applyFont="1" applyFill="1" applyBorder="1" applyAlignment="1">
      <alignment horizontal="left" vertical="center" wrapText="1"/>
    </xf>
    <xf numFmtId="164" fontId="23" fillId="15" borderId="17" xfId="1" applyNumberFormat="1" applyFont="1" applyFill="1" applyBorder="1" applyAlignment="1">
      <alignment vertical="center" wrapText="1"/>
    </xf>
    <xf numFmtId="164" fontId="23" fillId="15" borderId="17" xfId="1" applyNumberFormat="1" applyFont="1" applyFill="1" applyBorder="1" applyAlignment="1">
      <alignment horizontal="right" vertical="center" wrapText="1"/>
    </xf>
    <xf numFmtId="164" fontId="32" fillId="15" borderId="17" xfId="0" applyNumberFormat="1" applyFont="1" applyFill="1" applyBorder="1" applyAlignment="1">
      <alignment horizontal="right" vertical="center"/>
    </xf>
    <xf numFmtId="2" fontId="23" fillId="15" borderId="17" xfId="0" applyNumberFormat="1" applyFont="1" applyFill="1" applyBorder="1" applyAlignment="1">
      <alignment horizontal="right" vertical="center" wrapText="1"/>
    </xf>
    <xf numFmtId="164" fontId="35" fillId="15" borderId="20" xfId="0" applyNumberFormat="1" applyFont="1" applyFill="1" applyBorder="1" applyAlignment="1">
      <alignment horizontal="right" vertical="center"/>
    </xf>
    <xf numFmtId="0" fontId="0" fillId="15" borderId="0" xfId="0" applyFill="1"/>
    <xf numFmtId="49" fontId="27" fillId="15" borderId="1" xfId="0" applyNumberFormat="1" applyFont="1" applyFill="1" applyBorder="1" applyAlignment="1">
      <alignment vertical="center" wrapText="1"/>
    </xf>
    <xf numFmtId="1" fontId="27" fillId="15" borderId="1" xfId="0" applyNumberFormat="1" applyFont="1" applyFill="1" applyBorder="1" applyAlignment="1">
      <alignment horizontal="center" vertical="center" wrapText="1"/>
    </xf>
    <xf numFmtId="49" fontId="27" fillId="15" borderId="6" xfId="0" applyNumberFormat="1" applyFont="1" applyFill="1" applyBorder="1" applyAlignment="1">
      <alignment horizontal="left" vertical="center" wrapText="1"/>
    </xf>
    <xf numFmtId="49" fontId="23" fillId="15" borderId="6" xfId="0" applyNumberFormat="1" applyFont="1" applyFill="1" applyBorder="1" applyAlignment="1">
      <alignment horizontal="left" vertical="center" wrapText="1"/>
    </xf>
    <xf numFmtId="0" fontId="28" fillId="15" borderId="6" xfId="0" applyFont="1" applyFill="1" applyBorder="1" applyAlignment="1">
      <alignment horizontal="left"/>
    </xf>
    <xf numFmtId="22" fontId="27" fillId="15" borderId="6" xfId="0" applyNumberFormat="1" applyFont="1" applyFill="1" applyBorder="1" applyAlignment="1">
      <alignment horizontal="right" wrapText="1"/>
    </xf>
    <xf numFmtId="49" fontId="27" fillId="15" borderId="6" xfId="0" applyNumberFormat="1" applyFont="1" applyFill="1" applyBorder="1" applyAlignment="1">
      <alignment vertical="center" wrapText="1"/>
    </xf>
    <xf numFmtId="164" fontId="23" fillId="15" borderId="6" xfId="1" applyNumberFormat="1" applyFont="1" applyFill="1" applyBorder="1" applyAlignment="1">
      <alignment vertical="center" wrapText="1"/>
    </xf>
    <xf numFmtId="164" fontId="23" fillId="15" borderId="6" xfId="1" applyNumberFormat="1" applyFont="1" applyFill="1" applyBorder="1" applyAlignment="1">
      <alignment horizontal="right" vertical="center" wrapText="1"/>
    </xf>
    <xf numFmtId="2" fontId="23" fillId="15" borderId="6" xfId="0" applyNumberFormat="1" applyFont="1" applyFill="1" applyBorder="1" applyAlignment="1">
      <alignment horizontal="right" vertical="center" wrapText="1"/>
    </xf>
    <xf numFmtId="49" fontId="23" fillId="15" borderId="6" xfId="0" applyNumberFormat="1" applyFont="1" applyFill="1" applyBorder="1" applyAlignment="1">
      <alignment vertical="center" wrapText="1"/>
    </xf>
    <xf numFmtId="49" fontId="20" fillId="15" borderId="0" xfId="1" applyNumberFormat="1" applyFont="1" applyFill="1" applyAlignment="1">
      <alignment horizontal="center" vertical="center"/>
    </xf>
    <xf numFmtId="49" fontId="20" fillId="15" borderId="0" xfId="0" applyNumberFormat="1" applyFont="1" applyFill="1" applyAlignment="1">
      <alignment horizontal="center" vertical="center"/>
    </xf>
    <xf numFmtId="0" fontId="20" fillId="15" borderId="0" xfId="0" applyFont="1" applyFill="1"/>
    <xf numFmtId="0" fontId="58" fillId="15" borderId="0" xfId="0" applyFont="1" applyFill="1"/>
    <xf numFmtId="164" fontId="23" fillId="15" borderId="1" xfId="1" applyNumberFormat="1" applyFont="1" applyFill="1" applyBorder="1" applyAlignment="1">
      <alignment vertical="center" wrapText="1"/>
    </xf>
    <xf numFmtId="0" fontId="20" fillId="15" borderId="1" xfId="0" applyFont="1" applyFill="1" applyBorder="1"/>
    <xf numFmtId="0" fontId="33" fillId="15" borderId="4" xfId="0" applyFont="1" applyFill="1" applyBorder="1" applyAlignment="1">
      <alignment horizontal="left" wrapText="1"/>
    </xf>
    <xf numFmtId="164" fontId="32" fillId="15" borderId="4" xfId="1" applyNumberFormat="1" applyFont="1" applyFill="1" applyBorder="1" applyAlignment="1">
      <alignment horizontal="right" vertical="center" wrapText="1"/>
    </xf>
    <xf numFmtId="164" fontId="35" fillId="15" borderId="4" xfId="0" applyNumberFormat="1" applyFont="1" applyFill="1" applyBorder="1" applyAlignment="1">
      <alignment horizontal="right" vertical="center"/>
    </xf>
    <xf numFmtId="49" fontId="20" fillId="15" borderId="17" xfId="0" applyNumberFormat="1" applyFont="1" applyFill="1" applyBorder="1" applyAlignment="1">
      <alignment horizontal="center" vertical="center"/>
    </xf>
    <xf numFmtId="0" fontId="23" fillId="15" borderId="6" xfId="0" applyFont="1" applyFill="1" applyBorder="1" applyAlignment="1">
      <alignment vertical="center" wrapText="1"/>
    </xf>
    <xf numFmtId="49" fontId="27" fillId="15" borderId="15" xfId="0" applyNumberFormat="1" applyFont="1" applyFill="1" applyBorder="1" applyAlignment="1">
      <alignment horizontal="left" vertical="center" wrapText="1"/>
    </xf>
    <xf numFmtId="0" fontId="20" fillId="15" borderId="17" xfId="0" applyFont="1" applyFill="1" applyBorder="1" applyAlignment="1">
      <alignment horizontal="left" vertical="center" wrapText="1"/>
    </xf>
    <xf numFmtId="2" fontId="23" fillId="15" borderId="15" xfId="0" applyNumberFormat="1" applyFont="1" applyFill="1" applyBorder="1" applyAlignment="1">
      <alignment horizontal="right" vertical="center" wrapText="1"/>
    </xf>
    <xf numFmtId="164" fontId="35" fillId="15" borderId="17" xfId="0" applyNumberFormat="1" applyFont="1" applyFill="1" applyBorder="1" applyAlignment="1">
      <alignment horizontal="right" vertical="center"/>
    </xf>
    <xf numFmtId="0" fontId="20" fillId="15" borderId="20" xfId="0" applyFont="1" applyFill="1" applyBorder="1" applyAlignment="1">
      <alignment horizontal="center" vertical="center"/>
    </xf>
    <xf numFmtId="0" fontId="20" fillId="15" borderId="17" xfId="0" applyFont="1" applyFill="1" applyBorder="1" applyAlignment="1">
      <alignment horizontal="center" vertical="center"/>
    </xf>
    <xf numFmtId="0" fontId="23" fillId="15" borderId="4" xfId="0" applyFont="1" applyFill="1" applyBorder="1" applyAlignment="1">
      <alignment vertical="center" wrapText="1"/>
    </xf>
    <xf numFmtId="49" fontId="23" fillId="15" borderId="3" xfId="0" applyNumberFormat="1" applyFont="1" applyFill="1" applyBorder="1" applyAlignment="1">
      <alignment horizontal="left" vertical="center" wrapText="1"/>
    </xf>
    <xf numFmtId="164" fontId="23" fillId="15" borderId="89" xfId="1" applyNumberFormat="1" applyFont="1" applyFill="1" applyBorder="1" applyAlignment="1">
      <alignment vertical="center" wrapText="1"/>
    </xf>
    <xf numFmtId="164" fontId="23" fillId="15" borderId="36" xfId="1" applyNumberFormat="1" applyFont="1" applyFill="1" applyBorder="1" applyAlignment="1">
      <alignment horizontal="right" vertical="center" wrapText="1"/>
    </xf>
    <xf numFmtId="49" fontId="23" fillId="15" borderId="3" xfId="0" applyNumberFormat="1" applyFont="1" applyFill="1" applyBorder="1" applyAlignment="1">
      <alignment vertical="center" wrapText="1"/>
    </xf>
    <xf numFmtId="164" fontId="27" fillId="15" borderId="1" xfId="1" applyNumberFormat="1" applyFont="1" applyFill="1" applyBorder="1" applyAlignment="1">
      <alignment horizontal="right" vertical="center" wrapText="1"/>
    </xf>
    <xf numFmtId="164" fontId="35" fillId="15" borderId="0" xfId="0" applyNumberFormat="1" applyFont="1" applyFill="1" applyAlignment="1">
      <alignment horizontal="right" vertical="center"/>
    </xf>
    <xf numFmtId="0" fontId="27" fillId="15" borderId="6" xfId="0" applyFont="1" applyFill="1" applyBorder="1" applyAlignment="1">
      <alignment vertical="center" wrapText="1"/>
    </xf>
    <xf numFmtId="0" fontId="29" fillId="15" borderId="6" xfId="0" applyFont="1" applyFill="1" applyBorder="1" applyAlignment="1">
      <alignment wrapText="1"/>
    </xf>
    <xf numFmtId="164" fontId="23" fillId="15" borderId="4" xfId="1" applyNumberFormat="1" applyFont="1" applyFill="1" applyBorder="1" applyAlignment="1">
      <alignment horizontal="right" vertical="center" wrapText="1"/>
    </xf>
    <xf numFmtId="2" fontId="23" fillId="15" borderId="4" xfId="0" applyNumberFormat="1" applyFont="1" applyFill="1" applyBorder="1" applyAlignment="1">
      <alignment horizontal="right" vertical="center" wrapText="1"/>
    </xf>
    <xf numFmtId="49" fontId="27" fillId="15" borderId="3" xfId="0" applyNumberFormat="1" applyFont="1" applyFill="1" applyBorder="1" applyAlignment="1">
      <alignment vertical="center" wrapText="1"/>
    </xf>
    <xf numFmtId="164" fontId="27" fillId="15" borderId="36" xfId="1" applyNumberFormat="1" applyFont="1" applyFill="1" applyBorder="1" applyAlignment="1">
      <alignment horizontal="right" vertical="center" wrapText="1"/>
    </xf>
    <xf numFmtId="164" fontId="51" fillId="15" borderId="31" xfId="0" applyNumberFormat="1" applyFont="1" applyFill="1" applyBorder="1" applyAlignment="1">
      <alignment horizontal="right" vertical="center"/>
    </xf>
    <xf numFmtId="0" fontId="27" fillId="15" borderId="4" xfId="0" applyFont="1" applyFill="1" applyBorder="1" applyAlignment="1">
      <alignment vertical="center" wrapText="1"/>
    </xf>
    <xf numFmtId="49" fontId="23" fillId="15" borderId="4" xfId="0" applyNumberFormat="1" applyFont="1" applyFill="1" applyBorder="1" applyAlignment="1">
      <alignment horizontal="left" vertical="center" wrapText="1"/>
    </xf>
    <xf numFmtId="0" fontId="28" fillId="15" borderId="4" xfId="0" applyFont="1" applyFill="1" applyBorder="1" applyAlignment="1">
      <alignment horizontal="left"/>
    </xf>
    <xf numFmtId="164" fontId="27" fillId="15" borderId="34" xfId="1" applyNumberFormat="1" applyFont="1" applyFill="1" applyBorder="1" applyAlignment="1">
      <alignment vertical="center" wrapText="1"/>
    </xf>
    <xf numFmtId="0" fontId="28" fillId="15" borderId="17" xfId="0" applyFont="1" applyFill="1" applyBorder="1"/>
    <xf numFmtId="164" fontId="27" fillId="15" borderId="17" xfId="1" applyNumberFormat="1" applyFont="1" applyFill="1" applyBorder="1" applyAlignment="1">
      <alignment horizontal="right" vertical="center" wrapText="1"/>
    </xf>
    <xf numFmtId="164" fontId="51" fillId="15" borderId="17" xfId="0" applyNumberFormat="1" applyFont="1" applyFill="1" applyBorder="1" applyAlignment="1">
      <alignment horizontal="right" vertical="center"/>
    </xf>
    <xf numFmtId="164" fontId="23" fillId="15" borderId="0" xfId="1" applyNumberFormat="1" applyFont="1" applyFill="1" applyBorder="1" applyAlignment="1">
      <alignment vertical="center" wrapText="1"/>
    </xf>
    <xf numFmtId="49" fontId="27" fillId="15" borderId="15" xfId="0" applyNumberFormat="1" applyFont="1" applyFill="1" applyBorder="1" applyAlignment="1">
      <alignment horizontal="right" vertical="center" wrapText="1"/>
    </xf>
    <xf numFmtId="0" fontId="28" fillId="15" borderId="20" xfId="0" applyFont="1" applyFill="1" applyBorder="1" applyAlignment="1">
      <alignment horizontal="left"/>
    </xf>
    <xf numFmtId="164" fontId="23" fillId="15" borderId="1" xfId="1" applyNumberFormat="1" applyFont="1" applyFill="1" applyBorder="1" applyAlignment="1">
      <alignment horizontal="left" vertical="center" wrapText="1"/>
    </xf>
    <xf numFmtId="164" fontId="35" fillId="15" borderId="6" xfId="0" applyNumberFormat="1" applyFont="1" applyFill="1" applyBorder="1" applyAlignment="1">
      <alignment horizontal="right" vertical="center"/>
    </xf>
    <xf numFmtId="49" fontId="27" fillId="15" borderId="4" xfId="0" applyNumberFormat="1" applyFont="1" applyFill="1" applyBorder="1" applyAlignment="1">
      <alignment horizontal="left" vertical="center" wrapText="1"/>
    </xf>
    <xf numFmtId="22" fontId="27" fillId="15" borderId="4" xfId="0" applyNumberFormat="1" applyFont="1" applyFill="1" applyBorder="1" applyAlignment="1">
      <alignment horizontal="right" wrapText="1"/>
    </xf>
    <xf numFmtId="0" fontId="29" fillId="15" borderId="4" xfId="0" applyFont="1" applyFill="1" applyBorder="1" applyAlignment="1">
      <alignment horizontal="left" wrapText="1"/>
    </xf>
    <xf numFmtId="49" fontId="27" fillId="15" borderId="4" xfId="0" applyNumberFormat="1" applyFont="1" applyFill="1" applyBorder="1" applyAlignment="1">
      <alignment vertical="center" wrapText="1"/>
    </xf>
    <xf numFmtId="164" fontId="27" fillId="15" borderId="4" xfId="1" applyNumberFormat="1" applyFont="1" applyFill="1" applyBorder="1" applyAlignment="1">
      <alignment horizontal="right" vertical="center" wrapText="1"/>
    </xf>
    <xf numFmtId="164" fontId="51" fillId="15" borderId="1" xfId="0" applyNumberFormat="1" applyFont="1" applyFill="1" applyBorder="1" applyAlignment="1">
      <alignment horizontal="right" vertical="center"/>
    </xf>
    <xf numFmtId="0" fontId="64" fillId="15" borderId="0" xfId="0" applyFont="1" applyFill="1" applyAlignment="1">
      <alignment horizontal="right" vertical="top"/>
    </xf>
    <xf numFmtId="1" fontId="27" fillId="15" borderId="15" xfId="0" applyNumberFormat="1" applyFont="1" applyFill="1" applyBorder="1" applyAlignment="1">
      <alignment horizontal="right" vertical="center" wrapText="1"/>
    </xf>
    <xf numFmtId="49" fontId="27" fillId="15" borderId="17" xfId="0" applyNumberFormat="1" applyFont="1" applyFill="1" applyBorder="1" applyAlignment="1">
      <alignment horizontal="left" vertical="center" wrapText="1"/>
    </xf>
    <xf numFmtId="0" fontId="20" fillId="15" borderId="20" xfId="0" applyFont="1" applyFill="1" applyBorder="1" applyAlignment="1">
      <alignment horizontal="left"/>
    </xf>
    <xf numFmtId="0" fontId="28" fillId="15" borderId="17" xfId="0" applyFont="1" applyFill="1" applyBorder="1" applyAlignment="1">
      <alignment horizontal="left"/>
    </xf>
    <xf numFmtId="22" fontId="27" fillId="15" borderId="17" xfId="0" applyNumberFormat="1" applyFont="1" applyFill="1" applyBorder="1" applyAlignment="1">
      <alignment horizontal="right" wrapText="1"/>
    </xf>
    <xf numFmtId="164" fontId="32" fillId="15" borderId="17" xfId="1" applyNumberFormat="1" applyFont="1" applyFill="1" applyBorder="1" applyAlignment="1">
      <alignment horizontal="right" vertical="center" wrapText="1"/>
    </xf>
    <xf numFmtId="0" fontId="20" fillId="15" borderId="17" xfId="0" applyFont="1" applyFill="1" applyBorder="1"/>
    <xf numFmtId="164" fontId="35" fillId="15" borderId="85" xfId="0" applyNumberFormat="1" applyFont="1" applyFill="1" applyBorder="1" applyAlignment="1">
      <alignment horizontal="right" vertical="center"/>
    </xf>
    <xf numFmtId="49" fontId="27" fillId="15" borderId="3" xfId="0" applyNumberFormat="1" applyFont="1" applyFill="1" applyBorder="1" applyAlignment="1">
      <alignment horizontal="left" vertical="center" wrapText="1"/>
    </xf>
    <xf numFmtId="0" fontId="28" fillId="15" borderId="3" xfId="0" applyFont="1" applyFill="1" applyBorder="1" applyAlignment="1">
      <alignment horizontal="left"/>
    </xf>
    <xf numFmtId="22" fontId="27" fillId="15" borderId="3" xfId="0" applyNumberFormat="1" applyFont="1" applyFill="1" applyBorder="1" applyAlignment="1">
      <alignment horizontal="right" wrapText="1"/>
    </xf>
    <xf numFmtId="164" fontId="23" fillId="15" borderId="3" xfId="1" applyNumberFormat="1" applyFont="1" applyFill="1" applyBorder="1" applyAlignment="1">
      <alignment vertical="center" wrapText="1"/>
    </xf>
    <xf numFmtId="164" fontId="23" fillId="15" borderId="3" xfId="1" applyNumberFormat="1" applyFont="1" applyFill="1" applyBorder="1" applyAlignment="1">
      <alignment horizontal="right" vertical="center" wrapText="1"/>
    </xf>
    <xf numFmtId="2" fontId="23" fillId="15" borderId="3" xfId="0" applyNumberFormat="1" applyFont="1" applyFill="1" applyBorder="1" applyAlignment="1">
      <alignment horizontal="right" vertical="center" wrapText="1"/>
    </xf>
    <xf numFmtId="0" fontId="20" fillId="15" borderId="3" xfId="0" applyFont="1" applyFill="1" applyBorder="1"/>
    <xf numFmtId="164" fontId="35" fillId="15" borderId="18" xfId="0" applyNumberFormat="1" applyFont="1" applyFill="1" applyBorder="1" applyAlignment="1">
      <alignment horizontal="right" vertical="center"/>
    </xf>
    <xf numFmtId="14" fontId="23" fillId="15" borderId="1" xfId="0" applyNumberFormat="1" applyFont="1" applyFill="1" applyBorder="1" applyAlignment="1">
      <alignment horizontal="right" vertical="center" wrapText="1"/>
    </xf>
    <xf numFmtId="1" fontId="23" fillId="15" borderId="1" xfId="0" applyNumberFormat="1" applyFont="1" applyFill="1" applyBorder="1" applyAlignment="1">
      <alignment horizontal="right" vertical="center" wrapText="1"/>
    </xf>
    <xf numFmtId="1" fontId="23" fillId="15" borderId="15" xfId="0" applyNumberFormat="1" applyFont="1" applyFill="1" applyBorder="1" applyAlignment="1">
      <alignment horizontal="right" vertical="center" wrapText="1"/>
    </xf>
    <xf numFmtId="22" fontId="31" fillId="15" borderId="17" xfId="0" applyNumberFormat="1" applyFont="1" applyFill="1" applyBorder="1" applyAlignment="1">
      <alignment horizontal="right" wrapText="1"/>
    </xf>
    <xf numFmtId="164" fontId="52" fillId="15" borderId="17" xfId="1" applyNumberFormat="1" applyFont="1" applyFill="1" applyBorder="1" applyAlignment="1">
      <alignment horizontal="right" vertical="center" wrapText="1"/>
    </xf>
    <xf numFmtId="164" fontId="35" fillId="15" borderId="29" xfId="0" applyNumberFormat="1" applyFont="1" applyFill="1" applyBorder="1" applyAlignment="1">
      <alignment horizontal="right" vertical="center"/>
    </xf>
    <xf numFmtId="0" fontId="20" fillId="15" borderId="3" xfId="0" applyFont="1" applyFill="1" applyBorder="1" applyAlignment="1">
      <alignment vertical="center"/>
    </xf>
    <xf numFmtId="164" fontId="35" fillId="15" borderId="3" xfId="0" applyNumberFormat="1" applyFont="1" applyFill="1" applyBorder="1" applyAlignment="1">
      <alignment horizontal="right" vertical="center"/>
    </xf>
    <xf numFmtId="0" fontId="20" fillId="15" borderId="0" xfId="0" applyFont="1" applyFill="1" applyAlignment="1">
      <alignment vertical="center"/>
    </xf>
    <xf numFmtId="0" fontId="58" fillId="15" borderId="0" xfId="0" applyFont="1" applyFill="1" applyAlignment="1">
      <alignment vertical="center"/>
    </xf>
    <xf numFmtId="164" fontId="23" fillId="15" borderId="4" xfId="1" applyNumberFormat="1" applyFont="1" applyFill="1" applyBorder="1" applyAlignment="1">
      <alignment horizontal="left" vertical="center" wrapText="1"/>
    </xf>
    <xf numFmtId="164" fontId="23" fillId="15" borderId="34" xfId="1" applyNumberFormat="1" applyFont="1" applyFill="1" applyBorder="1" applyAlignment="1">
      <alignment vertical="center" wrapText="1"/>
    </xf>
    <xf numFmtId="164" fontId="23" fillId="15" borderId="18" xfId="1" applyNumberFormat="1" applyFont="1" applyFill="1" applyBorder="1" applyAlignment="1">
      <alignment horizontal="right" vertical="center" wrapText="1"/>
    </xf>
    <xf numFmtId="49" fontId="23" fillId="15" borderId="17" xfId="0" applyNumberFormat="1" applyFont="1" applyFill="1" applyBorder="1" applyAlignment="1">
      <alignment vertical="center" wrapText="1"/>
    </xf>
    <xf numFmtId="0" fontId="23" fillId="15" borderId="3" xfId="0" applyFont="1" applyFill="1" applyBorder="1" applyAlignment="1">
      <alignment vertical="center" wrapText="1"/>
    </xf>
    <xf numFmtId="164" fontId="23" fillId="15" borderId="17" xfId="1" applyNumberFormat="1" applyFont="1" applyFill="1" applyBorder="1" applyAlignment="1">
      <alignment horizontal="left" vertical="center" wrapText="1"/>
    </xf>
    <xf numFmtId="49" fontId="23" fillId="15" borderId="31" xfId="0" applyNumberFormat="1" applyFont="1" applyFill="1" applyBorder="1" applyAlignment="1">
      <alignment vertical="center" wrapText="1"/>
    </xf>
    <xf numFmtId="164" fontId="23" fillId="15" borderId="31" xfId="1" applyNumberFormat="1" applyFont="1" applyFill="1" applyBorder="1" applyAlignment="1">
      <alignment horizontal="right" vertical="center" wrapText="1"/>
    </xf>
    <xf numFmtId="164" fontId="35" fillId="15" borderId="19" xfId="0" applyNumberFormat="1" applyFont="1" applyFill="1" applyBorder="1" applyAlignment="1">
      <alignment horizontal="right" vertical="center"/>
    </xf>
    <xf numFmtId="49" fontId="23" fillId="15" borderId="19" xfId="0" applyNumberFormat="1" applyFont="1" applyFill="1" applyBorder="1" applyAlignment="1">
      <alignment horizontal="left" vertical="center" wrapText="1"/>
    </xf>
    <xf numFmtId="0" fontId="28" fillId="15" borderId="19" xfId="0" applyFont="1" applyFill="1" applyBorder="1" applyAlignment="1">
      <alignment horizontal="left"/>
    </xf>
    <xf numFmtId="22" fontId="27" fillId="15" borderId="19" xfId="0" applyNumberFormat="1" applyFont="1" applyFill="1" applyBorder="1" applyAlignment="1">
      <alignment horizontal="right" wrapText="1"/>
    </xf>
    <xf numFmtId="49" fontId="27" fillId="15" borderId="19" xfId="0" applyNumberFormat="1" applyFont="1" applyFill="1" applyBorder="1" applyAlignment="1">
      <alignment horizontal="left" vertical="center" wrapText="1"/>
    </xf>
    <xf numFmtId="164" fontId="23" fillId="15" borderId="19" xfId="1" applyNumberFormat="1" applyFont="1" applyFill="1" applyBorder="1" applyAlignment="1">
      <alignment horizontal="left" vertical="center" wrapText="1"/>
    </xf>
    <xf numFmtId="2" fontId="20" fillId="15" borderId="19" xfId="0" applyNumberFormat="1" applyFont="1" applyFill="1" applyBorder="1"/>
    <xf numFmtId="164" fontId="23" fillId="15" borderId="19" xfId="1" applyNumberFormat="1" applyFont="1" applyFill="1" applyBorder="1" applyAlignment="1">
      <alignment horizontal="right" vertical="center" wrapText="1"/>
    </xf>
    <xf numFmtId="164" fontId="35" fillId="15" borderId="26" xfId="0" applyNumberFormat="1" applyFont="1" applyFill="1" applyBorder="1" applyAlignment="1">
      <alignment horizontal="right" vertical="center"/>
    </xf>
    <xf numFmtId="164" fontId="20" fillId="15" borderId="0" xfId="0" applyNumberFormat="1" applyFont="1" applyFill="1"/>
    <xf numFmtId="49" fontId="23" fillId="15" borderId="31" xfId="0" applyNumberFormat="1" applyFont="1" applyFill="1" applyBorder="1" applyAlignment="1">
      <alignment horizontal="left" vertical="center" wrapText="1"/>
    </xf>
    <xf numFmtId="0" fontId="28" fillId="15" borderId="35" xfId="0" applyFont="1" applyFill="1" applyBorder="1" applyAlignment="1">
      <alignment horizontal="left"/>
    </xf>
    <xf numFmtId="49" fontId="23" fillId="15" borderId="18" xfId="0" applyNumberFormat="1" applyFont="1" applyFill="1" applyBorder="1" applyAlignment="1">
      <alignment horizontal="left" vertical="center" wrapText="1"/>
    </xf>
    <xf numFmtId="0" fontId="20" fillId="15" borderId="18" xfId="0" applyFont="1" applyFill="1" applyBorder="1" applyAlignment="1">
      <alignment horizontal="left"/>
    </xf>
    <xf numFmtId="22" fontId="31" fillId="15" borderId="18" xfId="0" applyNumberFormat="1" applyFont="1" applyFill="1" applyBorder="1" applyAlignment="1">
      <alignment horizontal="right" wrapText="1"/>
    </xf>
    <xf numFmtId="2" fontId="23" fillId="15" borderId="18" xfId="1" applyNumberFormat="1" applyFont="1" applyFill="1" applyBorder="1" applyAlignment="1">
      <alignment horizontal="right" vertical="center" wrapText="1"/>
    </xf>
    <xf numFmtId="0" fontId="20" fillId="15" borderId="6" xfId="0" applyFont="1" applyFill="1" applyBorder="1" applyAlignment="1">
      <alignment vertical="center"/>
    </xf>
    <xf numFmtId="49" fontId="63" fillId="15" borderId="3" xfId="0" applyNumberFormat="1" applyFont="1" applyFill="1" applyBorder="1" applyAlignment="1">
      <alignment horizontal="left" vertical="top" wrapText="1"/>
    </xf>
    <xf numFmtId="0" fontId="64" fillId="15" borderId="3" xfId="0" applyFont="1" applyFill="1" applyBorder="1" applyAlignment="1">
      <alignment horizontal="right" vertical="top"/>
    </xf>
    <xf numFmtId="22" fontId="63" fillId="15" borderId="3" xfId="0" applyNumberFormat="1" applyFont="1" applyFill="1" applyBorder="1" applyAlignment="1">
      <alignment horizontal="right" vertical="top" wrapText="1"/>
    </xf>
    <xf numFmtId="49" fontId="63" fillId="15" borderId="36" xfId="0" applyNumberFormat="1" applyFont="1" applyFill="1" applyBorder="1" applyAlignment="1">
      <alignment horizontal="left" vertical="top" wrapText="1"/>
    </xf>
    <xf numFmtId="49" fontId="63" fillId="15" borderId="31" xfId="0" applyNumberFormat="1" applyFont="1" applyFill="1" applyBorder="1" applyAlignment="1">
      <alignment horizontal="left" vertical="top" wrapText="1"/>
    </xf>
    <xf numFmtId="164" fontId="63" fillId="15" borderId="31" xfId="1" applyNumberFormat="1" applyFont="1" applyFill="1" applyBorder="1" applyAlignment="1">
      <alignment horizontal="right" vertical="top" wrapText="1"/>
    </xf>
    <xf numFmtId="164" fontId="65" fillId="15" borderId="0" xfId="1" applyNumberFormat="1" applyFont="1" applyFill="1" applyBorder="1" applyAlignment="1">
      <alignment horizontal="right" vertical="top" wrapText="1"/>
    </xf>
    <xf numFmtId="49" fontId="63" fillId="15" borderId="4" xfId="0" applyNumberFormat="1" applyFont="1" applyFill="1" applyBorder="1" applyAlignment="1">
      <alignment horizontal="right" vertical="top" wrapText="1"/>
    </xf>
    <xf numFmtId="164" fontId="63" fillId="15" borderId="4" xfId="1" applyNumberFormat="1" applyFont="1" applyFill="1" applyBorder="1" applyAlignment="1">
      <alignment horizontal="right" vertical="top" wrapText="1"/>
    </xf>
    <xf numFmtId="164" fontId="66" fillId="15" borderId="1" xfId="0" applyNumberFormat="1" applyFont="1" applyFill="1" applyBorder="1" applyAlignment="1">
      <alignment horizontal="right" vertical="top"/>
    </xf>
    <xf numFmtId="49" fontId="64" fillId="15" borderId="0" xfId="1" applyNumberFormat="1" applyFont="1" applyFill="1" applyAlignment="1">
      <alignment horizontal="right" vertical="top"/>
    </xf>
    <xf numFmtId="49" fontId="64" fillId="15" borderId="0" xfId="0" applyNumberFormat="1" applyFont="1" applyFill="1" applyAlignment="1">
      <alignment horizontal="right" vertical="top"/>
    </xf>
    <xf numFmtId="164" fontId="23" fillId="15" borderId="18" xfId="1" applyNumberFormat="1" applyFont="1" applyFill="1" applyBorder="1" applyAlignment="1">
      <alignment vertical="center" wrapText="1"/>
    </xf>
    <xf numFmtId="0" fontId="23" fillId="15" borderId="17" xfId="0" applyFont="1" applyFill="1" applyBorder="1" applyAlignment="1">
      <alignment horizontal="left" vertical="center" wrapText="1"/>
    </xf>
    <xf numFmtId="0" fontId="53" fillId="15" borderId="6" xfId="0" applyFont="1" applyFill="1" applyBorder="1"/>
    <xf numFmtId="164" fontId="27" fillId="15" borderId="6" xfId="1" applyNumberFormat="1" applyFont="1" applyFill="1" applyBorder="1" applyAlignment="1">
      <alignment horizontal="right" vertical="center" wrapText="1"/>
    </xf>
    <xf numFmtId="49" fontId="23" fillId="15" borderId="1" xfId="0" applyNumberFormat="1" applyFont="1" applyFill="1" applyBorder="1" applyAlignment="1">
      <alignment vertical="center" wrapText="1"/>
    </xf>
    <xf numFmtId="1" fontId="23" fillId="15" borderId="1" xfId="0" applyNumberFormat="1" applyFont="1" applyFill="1" applyBorder="1" applyAlignment="1">
      <alignment horizontal="center" vertical="center" wrapText="1"/>
    </xf>
    <xf numFmtId="0" fontId="20" fillId="15" borderId="6" xfId="0" applyFont="1" applyFill="1" applyBorder="1" applyAlignment="1">
      <alignment horizontal="left"/>
    </xf>
    <xf numFmtId="22" fontId="23" fillId="15" borderId="6" xfId="0" applyNumberFormat="1" applyFont="1" applyFill="1" applyBorder="1" applyAlignment="1">
      <alignment horizontal="right" wrapText="1"/>
    </xf>
    <xf numFmtId="164" fontId="51" fillId="15" borderId="1" xfId="1" applyNumberFormat="1" applyFont="1" applyFill="1" applyBorder="1" applyAlignment="1">
      <alignment horizontal="right" vertical="center" wrapText="1"/>
    </xf>
    <xf numFmtId="0" fontId="27" fillId="15" borderId="3" xfId="0" applyFont="1" applyFill="1" applyBorder="1" applyAlignment="1">
      <alignment vertical="center" wrapText="1"/>
    </xf>
    <xf numFmtId="49" fontId="27" fillId="15" borderId="3" xfId="0" applyNumberFormat="1" applyFont="1" applyFill="1" applyBorder="1" applyAlignment="1">
      <alignment horizontal="right" vertical="center" wrapText="1"/>
    </xf>
    <xf numFmtId="14" fontId="27" fillId="15" borderId="3" xfId="0" applyNumberFormat="1" applyFont="1" applyFill="1" applyBorder="1" applyAlignment="1">
      <alignment horizontal="right" vertical="center" wrapText="1"/>
    </xf>
    <xf numFmtId="1" fontId="27" fillId="15" borderId="3" xfId="0" applyNumberFormat="1" applyFont="1" applyFill="1" applyBorder="1" applyAlignment="1">
      <alignment horizontal="center" vertical="center" wrapText="1"/>
    </xf>
    <xf numFmtId="0" fontId="20" fillId="15" borderId="3" xfId="0" applyFont="1" applyFill="1" applyBorder="1" applyAlignment="1">
      <alignment horizontal="left"/>
    </xf>
    <xf numFmtId="49" fontId="27" fillId="15" borderId="36" xfId="0" applyNumberFormat="1" applyFont="1" applyFill="1" applyBorder="1" applyAlignment="1">
      <alignment horizontal="right" vertical="center" wrapText="1"/>
    </xf>
    <xf numFmtId="0" fontId="28" fillId="15" borderId="31" xfId="0" applyFont="1" applyFill="1" applyBorder="1" applyAlignment="1">
      <alignment horizontal="left"/>
    </xf>
    <xf numFmtId="22" fontId="29" fillId="15" borderId="31" xfId="0" applyNumberFormat="1" applyFont="1" applyFill="1" applyBorder="1" applyAlignment="1">
      <alignment horizontal="right" wrapText="1"/>
    </xf>
    <xf numFmtId="49" fontId="27" fillId="15" borderId="27" xfId="0" applyNumberFormat="1" applyFont="1" applyFill="1" applyBorder="1" applyAlignment="1">
      <alignment vertical="center" wrapText="1"/>
    </xf>
    <xf numFmtId="0" fontId="23" fillId="15" borderId="1" xfId="0" applyFont="1" applyFill="1" applyBorder="1" applyAlignment="1">
      <alignment horizontal="left" vertical="center" wrapText="1"/>
    </xf>
    <xf numFmtId="22" fontId="31" fillId="15" borderId="1" xfId="0" applyNumberFormat="1" applyFont="1" applyFill="1" applyBorder="1" applyAlignment="1">
      <alignment horizontal="right" wrapText="1"/>
    </xf>
    <xf numFmtId="0" fontId="20" fillId="15" borderId="35" xfId="0" applyFont="1" applyFill="1" applyBorder="1" applyAlignment="1">
      <alignment horizontal="left"/>
    </xf>
    <xf numFmtId="49" fontId="23" fillId="15" borderId="35" xfId="0" applyNumberFormat="1" applyFont="1" applyFill="1" applyBorder="1" applyAlignment="1">
      <alignment horizontal="left" vertical="center" wrapText="1"/>
    </xf>
    <xf numFmtId="49" fontId="23" fillId="15" borderId="6" xfId="0" applyNumberFormat="1" applyFont="1" applyFill="1" applyBorder="1" applyAlignment="1">
      <alignment horizontal="right" vertical="center" wrapText="1"/>
    </xf>
    <xf numFmtId="1" fontId="23" fillId="15" borderId="6" xfId="0" applyNumberFormat="1" applyFont="1" applyFill="1" applyBorder="1" applyAlignment="1">
      <alignment horizontal="right" vertical="center" wrapText="1"/>
    </xf>
    <xf numFmtId="0" fontId="23" fillId="15" borderId="3" xfId="0" applyFont="1" applyFill="1" applyBorder="1" applyAlignment="1">
      <alignment horizontal="left" vertical="center" wrapText="1"/>
    </xf>
    <xf numFmtId="22" fontId="31" fillId="15" borderId="3" xfId="0" applyNumberFormat="1" applyFont="1" applyFill="1" applyBorder="1" applyAlignment="1">
      <alignment horizontal="right" wrapText="1"/>
    </xf>
    <xf numFmtId="164" fontId="23" fillId="15" borderId="24" xfId="1" applyNumberFormat="1" applyFont="1" applyFill="1" applyBorder="1" applyAlignment="1">
      <alignment horizontal="right" vertical="center" wrapText="1"/>
    </xf>
    <xf numFmtId="49" fontId="23" fillId="15" borderId="30" xfId="0" applyNumberFormat="1" applyFont="1" applyFill="1" applyBorder="1" applyAlignment="1">
      <alignment horizontal="right" vertical="center" wrapText="1"/>
    </xf>
    <xf numFmtId="0" fontId="20" fillId="15" borderId="6" xfId="0" applyFont="1" applyFill="1" applyBorder="1"/>
    <xf numFmtId="164" fontId="23" fillId="15" borderId="30" xfId="1" applyNumberFormat="1" applyFont="1" applyFill="1" applyBorder="1" applyAlignment="1">
      <alignment horizontal="right" vertical="center" wrapText="1"/>
    </xf>
    <xf numFmtId="49" fontId="23" fillId="15" borderId="4" xfId="0" applyNumberFormat="1" applyFont="1" applyFill="1" applyBorder="1" applyAlignment="1">
      <alignment horizontal="right" vertical="center" wrapText="1"/>
    </xf>
    <xf numFmtId="1" fontId="23" fillId="15" borderId="4" xfId="0" applyNumberFormat="1" applyFont="1" applyFill="1" applyBorder="1" applyAlignment="1">
      <alignment horizontal="right" vertical="center" wrapText="1"/>
    </xf>
    <xf numFmtId="0" fontId="20" fillId="15" borderId="4" xfId="0" applyFont="1" applyFill="1" applyBorder="1" applyAlignment="1">
      <alignment horizontal="left"/>
    </xf>
    <xf numFmtId="49" fontId="23" fillId="15" borderId="34" xfId="0" applyNumberFormat="1" applyFont="1" applyFill="1" applyBorder="1" applyAlignment="1">
      <alignment horizontal="right" vertical="center" wrapText="1"/>
    </xf>
    <xf numFmtId="0" fontId="28" fillId="15" borderId="4" xfId="0" applyFont="1" applyFill="1" applyBorder="1"/>
    <xf numFmtId="164" fontId="27" fillId="15" borderId="34" xfId="1" applyNumberFormat="1" applyFont="1" applyFill="1" applyBorder="1" applyAlignment="1">
      <alignment horizontal="right" vertical="center" wrapText="1"/>
    </xf>
    <xf numFmtId="164" fontId="51" fillId="15" borderId="18" xfId="0" applyNumberFormat="1" applyFont="1" applyFill="1" applyBorder="1" applyAlignment="1">
      <alignment horizontal="right" vertical="center"/>
    </xf>
    <xf numFmtId="0" fontId="20" fillId="15" borderId="4" xfId="0" applyFont="1" applyFill="1" applyBorder="1"/>
    <xf numFmtId="3" fontId="6" fillId="15" borderId="17" xfId="0" applyNumberFormat="1" applyFont="1" applyFill="1" applyBorder="1" applyAlignment="1">
      <alignment vertical="center" wrapText="1"/>
    </xf>
    <xf numFmtId="0" fontId="23" fillId="15" borderId="6" xfId="0" applyFont="1" applyFill="1" applyBorder="1" applyAlignment="1">
      <alignment horizontal="left" vertical="center" wrapText="1"/>
    </xf>
    <xf numFmtId="22" fontId="31" fillId="15" borderId="6" xfId="0" applyNumberFormat="1" applyFont="1" applyFill="1" applyBorder="1" applyAlignment="1">
      <alignment horizontal="right" wrapText="1"/>
    </xf>
    <xf numFmtId="164" fontId="51" fillId="15" borderId="6" xfId="0" applyNumberFormat="1" applyFont="1" applyFill="1" applyBorder="1" applyAlignment="1">
      <alignment horizontal="right" vertical="center"/>
    </xf>
    <xf numFmtId="49" fontId="28" fillId="15" borderId="0" xfId="1" applyNumberFormat="1" applyFont="1" applyFill="1" applyAlignment="1">
      <alignment horizontal="center" vertical="center"/>
    </xf>
    <xf numFmtId="49" fontId="28" fillId="15" borderId="0" xfId="0" applyNumberFormat="1" applyFont="1" applyFill="1" applyAlignment="1">
      <alignment horizontal="center" vertical="center"/>
    </xf>
    <xf numFmtId="0" fontId="28" fillId="15" borderId="0" xfId="0" applyFont="1" applyFill="1"/>
    <xf numFmtId="1" fontId="23" fillId="15" borderId="6" xfId="0" applyNumberFormat="1" applyFont="1" applyFill="1" applyBorder="1" applyAlignment="1">
      <alignment horizontal="center" vertical="center" wrapText="1"/>
    </xf>
    <xf numFmtId="0" fontId="23" fillId="15" borderId="4" xfId="0" applyFont="1" applyFill="1" applyBorder="1" applyAlignment="1">
      <alignment horizontal="left" vertical="center" wrapText="1"/>
    </xf>
    <xf numFmtId="164" fontId="27" fillId="15" borderId="3" xfId="1" applyNumberFormat="1" applyFont="1" applyFill="1" applyBorder="1" applyAlignment="1">
      <alignment horizontal="right" vertical="center" wrapText="1"/>
    </xf>
    <xf numFmtId="0" fontId="20" fillId="15" borderId="26" xfId="0" applyFont="1" applyFill="1" applyBorder="1" applyAlignment="1">
      <alignment horizontal="left"/>
    </xf>
    <xf numFmtId="0" fontId="63" fillId="15" borderId="3" xfId="0" applyFont="1" applyFill="1" applyBorder="1" applyAlignment="1">
      <alignment horizontal="right" vertical="top" wrapText="1"/>
    </xf>
    <xf numFmtId="49" fontId="63" fillId="15" borderId="3" xfId="0" applyNumberFormat="1" applyFont="1" applyFill="1" applyBorder="1" applyAlignment="1">
      <alignment horizontal="right" vertical="top" wrapText="1"/>
    </xf>
    <xf numFmtId="1" fontId="63" fillId="15" borderId="3" xfId="0" applyNumberFormat="1" applyFont="1" applyFill="1" applyBorder="1" applyAlignment="1">
      <alignment horizontal="right" vertical="top" wrapText="1"/>
    </xf>
    <xf numFmtId="49" fontId="23" fillId="15" borderId="36" xfId="0" applyNumberFormat="1" applyFont="1" applyFill="1" applyBorder="1" applyAlignment="1">
      <alignment horizontal="right" vertical="center" wrapText="1"/>
    </xf>
    <xf numFmtId="49" fontId="63" fillId="15" borderId="23" xfId="0" applyNumberFormat="1" applyFont="1" applyFill="1" applyBorder="1" applyAlignment="1">
      <alignment horizontal="left" vertical="top" wrapText="1"/>
    </xf>
    <xf numFmtId="22" fontId="67" fillId="15" borderId="31" xfId="0" applyNumberFormat="1" applyFont="1" applyFill="1" applyBorder="1" applyAlignment="1">
      <alignment horizontal="right" vertical="top" wrapText="1"/>
    </xf>
    <xf numFmtId="49" fontId="63" fillId="15" borderId="27" xfId="0" applyNumberFormat="1" applyFont="1" applyFill="1" applyBorder="1" applyAlignment="1">
      <alignment horizontal="left" vertical="top" wrapText="1"/>
    </xf>
    <xf numFmtId="164" fontId="63" fillId="15" borderId="19" xfId="1" applyNumberFormat="1" applyFont="1" applyFill="1" applyBorder="1" applyAlignment="1">
      <alignment horizontal="right" vertical="top" wrapText="1"/>
    </xf>
    <xf numFmtId="164" fontId="63" fillId="15" borderId="35" xfId="1" applyNumberFormat="1" applyFont="1" applyFill="1" applyBorder="1" applyAlignment="1">
      <alignment horizontal="right" vertical="top" wrapText="1"/>
    </xf>
    <xf numFmtId="0" fontId="64" fillId="15" borderId="31" xfId="0" applyFont="1" applyFill="1" applyBorder="1" applyAlignment="1">
      <alignment horizontal="right" vertical="top"/>
    </xf>
    <xf numFmtId="164" fontId="66" fillId="15" borderId="31" xfId="0" applyNumberFormat="1" applyFont="1" applyFill="1" applyBorder="1" applyAlignment="1">
      <alignment horizontal="right" vertical="top"/>
    </xf>
    <xf numFmtId="0" fontId="64" fillId="15" borderId="17" xfId="0" applyFont="1" applyFill="1" applyBorder="1" applyAlignment="1">
      <alignment horizontal="right" vertical="top"/>
    </xf>
    <xf numFmtId="49" fontId="23" fillId="15" borderId="3" xfId="0" applyNumberFormat="1" applyFont="1" applyFill="1" applyBorder="1" applyAlignment="1">
      <alignment horizontal="right" vertical="center" wrapText="1"/>
    </xf>
    <xf numFmtId="1" fontId="23" fillId="15" borderId="3" xfId="0" applyNumberFormat="1" applyFont="1" applyFill="1" applyBorder="1" applyAlignment="1">
      <alignment horizontal="center" vertical="center" wrapText="1"/>
    </xf>
    <xf numFmtId="164" fontId="27" fillId="15" borderId="3" xfId="1" applyNumberFormat="1" applyFont="1" applyFill="1" applyBorder="1" applyAlignment="1">
      <alignment vertical="center" wrapText="1"/>
    </xf>
    <xf numFmtId="0" fontId="55" fillId="15" borderId="4" xfId="0" applyFont="1" applyFill="1" applyBorder="1" applyAlignment="1">
      <alignment vertical="center" wrapText="1"/>
    </xf>
    <xf numFmtId="2" fontId="24" fillId="15" borderId="17" xfId="0" applyNumberFormat="1" applyFont="1" applyFill="1" applyBorder="1" applyAlignment="1">
      <alignment horizontal="left" vertical="center" wrapText="1"/>
    </xf>
    <xf numFmtId="164" fontId="24" fillId="15" borderId="17" xfId="1" applyNumberFormat="1" applyFont="1" applyFill="1" applyBorder="1" applyAlignment="1">
      <alignment vertical="center" wrapText="1"/>
    </xf>
    <xf numFmtId="0" fontId="55" fillId="15" borderId="4" xfId="0" applyFont="1" applyFill="1" applyBorder="1"/>
    <xf numFmtId="164" fontId="51" fillId="15" borderId="4" xfId="0" applyNumberFormat="1" applyFont="1" applyFill="1" applyBorder="1" applyAlignment="1">
      <alignment horizontal="right" vertical="center"/>
    </xf>
    <xf numFmtId="0" fontId="55" fillId="15" borderId="1" xfId="0" applyFont="1" applyFill="1" applyBorder="1" applyAlignment="1">
      <alignment vertical="center" wrapText="1"/>
    </xf>
    <xf numFmtId="49" fontId="55" fillId="15" borderId="17" xfId="0" applyNumberFormat="1" applyFont="1" applyFill="1" applyBorder="1" applyAlignment="1">
      <alignment horizontal="left" vertical="center" wrapText="1"/>
    </xf>
    <xf numFmtId="164" fontId="32" fillId="15" borderId="17" xfId="1" applyNumberFormat="1" applyFont="1" applyFill="1" applyBorder="1" applyAlignment="1">
      <alignment vertical="center" wrapText="1"/>
    </xf>
    <xf numFmtId="1" fontId="27" fillId="15" borderId="3" xfId="0" applyNumberFormat="1" applyFont="1" applyFill="1" applyBorder="1" applyAlignment="1">
      <alignment horizontal="right" vertical="center" wrapText="1"/>
    </xf>
    <xf numFmtId="2" fontId="20" fillId="15" borderId="17" xfId="0" applyNumberFormat="1" applyFont="1" applyFill="1" applyBorder="1"/>
    <xf numFmtId="49" fontId="23" fillId="15" borderId="18" xfId="0" applyNumberFormat="1" applyFont="1" applyFill="1" applyBorder="1" applyAlignment="1">
      <alignment vertical="center" wrapText="1"/>
    </xf>
    <xf numFmtId="0" fontId="20" fillId="15" borderId="19" xfId="0" applyFont="1" applyFill="1" applyBorder="1" applyAlignment="1">
      <alignment horizontal="left"/>
    </xf>
    <xf numFmtId="22" fontId="31" fillId="15" borderId="19" xfId="0" applyNumberFormat="1" applyFont="1" applyFill="1" applyBorder="1" applyAlignment="1">
      <alignment horizontal="right" wrapText="1"/>
    </xf>
    <xf numFmtId="164" fontId="27" fillId="15" borderId="19" xfId="1" applyNumberFormat="1" applyFont="1" applyFill="1" applyBorder="1" applyAlignment="1">
      <alignment vertical="center" wrapText="1"/>
    </xf>
    <xf numFmtId="164" fontId="51" fillId="15" borderId="26" xfId="0" applyNumberFormat="1" applyFont="1" applyFill="1" applyBorder="1" applyAlignment="1">
      <alignment horizontal="right" vertical="center"/>
    </xf>
    <xf numFmtId="14" fontId="27" fillId="15" borderId="1" xfId="0" applyNumberFormat="1" applyFont="1" applyFill="1" applyBorder="1" applyAlignment="1">
      <alignment horizontal="right" vertical="center" wrapText="1"/>
    </xf>
    <xf numFmtId="164" fontId="23" fillId="15" borderId="3" xfId="1" applyNumberFormat="1" applyFont="1" applyFill="1" applyBorder="1" applyAlignment="1">
      <alignment horizontal="left" vertical="center" wrapText="1"/>
    </xf>
    <xf numFmtId="49" fontId="27" fillId="15" borderId="4" xfId="0" applyNumberFormat="1" applyFont="1" applyFill="1" applyBorder="1" applyAlignment="1">
      <alignment horizontal="right" vertical="center" wrapText="1"/>
    </xf>
    <xf numFmtId="14" fontId="27" fillId="15" borderId="4" xfId="0" applyNumberFormat="1" applyFont="1" applyFill="1" applyBorder="1" applyAlignment="1">
      <alignment horizontal="right" vertical="center" wrapText="1"/>
    </xf>
    <xf numFmtId="1" fontId="27" fillId="15" borderId="4" xfId="0" applyNumberFormat="1" applyFont="1" applyFill="1" applyBorder="1" applyAlignment="1">
      <alignment horizontal="right" vertical="center" wrapText="1"/>
    </xf>
    <xf numFmtId="49" fontId="27" fillId="15" borderId="34" xfId="0" applyNumberFormat="1" applyFont="1" applyFill="1" applyBorder="1" applyAlignment="1">
      <alignment horizontal="right" vertical="center" wrapText="1"/>
    </xf>
    <xf numFmtId="0" fontId="16" fillId="15" borderId="17" xfId="0" applyFont="1" applyFill="1" applyBorder="1" applyAlignment="1">
      <alignment horizontal="left" wrapText="1"/>
    </xf>
    <xf numFmtId="49" fontId="23" fillId="15" borderId="4" xfId="0" applyNumberFormat="1" applyFont="1" applyFill="1" applyBorder="1" applyAlignment="1">
      <alignment vertical="center" wrapText="1"/>
    </xf>
    <xf numFmtId="49" fontId="27" fillId="15" borderId="6" xfId="0" applyNumberFormat="1" applyFont="1" applyFill="1" applyBorder="1" applyAlignment="1">
      <alignment horizontal="right" vertical="center" wrapText="1"/>
    </xf>
    <xf numFmtId="14" fontId="27" fillId="15" borderId="6" xfId="0" applyNumberFormat="1" applyFont="1" applyFill="1" applyBorder="1" applyAlignment="1">
      <alignment horizontal="right" vertical="center" wrapText="1"/>
    </xf>
    <xf numFmtId="1" fontId="27" fillId="15" borderId="6" xfId="0" applyNumberFormat="1" applyFont="1" applyFill="1" applyBorder="1" applyAlignment="1">
      <alignment horizontal="right" vertical="center" wrapText="1"/>
    </xf>
    <xf numFmtId="0" fontId="48" fillId="15" borderId="0" xfId="0" applyFont="1" applyFill="1"/>
    <xf numFmtId="14" fontId="23" fillId="15" borderId="4" xfId="0" applyNumberFormat="1" applyFont="1" applyFill="1" applyBorder="1" applyAlignment="1">
      <alignment horizontal="right" vertical="center" wrapText="1"/>
    </xf>
    <xf numFmtId="1" fontId="23" fillId="15" borderId="4" xfId="0" applyNumberFormat="1" applyFont="1" applyFill="1" applyBorder="1" applyAlignment="1">
      <alignment horizontal="center" vertical="center" wrapText="1"/>
    </xf>
    <xf numFmtId="49" fontId="23" fillId="15" borderId="23" xfId="0" applyNumberFormat="1" applyFont="1" applyFill="1" applyBorder="1" applyAlignment="1">
      <alignment horizontal="left" vertical="center" wrapText="1"/>
    </xf>
    <xf numFmtId="22" fontId="31" fillId="15" borderId="31" xfId="0" applyNumberFormat="1" applyFont="1" applyFill="1" applyBorder="1" applyAlignment="1">
      <alignment horizontal="right" wrapText="1"/>
    </xf>
    <xf numFmtId="49" fontId="23" fillId="15" borderId="27" xfId="0" applyNumberFormat="1" applyFont="1" applyFill="1" applyBorder="1" applyAlignment="1">
      <alignment vertical="center" wrapText="1"/>
    </xf>
    <xf numFmtId="49" fontId="27" fillId="15" borderId="36" xfId="0" applyNumberFormat="1" applyFont="1" applyFill="1" applyBorder="1" applyAlignment="1">
      <alignment horizontal="left" vertical="center" wrapText="1"/>
    </xf>
    <xf numFmtId="164" fontId="27" fillId="15" borderId="31" xfId="1" applyNumberFormat="1" applyFont="1" applyFill="1" applyBorder="1" applyAlignment="1">
      <alignment vertical="center" wrapText="1"/>
    </xf>
    <xf numFmtId="0" fontId="20" fillId="15" borderId="24" xfId="0" applyFont="1" applyFill="1" applyBorder="1" applyAlignment="1">
      <alignment horizontal="left"/>
    </xf>
    <xf numFmtId="22" fontId="31" fillId="15" borderId="4" xfId="0" applyNumberFormat="1" applyFont="1" applyFill="1" applyBorder="1" applyAlignment="1">
      <alignment horizontal="right" wrapText="1"/>
    </xf>
    <xf numFmtId="164" fontId="23" fillId="15" borderId="4" xfId="1" applyNumberFormat="1" applyFont="1" applyFill="1" applyBorder="1" applyAlignment="1">
      <alignment vertical="center" wrapText="1"/>
    </xf>
    <xf numFmtId="0" fontId="45" fillId="15" borderId="6" xfId="0" applyFont="1" applyFill="1" applyBorder="1" applyAlignment="1">
      <alignment vertical="center" wrapText="1"/>
    </xf>
    <xf numFmtId="14" fontId="23" fillId="15" borderId="6" xfId="0" applyNumberFormat="1" applyFont="1" applyFill="1" applyBorder="1" applyAlignment="1">
      <alignment horizontal="right" vertical="center" wrapText="1"/>
    </xf>
    <xf numFmtId="49" fontId="45" fillId="15" borderId="17" xfId="0" applyNumberFormat="1" applyFont="1" applyFill="1" applyBorder="1" applyAlignment="1">
      <alignment horizontal="left" vertical="center" wrapText="1"/>
    </xf>
    <xf numFmtId="164" fontId="45" fillId="15" borderId="17" xfId="1" applyNumberFormat="1" applyFont="1" applyFill="1" applyBorder="1" applyAlignment="1">
      <alignment vertical="center" wrapText="1"/>
    </xf>
    <xf numFmtId="0" fontId="48" fillId="15" borderId="19" xfId="0" applyFont="1" applyFill="1" applyBorder="1"/>
    <xf numFmtId="164" fontId="45" fillId="15" borderId="19" xfId="1" applyNumberFormat="1" applyFont="1" applyFill="1" applyBorder="1" applyAlignment="1">
      <alignment horizontal="right" vertical="center" wrapText="1"/>
    </xf>
    <xf numFmtId="164" fontId="49" fillId="15" borderId="19" xfId="0" applyNumberFormat="1" applyFont="1" applyFill="1" applyBorder="1" applyAlignment="1">
      <alignment horizontal="right" vertical="center"/>
    </xf>
    <xf numFmtId="0" fontId="48" fillId="15" borderId="17" xfId="0" applyFont="1" applyFill="1" applyBorder="1"/>
    <xf numFmtId="49" fontId="23" fillId="15" borderId="86" xfId="0" applyNumberFormat="1" applyFont="1" applyFill="1" applyBorder="1" applyAlignment="1">
      <alignment horizontal="left" vertical="center" wrapText="1"/>
    </xf>
    <xf numFmtId="164" fontId="23" fillId="15" borderId="26" xfId="1" applyNumberFormat="1" applyFont="1" applyFill="1" applyBorder="1" applyAlignment="1">
      <alignment vertical="center" wrapText="1"/>
    </xf>
    <xf numFmtId="49" fontId="20" fillId="15" borderId="0" xfId="1" applyNumberFormat="1" applyFont="1" applyFill="1" applyAlignment="1">
      <alignment horizontal="left" vertical="center"/>
    </xf>
    <xf numFmtId="49" fontId="23" fillId="15" borderId="88" xfId="0" applyNumberFormat="1" applyFont="1" applyFill="1" applyBorder="1" applyAlignment="1">
      <alignment horizontal="left" vertical="center" wrapText="1"/>
    </xf>
    <xf numFmtId="164" fontId="27" fillId="15" borderId="24" xfId="1" applyNumberFormat="1" applyFont="1" applyFill="1" applyBorder="1" applyAlignment="1">
      <alignment vertical="center" wrapText="1"/>
    </xf>
    <xf numFmtId="0" fontId="20" fillId="15" borderId="1" xfId="0" applyFont="1" applyFill="1" applyBorder="1" applyAlignment="1">
      <alignment horizontal="left" vertical="center"/>
    </xf>
    <xf numFmtId="0" fontId="20" fillId="15" borderId="17" xfId="0" applyFont="1" applyFill="1" applyBorder="1" applyAlignment="1">
      <alignment horizontal="left" vertical="center"/>
    </xf>
    <xf numFmtId="22" fontId="31" fillId="15" borderId="17" xfId="0" applyNumberFormat="1" applyFont="1" applyFill="1" applyBorder="1" applyAlignment="1">
      <alignment horizontal="right" vertical="center" wrapText="1"/>
    </xf>
    <xf numFmtId="164" fontId="53" fillId="15" borderId="17" xfId="0" applyNumberFormat="1" applyFont="1" applyFill="1" applyBorder="1" applyAlignment="1">
      <alignment vertical="center"/>
    </xf>
    <xf numFmtId="14" fontId="29" fillId="15" borderId="6" xfId="0" applyNumberFormat="1" applyFont="1" applyFill="1" applyBorder="1" applyAlignment="1">
      <alignment horizontal="right" vertical="center" wrapText="1"/>
    </xf>
    <xf numFmtId="0" fontId="27" fillId="15" borderId="3" xfId="0" applyFont="1" applyFill="1" applyBorder="1" applyAlignment="1">
      <alignment horizontal="left" vertical="center" wrapText="1"/>
    </xf>
    <xf numFmtId="164" fontId="23" fillId="15" borderId="28" xfId="1" applyNumberFormat="1" applyFont="1" applyFill="1" applyBorder="1" applyAlignment="1">
      <alignment horizontal="right" vertical="center" wrapText="1"/>
    </xf>
    <xf numFmtId="0" fontId="20" fillId="15" borderId="31" xfId="0" applyFont="1" applyFill="1" applyBorder="1" applyAlignment="1">
      <alignment horizontal="left"/>
    </xf>
    <xf numFmtId="164" fontId="23" fillId="15" borderId="31" xfId="1" applyNumberFormat="1" applyFont="1" applyFill="1" applyBorder="1" applyAlignment="1">
      <alignment vertical="center" wrapText="1"/>
    </xf>
    <xf numFmtId="0" fontId="20" fillId="15" borderId="31" xfId="0" applyFont="1" applyFill="1" applyBorder="1"/>
    <xf numFmtId="164" fontId="35" fillId="15" borderId="35" xfId="0" applyNumberFormat="1" applyFont="1" applyFill="1" applyBorder="1" applyAlignment="1">
      <alignment horizontal="right" vertical="center"/>
    </xf>
    <xf numFmtId="0" fontId="23" fillId="15" borderId="1" xfId="0" applyFont="1" applyFill="1" applyBorder="1" applyAlignment="1">
      <alignment vertical="center"/>
    </xf>
    <xf numFmtId="49" fontId="23" fillId="15" borderId="6" xfId="0" applyNumberFormat="1" applyFont="1" applyFill="1" applyBorder="1" applyAlignment="1">
      <alignment horizontal="left" vertical="center"/>
    </xf>
    <xf numFmtId="49" fontId="23" fillId="15" borderId="17" xfId="0" applyNumberFormat="1" applyFont="1" applyFill="1" applyBorder="1" applyAlignment="1">
      <alignment vertical="center"/>
    </xf>
    <xf numFmtId="164" fontId="23" fillId="15" borderId="17" xfId="1" applyNumberFormat="1" applyFont="1" applyFill="1" applyBorder="1" applyAlignment="1">
      <alignment horizontal="right" vertical="center"/>
    </xf>
    <xf numFmtId="14" fontId="37" fillId="15" borderId="1" xfId="0" applyNumberFormat="1" applyFont="1" applyFill="1" applyBorder="1" applyAlignment="1">
      <alignment horizontal="right" wrapText="1"/>
    </xf>
    <xf numFmtId="0" fontId="37" fillId="15" borderId="1" xfId="0" applyFont="1" applyFill="1" applyBorder="1" applyAlignment="1">
      <alignment horizontal="right" wrapText="1"/>
    </xf>
    <xf numFmtId="49" fontId="23" fillId="15" borderId="15" xfId="0" applyNumberFormat="1" applyFont="1" applyFill="1" applyBorder="1" applyAlignment="1">
      <alignment horizontal="left" vertical="center" wrapText="1"/>
    </xf>
    <xf numFmtId="22" fontId="20" fillId="15" borderId="1" xfId="0" applyNumberFormat="1" applyFont="1" applyFill="1" applyBorder="1" applyAlignment="1">
      <alignment horizontal="right"/>
    </xf>
    <xf numFmtId="2" fontId="23" fillId="15" borderId="15" xfId="0" applyNumberFormat="1" applyFont="1" applyFill="1" applyBorder="1" applyAlignment="1">
      <alignment horizontal="left" vertical="center" wrapText="1"/>
    </xf>
    <xf numFmtId="164" fontId="23" fillId="15" borderId="87" xfId="1" applyNumberFormat="1" applyFont="1" applyFill="1" applyBorder="1" applyAlignment="1">
      <alignment horizontal="right" vertical="center" wrapText="1"/>
    </xf>
    <xf numFmtId="14" fontId="20" fillId="15" borderId="6" xfId="0" applyNumberFormat="1" applyFont="1" applyFill="1" applyBorder="1" applyAlignment="1">
      <alignment horizontal="right"/>
    </xf>
    <xf numFmtId="0" fontId="20" fillId="15" borderId="30" xfId="0" applyFont="1" applyFill="1" applyBorder="1" applyAlignment="1">
      <alignment horizontal="right"/>
    </xf>
    <xf numFmtId="22" fontId="20" fillId="15" borderId="19" xfId="0" applyNumberFormat="1" applyFont="1" applyFill="1" applyBorder="1" applyAlignment="1">
      <alignment horizontal="right"/>
    </xf>
    <xf numFmtId="0" fontId="20" fillId="15" borderId="15" xfId="0" applyFont="1" applyFill="1" applyBorder="1" applyAlignment="1">
      <alignment horizontal="right"/>
    </xf>
    <xf numFmtId="22" fontId="20" fillId="15" borderId="17" xfId="0" applyNumberFormat="1" applyFont="1" applyFill="1" applyBorder="1" applyAlignment="1">
      <alignment horizontal="right"/>
    </xf>
    <xf numFmtId="49" fontId="23" fillId="15" borderId="28" xfId="0" applyNumberFormat="1" applyFont="1" applyFill="1" applyBorder="1" applyAlignment="1">
      <alignment horizontal="left" vertical="center" wrapText="1"/>
    </xf>
    <xf numFmtId="164" fontId="23" fillId="15" borderId="25" xfId="1" applyNumberFormat="1" applyFont="1" applyFill="1" applyBorder="1" applyAlignment="1">
      <alignment vertical="center" wrapText="1"/>
    </xf>
    <xf numFmtId="164" fontId="23" fillId="15" borderId="20" xfId="1" applyNumberFormat="1" applyFont="1" applyFill="1" applyBorder="1" applyAlignment="1">
      <alignment vertical="center" wrapText="1"/>
    </xf>
    <xf numFmtId="49" fontId="23" fillId="15" borderId="32" xfId="0" applyNumberFormat="1" applyFont="1" applyFill="1" applyBorder="1" applyAlignment="1">
      <alignment horizontal="left" vertical="center" wrapText="1"/>
    </xf>
    <xf numFmtId="164" fontId="23" fillId="15" borderId="15" xfId="1" applyNumberFormat="1" applyFont="1" applyFill="1" applyBorder="1" applyAlignment="1">
      <alignment horizontal="right" vertical="center" wrapText="1"/>
    </xf>
    <xf numFmtId="164" fontId="32" fillId="15" borderId="15" xfId="1" applyNumberFormat="1" applyFont="1" applyFill="1" applyBorder="1" applyAlignment="1">
      <alignment horizontal="right" vertical="center" wrapText="1"/>
    </xf>
    <xf numFmtId="0" fontId="20" fillId="15" borderId="1" xfId="0" applyFont="1" applyFill="1" applyBorder="1" applyAlignment="1">
      <alignment horizontal="left" vertical="top"/>
    </xf>
    <xf numFmtId="49" fontId="23" fillId="15" borderId="15" xfId="0" applyNumberFormat="1" applyFont="1" applyFill="1" applyBorder="1" applyAlignment="1">
      <alignment horizontal="right" vertical="top"/>
    </xf>
    <xf numFmtId="0" fontId="37" fillId="15" borderId="1" xfId="0" applyFont="1" applyFill="1" applyBorder="1" applyAlignment="1">
      <alignment horizontal="right" vertical="top"/>
    </xf>
    <xf numFmtId="49" fontId="23" fillId="15" borderId="32" xfId="0" applyNumberFormat="1" applyFont="1" applyFill="1" applyBorder="1" applyAlignment="1">
      <alignment horizontal="left" vertical="center"/>
    </xf>
    <xf numFmtId="164" fontId="23" fillId="15" borderId="29" xfId="1" applyNumberFormat="1" applyFont="1" applyFill="1" applyBorder="1" applyAlignment="1">
      <alignment vertical="center" wrapText="1"/>
    </xf>
    <xf numFmtId="1" fontId="23" fillId="15" borderId="1" xfId="0" applyNumberFormat="1" applyFont="1" applyFill="1" applyBorder="1" applyAlignment="1">
      <alignment horizontal="left" vertical="center" wrapText="1"/>
    </xf>
    <xf numFmtId="0" fontId="20" fillId="15" borderId="15" xfId="0" applyFont="1" applyFill="1" applyBorder="1" applyAlignment="1">
      <alignment horizontal="left"/>
    </xf>
    <xf numFmtId="1" fontId="23" fillId="15" borderId="1" xfId="0" applyNumberFormat="1" applyFont="1" applyFill="1" applyBorder="1" applyAlignment="1">
      <alignment horizontal="left" vertical="top" wrapText="1"/>
    </xf>
    <xf numFmtId="0" fontId="20" fillId="15" borderId="4" xfId="0" applyFont="1" applyFill="1" applyBorder="1" applyAlignment="1">
      <alignment horizontal="right"/>
    </xf>
    <xf numFmtId="14" fontId="20" fillId="15" borderId="4" xfId="0" applyNumberFormat="1" applyFont="1" applyFill="1" applyBorder="1" applyAlignment="1">
      <alignment horizontal="right"/>
    </xf>
    <xf numFmtId="0" fontId="20" fillId="15" borderId="34" xfId="0" applyFont="1" applyFill="1" applyBorder="1" applyAlignment="1">
      <alignment horizontal="right"/>
    </xf>
    <xf numFmtId="22" fontId="20" fillId="15" borderId="18" xfId="0" applyNumberFormat="1" applyFont="1" applyFill="1" applyBorder="1" applyAlignment="1">
      <alignment horizontal="right"/>
    </xf>
    <xf numFmtId="164" fontId="23" fillId="15" borderId="24" xfId="1" applyNumberFormat="1" applyFont="1" applyFill="1" applyBorder="1" applyAlignment="1">
      <alignment vertical="center" wrapText="1"/>
    </xf>
    <xf numFmtId="164" fontId="23" fillId="15" borderId="34" xfId="1" applyNumberFormat="1" applyFont="1" applyFill="1" applyBorder="1" applyAlignment="1">
      <alignment horizontal="right" vertical="center" wrapText="1"/>
    </xf>
    <xf numFmtId="164" fontId="32" fillId="15" borderId="18" xfId="0" applyNumberFormat="1" applyFont="1" applyFill="1" applyBorder="1" applyAlignment="1">
      <alignment horizontal="right" vertical="center"/>
    </xf>
    <xf numFmtId="2" fontId="23" fillId="15" borderId="25" xfId="0" applyNumberFormat="1" applyFont="1" applyFill="1" applyBorder="1" applyAlignment="1">
      <alignment horizontal="right" vertical="center" wrapText="1"/>
    </xf>
    <xf numFmtId="0" fontId="28" fillId="15" borderId="31" xfId="0" applyFont="1" applyFill="1" applyBorder="1"/>
    <xf numFmtId="164" fontId="27" fillId="15" borderId="31" xfId="1" applyNumberFormat="1" applyFont="1" applyFill="1" applyBorder="1" applyAlignment="1">
      <alignment horizontal="right" vertical="center" wrapText="1"/>
    </xf>
    <xf numFmtId="164" fontId="32" fillId="15" borderId="1" xfId="0" applyNumberFormat="1" applyFont="1" applyFill="1" applyBorder="1" applyAlignment="1">
      <alignment horizontal="right" vertical="center"/>
    </xf>
    <xf numFmtId="164" fontId="32" fillId="15" borderId="4" xfId="0" applyNumberFormat="1" applyFont="1" applyFill="1" applyBorder="1" applyAlignment="1">
      <alignment horizontal="right" vertical="center"/>
    </xf>
    <xf numFmtId="2" fontId="23" fillId="15" borderId="0" xfId="0" applyNumberFormat="1" applyFont="1" applyFill="1" applyAlignment="1">
      <alignment horizontal="right" vertical="center" wrapText="1"/>
    </xf>
    <xf numFmtId="49" fontId="27" fillId="15" borderId="24" xfId="0" applyNumberFormat="1" applyFont="1" applyFill="1" applyBorder="1" applyAlignment="1">
      <alignment vertical="center" wrapText="1"/>
    </xf>
    <xf numFmtId="49" fontId="27" fillId="15" borderId="29" xfId="0" applyNumberFormat="1" applyFont="1" applyFill="1" applyBorder="1" applyAlignment="1">
      <alignment vertical="center" wrapText="1"/>
    </xf>
    <xf numFmtId="49" fontId="23" fillId="15" borderId="29" xfId="0" applyNumberFormat="1" applyFont="1" applyFill="1" applyBorder="1" applyAlignment="1">
      <alignment vertical="center" wrapText="1"/>
    </xf>
    <xf numFmtId="49" fontId="23" fillId="15" borderId="26" xfId="0" applyNumberFormat="1" applyFont="1" applyFill="1" applyBorder="1" applyAlignment="1">
      <alignment vertical="center" wrapText="1"/>
    </xf>
    <xf numFmtId="0" fontId="0" fillId="15" borderId="29" xfId="0" applyFill="1" applyBorder="1"/>
    <xf numFmtId="49" fontId="32" fillId="15" borderId="24" xfId="0" applyNumberFormat="1" applyFont="1" applyFill="1" applyBorder="1" applyAlignment="1">
      <alignment vertical="center" wrapText="1"/>
    </xf>
    <xf numFmtId="0" fontId="20" fillId="15" borderId="29" xfId="0" applyFont="1" applyFill="1" applyBorder="1" applyAlignment="1">
      <alignment horizontal="center" vertical="center" wrapText="1"/>
    </xf>
    <xf numFmtId="49" fontId="27" fillId="15" borderId="20" xfId="0" applyNumberFormat="1" applyFont="1" applyFill="1" applyBorder="1" applyAlignment="1">
      <alignment vertical="center" wrapText="1"/>
    </xf>
    <xf numFmtId="164" fontId="19" fillId="0" borderId="0" xfId="0" applyNumberFormat="1" applyFont="1" applyAlignment="1">
      <alignment horizontal="right"/>
    </xf>
    <xf numFmtId="164" fontId="68" fillId="0" borderId="20" xfId="1" applyNumberFormat="1" applyFont="1" applyBorder="1" applyAlignment="1">
      <alignment horizontal="right" vertical="top"/>
    </xf>
    <xf numFmtId="0" fontId="64" fillId="15" borderId="28" xfId="0" applyFont="1" applyFill="1" applyBorder="1" applyAlignment="1">
      <alignment horizontal="right" vertical="top"/>
    </xf>
    <xf numFmtId="0" fontId="64" fillId="15" borderId="32" xfId="0" applyFont="1" applyFill="1" applyBorder="1" applyAlignment="1">
      <alignment horizontal="right" vertical="top"/>
    </xf>
    <xf numFmtId="0" fontId="64" fillId="15" borderId="32" xfId="0" applyFont="1" applyFill="1" applyBorder="1" applyAlignment="1">
      <alignment horizontal="left" vertical="top"/>
    </xf>
    <xf numFmtId="49" fontId="63" fillId="15" borderId="32" xfId="0" applyNumberFormat="1" applyFont="1" applyFill="1" applyBorder="1" applyAlignment="1">
      <alignment horizontal="left" vertical="top" wrapText="1"/>
    </xf>
    <xf numFmtId="164" fontId="63" fillId="15" borderId="32" xfId="1" applyNumberFormat="1" applyFont="1" applyFill="1" applyBorder="1" applyAlignment="1">
      <alignment horizontal="right" vertical="top" wrapText="1"/>
    </xf>
    <xf numFmtId="0" fontId="64" fillId="15" borderId="29" xfId="0" applyFont="1" applyFill="1" applyBorder="1" applyAlignment="1">
      <alignment horizontal="right" vertical="top"/>
    </xf>
    <xf numFmtId="0" fontId="68" fillId="15" borderId="32" xfId="0" applyFont="1" applyFill="1" applyBorder="1" applyAlignment="1">
      <alignment horizontal="right" vertical="top"/>
    </xf>
    <xf numFmtId="0" fontId="20" fillId="15" borderId="20" xfId="0" applyFont="1" applyFill="1" applyBorder="1" applyAlignment="1">
      <alignment horizontal="center" vertical="center" wrapText="1"/>
    </xf>
    <xf numFmtId="0" fontId="20" fillId="15" borderId="20" xfId="0" applyFont="1" applyFill="1" applyBorder="1"/>
    <xf numFmtId="49" fontId="23" fillId="15" borderId="35" xfId="0" applyNumberFormat="1" applyFont="1" applyFill="1" applyBorder="1" applyAlignment="1">
      <alignment vertical="center" wrapText="1"/>
    </xf>
    <xf numFmtId="0" fontId="20" fillId="15" borderId="29" xfId="0" applyFont="1" applyFill="1" applyBorder="1"/>
    <xf numFmtId="49" fontId="23" fillId="15" borderId="89" xfId="0" applyNumberFormat="1" applyFont="1" applyFill="1" applyBorder="1" applyAlignment="1">
      <alignment vertical="center" wrapText="1"/>
    </xf>
    <xf numFmtId="0" fontId="20" fillId="15" borderId="26" xfId="0" applyFont="1" applyFill="1" applyBorder="1" applyAlignment="1">
      <alignment vertical="center"/>
    </xf>
    <xf numFmtId="49" fontId="63" fillId="15" borderId="24" xfId="0" applyNumberFormat="1" applyFont="1" applyFill="1" applyBorder="1" applyAlignment="1">
      <alignment horizontal="right" vertical="top" wrapText="1"/>
    </xf>
    <xf numFmtId="0" fontId="53" fillId="15" borderId="26" xfId="0" applyFont="1" applyFill="1" applyBorder="1"/>
    <xf numFmtId="49" fontId="23" fillId="15" borderId="20" xfId="0" applyNumberFormat="1" applyFont="1" applyFill="1" applyBorder="1" applyAlignment="1">
      <alignment vertical="center" wrapText="1"/>
    </xf>
    <xf numFmtId="49" fontId="27" fillId="15" borderId="35" xfId="0" applyNumberFormat="1" applyFont="1" applyFill="1" applyBorder="1" applyAlignment="1">
      <alignment vertical="center" wrapText="1"/>
    </xf>
    <xf numFmtId="0" fontId="20" fillId="15" borderId="26" xfId="0" applyFont="1" applyFill="1" applyBorder="1"/>
    <xf numFmtId="0" fontId="28" fillId="15" borderId="24" xfId="0" applyFont="1" applyFill="1" applyBorder="1"/>
    <xf numFmtId="0" fontId="20" fillId="15" borderId="24" xfId="0" applyFont="1" applyFill="1" applyBorder="1"/>
    <xf numFmtId="3" fontId="6" fillId="15" borderId="29" xfId="0" applyNumberFormat="1" applyFont="1" applyFill="1" applyBorder="1" applyAlignment="1">
      <alignment vertical="center" wrapText="1"/>
    </xf>
    <xf numFmtId="49" fontId="27" fillId="15" borderId="26" xfId="0" applyNumberFormat="1" applyFont="1" applyFill="1" applyBorder="1" applyAlignment="1">
      <alignment vertical="center" wrapText="1"/>
    </xf>
    <xf numFmtId="0" fontId="64" fillId="15" borderId="89" xfId="0" applyFont="1" applyFill="1" applyBorder="1" applyAlignment="1">
      <alignment horizontal="right" vertical="top"/>
    </xf>
    <xf numFmtId="0" fontId="55" fillId="15" borderId="24" xfId="0" applyFont="1" applyFill="1" applyBorder="1"/>
    <xf numFmtId="49" fontId="23" fillId="15" borderId="33" xfId="0" applyNumberFormat="1" applyFont="1" applyFill="1" applyBorder="1" applyAlignment="1">
      <alignment vertical="center" wrapText="1"/>
    </xf>
    <xf numFmtId="164" fontId="32" fillId="15" borderId="19" xfId="0" applyNumberFormat="1" applyFont="1" applyFill="1" applyBorder="1" applyAlignment="1">
      <alignment horizontal="right" vertical="center"/>
    </xf>
    <xf numFmtId="0" fontId="32" fillId="15" borderId="1" xfId="0" applyFont="1" applyFill="1" applyBorder="1" applyAlignment="1">
      <alignment horizontal="left"/>
    </xf>
    <xf numFmtId="49" fontId="32" fillId="15" borderId="15" xfId="0" applyNumberFormat="1" applyFont="1" applyFill="1" applyBorder="1" applyAlignment="1">
      <alignment horizontal="right" vertical="center" wrapText="1"/>
    </xf>
    <xf numFmtId="0" fontId="32" fillId="15" borderId="17" xfId="0" applyFont="1" applyFill="1" applyBorder="1" applyAlignment="1">
      <alignment horizontal="left"/>
    </xf>
    <xf numFmtId="49" fontId="32" fillId="15" borderId="20" xfId="0" applyNumberFormat="1" applyFont="1" applyFill="1" applyBorder="1" applyAlignment="1">
      <alignment horizontal="left" vertical="center" wrapText="1"/>
    </xf>
    <xf numFmtId="0" fontId="70" fillId="15" borderId="1" xfId="0" applyFont="1" applyFill="1" applyBorder="1" applyAlignment="1">
      <alignment wrapText="1"/>
    </xf>
    <xf numFmtId="49" fontId="32" fillId="15" borderId="15" xfId="0" applyNumberFormat="1" applyFont="1" applyFill="1" applyBorder="1" applyAlignment="1">
      <alignment vertical="center" wrapText="1"/>
    </xf>
    <xf numFmtId="49" fontId="32" fillId="15" borderId="17" xfId="0" applyNumberFormat="1" applyFont="1" applyFill="1" applyBorder="1" applyAlignment="1">
      <alignment horizontal="left" vertical="center" wrapText="1"/>
    </xf>
    <xf numFmtId="49" fontId="52" fillId="15" borderId="15" xfId="0" applyNumberFormat="1" applyFont="1" applyFill="1" applyBorder="1" applyAlignment="1">
      <alignment horizontal="right" vertical="center" wrapText="1"/>
    </xf>
    <xf numFmtId="49" fontId="52" fillId="15" borderId="17" xfId="0" applyNumberFormat="1" applyFont="1" applyFill="1" applyBorder="1" applyAlignment="1">
      <alignment horizontal="left" vertical="center" wrapText="1"/>
    </xf>
    <xf numFmtId="0" fontId="32" fillId="15" borderId="20" xfId="0" applyFont="1" applyFill="1" applyBorder="1" applyAlignment="1">
      <alignment horizontal="left"/>
    </xf>
    <xf numFmtId="0" fontId="52" fillId="15" borderId="17" xfId="0" applyFont="1" applyFill="1" applyBorder="1" applyAlignment="1">
      <alignment horizontal="left"/>
    </xf>
    <xf numFmtId="22" fontId="52" fillId="15" borderId="17" xfId="0" applyNumberFormat="1" applyFont="1" applyFill="1" applyBorder="1" applyAlignment="1">
      <alignment horizontal="right" wrapText="1"/>
    </xf>
    <xf numFmtId="49" fontId="52" fillId="15" borderId="3" xfId="0" applyNumberFormat="1" applyFont="1" applyFill="1" applyBorder="1" applyAlignment="1">
      <alignment horizontal="left" vertical="center" wrapText="1"/>
    </xf>
    <xf numFmtId="2" fontId="23" fillId="15" borderId="30" xfId="0" applyNumberFormat="1" applyFont="1" applyFill="1" applyBorder="1" applyAlignment="1">
      <alignment horizontal="right" vertical="center" wrapText="1"/>
    </xf>
    <xf numFmtId="49" fontId="27" fillId="15" borderId="17" xfId="0" applyNumberFormat="1" applyFont="1" applyFill="1" applyBorder="1" applyAlignment="1">
      <alignment horizontal="right" vertical="center" wrapText="1"/>
    </xf>
    <xf numFmtId="49" fontId="52" fillId="15" borderId="17" xfId="0" applyNumberFormat="1" applyFont="1" applyFill="1" applyBorder="1" applyAlignment="1">
      <alignment horizontal="right" vertical="center" wrapText="1"/>
    </xf>
    <xf numFmtId="1" fontId="52" fillId="15" borderId="17" xfId="0" applyNumberFormat="1" applyFont="1" applyFill="1" applyBorder="1" applyAlignment="1">
      <alignment horizontal="right" vertical="center" wrapText="1"/>
    </xf>
    <xf numFmtId="49" fontId="63" fillId="15" borderId="17" xfId="0" applyNumberFormat="1" applyFont="1" applyFill="1" applyBorder="1" applyAlignment="1">
      <alignment horizontal="right" vertical="top" wrapText="1"/>
    </xf>
    <xf numFmtId="49" fontId="65" fillId="15" borderId="17" xfId="0" applyNumberFormat="1" applyFont="1" applyFill="1" applyBorder="1" applyAlignment="1">
      <alignment horizontal="right" vertical="top" wrapText="1"/>
    </xf>
    <xf numFmtId="1" fontId="65" fillId="15" borderId="17" xfId="0" applyNumberFormat="1" applyFont="1" applyFill="1" applyBorder="1" applyAlignment="1">
      <alignment horizontal="right" vertical="top" wrapText="1"/>
    </xf>
    <xf numFmtId="0" fontId="20" fillId="15" borderId="17" xfId="0" applyFont="1" applyFill="1" applyBorder="1" applyAlignment="1">
      <alignment horizontal="right"/>
    </xf>
    <xf numFmtId="14" fontId="32" fillId="15" borderId="17" xfId="0" applyNumberFormat="1" applyFont="1" applyFill="1" applyBorder="1" applyAlignment="1">
      <alignment horizontal="right"/>
    </xf>
    <xf numFmtId="49" fontId="32" fillId="15" borderId="17" xfId="0" applyNumberFormat="1" applyFont="1" applyFill="1" applyBorder="1" applyAlignment="1">
      <alignment horizontal="right" vertical="center" wrapText="1"/>
    </xf>
    <xf numFmtId="49" fontId="52" fillId="15" borderId="17" xfId="0" applyNumberFormat="1" applyFont="1" applyFill="1" applyBorder="1" applyAlignment="1">
      <alignment vertical="center" wrapText="1"/>
    </xf>
    <xf numFmtId="22" fontId="65" fillId="15" borderId="17" xfId="0" applyNumberFormat="1" applyFont="1" applyFill="1" applyBorder="1" applyAlignment="1">
      <alignment horizontal="right" vertical="top" wrapText="1"/>
    </xf>
    <xf numFmtId="49" fontId="23" fillId="15" borderId="17" xfId="0" applyNumberFormat="1" applyFont="1" applyFill="1" applyBorder="1" applyAlignment="1">
      <alignment horizontal="right" vertical="center" wrapText="1"/>
    </xf>
    <xf numFmtId="14" fontId="32" fillId="15" borderId="17" xfId="0" applyNumberFormat="1" applyFont="1" applyFill="1" applyBorder="1" applyAlignment="1">
      <alignment horizontal="right" vertical="center" wrapText="1"/>
    </xf>
    <xf numFmtId="1" fontId="32" fillId="15" borderId="17" xfId="0" applyNumberFormat="1" applyFont="1" applyFill="1" applyBorder="1" applyAlignment="1">
      <alignment horizontal="right" vertical="center" wrapText="1"/>
    </xf>
    <xf numFmtId="0" fontId="27" fillId="15" borderId="15" xfId="0" applyFont="1" applyFill="1" applyBorder="1" applyAlignment="1">
      <alignment vertical="center" wrapText="1"/>
    </xf>
    <xf numFmtId="0" fontId="63" fillId="15" borderId="15" xfId="0" applyFont="1" applyFill="1" applyBorder="1" applyAlignment="1">
      <alignment horizontal="right" vertical="top" wrapText="1"/>
    </xf>
    <xf numFmtId="0" fontId="23" fillId="15" borderId="15" xfId="0" applyFont="1" applyFill="1" applyBorder="1" applyAlignment="1">
      <alignment horizontal="right" vertical="center" wrapText="1"/>
    </xf>
    <xf numFmtId="49" fontId="52" fillId="15" borderId="3" xfId="0" applyNumberFormat="1" applyFont="1" applyFill="1" applyBorder="1" applyAlignment="1">
      <alignment horizontal="right" vertical="center" wrapText="1"/>
    </xf>
    <xf numFmtId="1" fontId="52" fillId="15" borderId="3" xfId="0" applyNumberFormat="1" applyFont="1" applyFill="1" applyBorder="1" applyAlignment="1">
      <alignment horizontal="right" vertical="center" wrapText="1"/>
    </xf>
    <xf numFmtId="1" fontId="52" fillId="15" borderId="36" xfId="0" applyNumberFormat="1" applyFont="1" applyFill="1" applyBorder="1" applyAlignment="1">
      <alignment horizontal="right" vertical="center" wrapText="1"/>
    </xf>
    <xf numFmtId="49" fontId="52" fillId="15" borderId="31" xfId="0" applyNumberFormat="1" applyFont="1" applyFill="1" applyBorder="1" applyAlignment="1">
      <alignment horizontal="left" vertical="center" wrapText="1"/>
    </xf>
    <xf numFmtId="0" fontId="52" fillId="15" borderId="31" xfId="0" applyFont="1" applyFill="1" applyBorder="1" applyAlignment="1">
      <alignment horizontal="left"/>
    </xf>
    <xf numFmtId="22" fontId="52" fillId="15" borderId="31" xfId="0" applyNumberFormat="1" applyFont="1" applyFill="1" applyBorder="1" applyAlignment="1">
      <alignment horizontal="right" wrapText="1"/>
    </xf>
    <xf numFmtId="164" fontId="32" fillId="15" borderId="31" xfId="1" applyNumberFormat="1" applyFont="1" applyFill="1" applyBorder="1" applyAlignment="1">
      <alignment horizontal="right" vertical="center" wrapText="1"/>
    </xf>
    <xf numFmtId="2" fontId="23" fillId="15" borderId="36" xfId="0" applyNumberFormat="1" applyFont="1" applyFill="1" applyBorder="1" applyAlignment="1">
      <alignment horizontal="right" vertical="center" wrapText="1"/>
    </xf>
    <xf numFmtId="2" fontId="23" fillId="15" borderId="31" xfId="0" applyNumberFormat="1" applyFont="1" applyFill="1" applyBorder="1" applyAlignment="1">
      <alignment horizontal="right" vertical="center" wrapText="1"/>
    </xf>
    <xf numFmtId="49" fontId="32" fillId="15" borderId="31" xfId="0" applyNumberFormat="1" applyFont="1" applyFill="1" applyBorder="1" applyAlignment="1">
      <alignment horizontal="left" vertical="center" wrapText="1"/>
    </xf>
    <xf numFmtId="164" fontId="23" fillId="15" borderId="31" xfId="1" applyNumberFormat="1" applyFont="1" applyFill="1" applyBorder="1" applyAlignment="1">
      <alignment horizontal="left" vertical="center" wrapText="1"/>
    </xf>
    <xf numFmtId="164" fontId="52" fillId="15" borderId="31" xfId="1" applyNumberFormat="1" applyFont="1" applyFill="1" applyBorder="1" applyAlignment="1">
      <alignment horizontal="right" vertical="center" wrapText="1"/>
    </xf>
    <xf numFmtId="2" fontId="23" fillId="15" borderId="19" xfId="0" applyNumberFormat="1" applyFont="1" applyFill="1" applyBorder="1" applyAlignment="1">
      <alignment horizontal="right" vertical="center" wrapText="1"/>
    </xf>
    <xf numFmtId="0" fontId="0" fillId="15" borderId="17" xfId="0" applyFill="1" applyBorder="1"/>
    <xf numFmtId="2" fontId="23" fillId="15" borderId="28" xfId="0" applyNumberFormat="1" applyFont="1" applyFill="1" applyBorder="1" applyAlignment="1">
      <alignment horizontal="right" vertical="center" wrapText="1"/>
    </xf>
    <xf numFmtId="164" fontId="32" fillId="15" borderId="89" xfId="0" applyNumberFormat="1" applyFont="1" applyFill="1" applyBorder="1" applyAlignment="1">
      <alignment horizontal="right" vertical="center"/>
    </xf>
    <xf numFmtId="0" fontId="20" fillId="15" borderId="89" xfId="0" applyFont="1" applyFill="1" applyBorder="1"/>
    <xf numFmtId="0" fontId="20" fillId="2" borderId="4" xfId="0" applyFont="1" applyFill="1" applyBorder="1" applyAlignment="1">
      <alignment horizontal="right" vertical="center" wrapText="1"/>
    </xf>
    <xf numFmtId="2" fontId="18" fillId="0" borderId="0" xfId="0" applyNumberFormat="1" applyFont="1" applyAlignment="1">
      <alignment horizontal="right"/>
    </xf>
    <xf numFmtId="2" fontId="17" fillId="0" borderId="0" xfId="0" applyNumberFormat="1" applyFont="1" applyAlignment="1">
      <alignment horizontal="right" vertical="center"/>
    </xf>
    <xf numFmtId="43" fontId="17" fillId="0" borderId="0" xfId="1" applyFont="1" applyAlignment="1">
      <alignment horizontal="right" vertical="center"/>
    </xf>
    <xf numFmtId="164" fontId="25" fillId="0" borderId="1" xfId="1" applyNumberFormat="1" applyFont="1" applyBorder="1" applyAlignment="1">
      <alignment horizontal="right"/>
    </xf>
    <xf numFmtId="0" fontId="18" fillId="3" borderId="0" xfId="0" applyFont="1" applyFill="1" applyAlignment="1">
      <alignment horizontal="right"/>
    </xf>
    <xf numFmtId="0" fontId="59" fillId="0" borderId="0" xfId="0" applyFont="1" applyAlignment="1">
      <alignment horizontal="right" vertical="center"/>
    </xf>
    <xf numFmtId="2" fontId="19" fillId="0" borderId="0" xfId="0" applyNumberFormat="1" applyFont="1" applyAlignment="1">
      <alignment horizontal="right" vertical="center"/>
    </xf>
    <xf numFmtId="43" fontId="19" fillId="0" borderId="0" xfId="1" applyFont="1" applyAlignment="1">
      <alignment horizontal="right" vertical="center"/>
    </xf>
    <xf numFmtId="164" fontId="19" fillId="0" borderId="0" xfId="1" applyNumberFormat="1" applyFont="1" applyAlignment="1">
      <alignment horizontal="right" vertical="center"/>
    </xf>
    <xf numFmtId="0" fontId="18" fillId="4" borderId="0" xfId="0" applyFont="1" applyFill="1" applyAlignment="1">
      <alignment horizontal="right"/>
    </xf>
    <xf numFmtId="0" fontId="18" fillId="5" borderId="0" xfId="0" applyFont="1" applyFill="1" applyAlignment="1">
      <alignment horizontal="right"/>
    </xf>
    <xf numFmtId="2" fontId="18" fillId="0" borderId="0" xfId="0" applyNumberFormat="1" applyFont="1" applyAlignment="1">
      <alignment horizontal="right" vertical="center"/>
    </xf>
    <xf numFmtId="43" fontId="18" fillId="0" borderId="0" xfId="1" applyFont="1" applyAlignment="1">
      <alignment horizontal="right" vertical="center"/>
    </xf>
    <xf numFmtId="164" fontId="18" fillId="0" borderId="0" xfId="1" applyNumberFormat="1" applyFont="1" applyAlignment="1">
      <alignment horizontal="right" vertical="center"/>
    </xf>
    <xf numFmtId="2" fontId="20" fillId="2" borderId="4" xfId="0" applyNumberFormat="1" applyFont="1" applyFill="1" applyBorder="1" applyAlignment="1">
      <alignment horizontal="right" vertical="center" wrapText="1"/>
    </xf>
    <xf numFmtId="164" fontId="20" fillId="2" borderId="4" xfId="1" applyNumberFormat="1" applyFont="1" applyFill="1" applyBorder="1" applyAlignment="1">
      <alignment horizontal="right" vertical="center" wrapText="1"/>
    </xf>
    <xf numFmtId="0" fontId="20" fillId="0" borderId="0" xfId="0" applyFont="1" applyAlignment="1">
      <alignment horizontal="right" vertical="center"/>
    </xf>
    <xf numFmtId="0" fontId="22" fillId="2" borderId="1" xfId="0" applyFont="1" applyFill="1" applyBorder="1" applyAlignment="1">
      <alignment horizontal="right" vertical="center"/>
    </xf>
    <xf numFmtId="0" fontId="20" fillId="2" borderId="1" xfId="0" applyFont="1" applyFill="1" applyBorder="1" applyAlignment="1">
      <alignment horizontal="right" vertical="center" wrapText="1"/>
    </xf>
    <xf numFmtId="0" fontId="58" fillId="0" borderId="0" xfId="0" applyFont="1" applyAlignment="1">
      <alignment horizontal="right" vertical="center"/>
    </xf>
    <xf numFmtId="0" fontId="27" fillId="15" borderId="1" xfId="0" applyFont="1" applyFill="1" applyBorder="1" applyAlignment="1">
      <alignment horizontal="right" vertical="center" wrapText="1"/>
    </xf>
    <xf numFmtId="0" fontId="27" fillId="15" borderId="15" xfId="0" applyFont="1" applyFill="1" applyBorder="1" applyAlignment="1">
      <alignment horizontal="right" vertical="center" wrapText="1"/>
    </xf>
    <xf numFmtId="0" fontId="52" fillId="15" borderId="17" xfId="0" applyFont="1" applyFill="1" applyBorder="1" applyAlignment="1">
      <alignment horizontal="right"/>
    </xf>
    <xf numFmtId="49" fontId="20" fillId="15" borderId="0" xfId="1" applyNumberFormat="1" applyFont="1" applyFill="1" applyAlignment="1">
      <alignment horizontal="right" vertical="center"/>
    </xf>
    <xf numFmtId="49" fontId="20" fillId="15" borderId="17" xfId="0" applyNumberFormat="1" applyFont="1" applyFill="1" applyBorder="1" applyAlignment="1">
      <alignment horizontal="right" vertical="center"/>
    </xf>
    <xf numFmtId="0" fontId="20" fillId="15" borderId="0" xfId="0" applyFont="1" applyFill="1" applyAlignment="1">
      <alignment horizontal="right"/>
    </xf>
    <xf numFmtId="0" fontId="58" fillId="15" borderId="0" xfId="0" applyFont="1" applyFill="1" applyAlignment="1">
      <alignment horizontal="right"/>
    </xf>
    <xf numFmtId="0" fontId="29" fillId="15" borderId="17" xfId="0" applyFont="1" applyFill="1" applyBorder="1" applyAlignment="1">
      <alignment horizontal="right" wrapText="1"/>
    </xf>
    <xf numFmtId="49" fontId="20" fillId="15" borderId="0" xfId="0" applyNumberFormat="1" applyFont="1" applyFill="1" applyAlignment="1">
      <alignment horizontal="right" vertical="center"/>
    </xf>
    <xf numFmtId="0" fontId="27" fillId="15" borderId="4" xfId="0" applyFont="1" applyFill="1" applyBorder="1" applyAlignment="1">
      <alignment horizontal="right" vertical="center" wrapText="1"/>
    </xf>
    <xf numFmtId="0" fontId="23" fillId="15" borderId="6" xfId="0" applyFont="1" applyFill="1" applyBorder="1" applyAlignment="1">
      <alignment horizontal="right" vertical="center" wrapText="1"/>
    </xf>
    <xf numFmtId="0" fontId="32" fillId="15" borderId="17" xfId="0" applyFont="1" applyFill="1" applyBorder="1" applyAlignment="1">
      <alignment horizontal="right"/>
    </xf>
    <xf numFmtId="0" fontId="28" fillId="15" borderId="17" xfId="0" applyFont="1" applyFill="1" applyBorder="1" applyAlignment="1">
      <alignment horizontal="right"/>
    </xf>
    <xf numFmtId="0" fontId="20" fillId="15" borderId="17" xfId="0" applyFont="1" applyFill="1" applyBorder="1" applyAlignment="1">
      <alignment horizontal="right" vertical="center"/>
    </xf>
    <xf numFmtId="0" fontId="20" fillId="15" borderId="0" xfId="0" applyFont="1" applyFill="1" applyAlignment="1">
      <alignment horizontal="right" vertical="center"/>
    </xf>
    <xf numFmtId="0" fontId="58" fillId="15" borderId="0" xfId="0" applyFont="1" applyFill="1" applyAlignment="1">
      <alignment horizontal="right" vertical="center"/>
    </xf>
    <xf numFmtId="49" fontId="32" fillId="15" borderId="17" xfId="0" applyNumberFormat="1" applyFont="1" applyFill="1" applyBorder="1" applyAlignment="1">
      <alignment horizontal="right" vertical="center"/>
    </xf>
    <xf numFmtId="0" fontId="20" fillId="15" borderId="29" xfId="0" applyFont="1" applyFill="1" applyBorder="1" applyAlignment="1">
      <alignment horizontal="right"/>
    </xf>
    <xf numFmtId="164" fontId="20" fillId="15" borderId="0" xfId="0" applyNumberFormat="1" applyFont="1" applyFill="1" applyAlignment="1">
      <alignment horizontal="right"/>
    </xf>
    <xf numFmtId="49" fontId="23" fillId="15" borderId="31" xfId="0" applyNumberFormat="1" applyFont="1" applyFill="1" applyBorder="1" applyAlignment="1">
      <alignment horizontal="right" vertical="center"/>
    </xf>
    <xf numFmtId="49" fontId="23" fillId="15" borderId="35" xfId="0" applyNumberFormat="1" applyFont="1" applyFill="1" applyBorder="1" applyAlignment="1">
      <alignment horizontal="right" vertical="center" wrapText="1"/>
    </xf>
    <xf numFmtId="49" fontId="63" fillId="15" borderId="32" xfId="0" applyNumberFormat="1" applyFont="1" applyFill="1" applyBorder="1" applyAlignment="1">
      <alignment horizontal="right" vertical="top" wrapText="1"/>
    </xf>
    <xf numFmtId="2" fontId="20" fillId="0" borderId="0" xfId="0" applyNumberFormat="1" applyFont="1" applyAlignment="1">
      <alignment horizontal="right"/>
    </xf>
    <xf numFmtId="0" fontId="58" fillId="0" borderId="0" xfId="0" applyFont="1" applyAlignment="1">
      <alignment horizontal="right"/>
    </xf>
    <xf numFmtId="164" fontId="18" fillId="0" borderId="0" xfId="0" applyNumberFormat="1" applyFont="1" applyAlignment="1">
      <alignment horizontal="right"/>
    </xf>
    <xf numFmtId="43" fontId="18" fillId="0" borderId="0" xfId="0" applyNumberFormat="1" applyFont="1" applyAlignment="1">
      <alignment horizontal="right"/>
    </xf>
    <xf numFmtId="2" fontId="59" fillId="0" borderId="0" xfId="0" applyNumberFormat="1" applyFont="1" applyAlignment="1">
      <alignment horizontal="right"/>
    </xf>
    <xf numFmtId="22" fontId="32" fillId="15" borderId="17" xfId="0" applyNumberFormat="1" applyFont="1" applyFill="1" applyBorder="1" applyAlignment="1">
      <alignment horizontal="right" wrapText="1"/>
    </xf>
    <xf numFmtId="0" fontId="23" fillId="15" borderId="17" xfId="0" applyFont="1" applyFill="1" applyBorder="1" applyAlignment="1">
      <alignment vertical="center" wrapText="1"/>
    </xf>
    <xf numFmtId="0" fontId="27" fillId="15" borderId="17" xfId="0" applyFont="1" applyFill="1" applyBorder="1" applyAlignment="1">
      <alignment vertical="center" wrapText="1"/>
    </xf>
    <xf numFmtId="0" fontId="20" fillId="15" borderId="17" xfId="0" applyFont="1" applyFill="1" applyBorder="1" applyAlignment="1">
      <alignment horizontal="right" vertical="center" wrapText="1"/>
    </xf>
    <xf numFmtId="0" fontId="65" fillId="15" borderId="17" xfId="0" applyFont="1" applyFill="1" applyBorder="1" applyAlignment="1">
      <alignment horizontal="right" vertical="top"/>
    </xf>
    <xf numFmtId="164" fontId="63" fillId="15" borderId="17" xfId="1" applyNumberFormat="1" applyFont="1" applyFill="1" applyBorder="1" applyAlignment="1">
      <alignment horizontal="right" vertical="top" wrapText="1"/>
    </xf>
    <xf numFmtId="0" fontId="27" fillId="15" borderId="25" xfId="0" applyFont="1" applyFill="1" applyBorder="1" applyAlignment="1">
      <alignment horizontal="right" vertical="center" wrapText="1"/>
    </xf>
    <xf numFmtId="0" fontId="33" fillId="15" borderId="17" xfId="0" applyFont="1" applyFill="1" applyBorder="1" applyAlignment="1">
      <alignment horizontal="right" wrapText="1"/>
    </xf>
    <xf numFmtId="49" fontId="27" fillId="15" borderId="17" xfId="0" applyNumberFormat="1" applyFont="1" applyFill="1" applyBorder="1" applyAlignment="1">
      <alignment vertical="center" wrapText="1"/>
    </xf>
    <xf numFmtId="49" fontId="52" fillId="15" borderId="31" xfId="0" applyNumberFormat="1" applyFont="1" applyFill="1" applyBorder="1" applyAlignment="1">
      <alignment horizontal="right" vertical="center" wrapText="1"/>
    </xf>
    <xf numFmtId="49" fontId="23" fillId="15" borderId="18" xfId="0" applyNumberFormat="1" applyFont="1" applyFill="1" applyBorder="1" applyAlignment="1">
      <alignment horizontal="right" vertical="center" wrapText="1"/>
    </xf>
    <xf numFmtId="49" fontId="63" fillId="15" borderId="36" xfId="0" applyNumberFormat="1" applyFont="1" applyFill="1" applyBorder="1" applyAlignment="1">
      <alignment horizontal="right" vertical="top" wrapText="1"/>
    </xf>
    <xf numFmtId="49" fontId="27" fillId="15" borderId="27" xfId="0" applyNumberFormat="1" applyFont="1" applyFill="1" applyBorder="1" applyAlignment="1">
      <alignment horizontal="right" vertical="center" wrapText="1"/>
    </xf>
    <xf numFmtId="49" fontId="63" fillId="15" borderId="27" xfId="0" applyNumberFormat="1" applyFont="1" applyFill="1" applyBorder="1" applyAlignment="1">
      <alignment horizontal="right" vertical="top" wrapText="1"/>
    </xf>
    <xf numFmtId="49" fontId="23" fillId="15" borderId="19" xfId="0" applyNumberFormat="1" applyFont="1" applyFill="1" applyBorder="1" applyAlignment="1">
      <alignment horizontal="right" vertical="center" wrapText="1"/>
    </xf>
    <xf numFmtId="49" fontId="23" fillId="15" borderId="27" xfId="0" applyNumberFormat="1" applyFont="1" applyFill="1" applyBorder="1" applyAlignment="1">
      <alignment horizontal="right" vertical="center" wrapText="1"/>
    </xf>
    <xf numFmtId="49" fontId="23" fillId="15" borderId="86" xfId="0" applyNumberFormat="1" applyFont="1" applyFill="1" applyBorder="1" applyAlignment="1">
      <alignment horizontal="right" vertical="center" wrapText="1"/>
    </xf>
    <xf numFmtId="49" fontId="23" fillId="15" borderId="88" xfId="0" applyNumberFormat="1" applyFont="1" applyFill="1" applyBorder="1" applyAlignment="1">
      <alignment horizontal="right" vertical="center" wrapText="1"/>
    </xf>
    <xf numFmtId="49" fontId="23" fillId="15" borderId="31" xfId="0" applyNumberFormat="1" applyFont="1" applyFill="1" applyBorder="1" applyAlignment="1">
      <alignment horizontal="right" vertical="center" wrapText="1"/>
    </xf>
    <xf numFmtId="49" fontId="23" fillId="15" borderId="28" xfId="0" applyNumberFormat="1" applyFont="1" applyFill="1" applyBorder="1" applyAlignment="1">
      <alignment horizontal="right" vertical="center" wrapText="1"/>
    </xf>
    <xf numFmtId="49" fontId="23" fillId="15" borderId="32" xfId="0" applyNumberFormat="1" applyFont="1" applyFill="1" applyBorder="1" applyAlignment="1">
      <alignment horizontal="right" vertical="center" wrapText="1"/>
    </xf>
    <xf numFmtId="49" fontId="23" fillId="15" borderId="32" xfId="0" applyNumberFormat="1" applyFont="1" applyFill="1" applyBorder="1" applyAlignment="1">
      <alignment horizontal="right" vertical="center"/>
    </xf>
    <xf numFmtId="0" fontId="27" fillId="15" borderId="3" xfId="0" applyFont="1" applyFill="1" applyBorder="1" applyAlignment="1">
      <alignment horizontal="right" vertical="center" wrapText="1"/>
    </xf>
    <xf numFmtId="1" fontId="23" fillId="15" borderId="1" xfId="0" applyNumberFormat="1" applyFont="1" applyFill="1" applyBorder="1" applyAlignment="1">
      <alignment horizontal="right" vertical="top" wrapText="1"/>
    </xf>
    <xf numFmtId="0" fontId="20" fillId="15" borderId="18" xfId="0" applyFont="1" applyFill="1" applyBorder="1" applyAlignment="1">
      <alignment horizontal="right"/>
    </xf>
    <xf numFmtId="0" fontId="52" fillId="15" borderId="31" xfId="0" applyFont="1" applyFill="1" applyBorder="1" applyAlignment="1">
      <alignment horizontal="right"/>
    </xf>
    <xf numFmtId="0" fontId="20" fillId="15" borderId="6" xfId="0" applyFont="1" applyFill="1" applyBorder="1" applyAlignment="1">
      <alignment horizontal="right"/>
    </xf>
    <xf numFmtId="0" fontId="28" fillId="15" borderId="31" xfId="0" applyFont="1" applyFill="1" applyBorder="1" applyAlignment="1">
      <alignment horizontal="right"/>
    </xf>
    <xf numFmtId="0" fontId="23" fillId="15" borderId="3" xfId="0" applyFont="1" applyFill="1" applyBorder="1" applyAlignment="1">
      <alignment horizontal="right" vertical="center" wrapText="1"/>
    </xf>
    <xf numFmtId="0" fontId="23" fillId="15" borderId="17" xfId="0" applyFont="1" applyFill="1" applyBorder="1" applyAlignment="1">
      <alignment horizontal="right" vertical="center" wrapText="1"/>
    </xf>
    <xf numFmtId="0" fontId="23" fillId="15" borderId="4" xfId="0" applyFont="1" applyFill="1" applyBorder="1" applyAlignment="1">
      <alignment horizontal="right" vertical="center" wrapText="1"/>
    </xf>
    <xf numFmtId="0" fontId="20" fillId="15" borderId="19" xfId="0" applyFont="1" applyFill="1" applyBorder="1" applyAlignment="1">
      <alignment horizontal="right"/>
    </xf>
    <xf numFmtId="0" fontId="28" fillId="15" borderId="3" xfId="0" applyFont="1" applyFill="1" applyBorder="1" applyAlignment="1">
      <alignment horizontal="right"/>
    </xf>
    <xf numFmtId="0" fontId="20" fillId="15" borderId="3" xfId="0" applyFont="1" applyFill="1" applyBorder="1" applyAlignment="1">
      <alignment horizontal="right"/>
    </xf>
    <xf numFmtId="0" fontId="20" fillId="15" borderId="24" xfId="0" applyFont="1" applyFill="1" applyBorder="1" applyAlignment="1">
      <alignment horizontal="right"/>
    </xf>
    <xf numFmtId="0" fontId="20" fillId="15" borderId="26" xfId="0" applyFont="1" applyFill="1" applyBorder="1" applyAlignment="1">
      <alignment horizontal="right"/>
    </xf>
    <xf numFmtId="0" fontId="20" fillId="15" borderId="31" xfId="0" applyFont="1" applyFill="1" applyBorder="1" applyAlignment="1">
      <alignment horizontal="right"/>
    </xf>
    <xf numFmtId="0" fontId="20" fillId="15" borderId="20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right" vertical="top"/>
    </xf>
    <xf numFmtId="0" fontId="20" fillId="0" borderId="0" xfId="0" applyFont="1" applyAlignment="1">
      <alignment horizontal="right" vertical="top"/>
    </xf>
    <xf numFmtId="0" fontId="22" fillId="2" borderId="1" xfId="0" applyFont="1" applyFill="1" applyBorder="1" applyAlignment="1">
      <alignment horizontal="right" vertical="top"/>
    </xf>
    <xf numFmtId="0" fontId="20" fillId="2" borderId="1" xfId="0" applyFont="1" applyFill="1" applyBorder="1" applyAlignment="1">
      <alignment horizontal="right" vertical="top" wrapText="1"/>
    </xf>
    <xf numFmtId="0" fontId="58" fillId="0" borderId="0" xfId="0" applyFont="1" applyAlignment="1">
      <alignment horizontal="right" vertical="top"/>
    </xf>
    <xf numFmtId="0" fontId="20" fillId="2" borderId="17" xfId="0" applyFont="1" applyFill="1" applyBorder="1" applyAlignment="1">
      <alignment horizontal="right" vertical="top"/>
    </xf>
    <xf numFmtId="0" fontId="20" fillId="2" borderId="17" xfId="0" applyFont="1" applyFill="1" applyBorder="1" applyAlignment="1">
      <alignment horizontal="right" vertical="top" wrapText="1"/>
    </xf>
    <xf numFmtId="0" fontId="20" fillId="2" borderId="17" xfId="0" applyFont="1" applyFill="1" applyBorder="1" applyAlignment="1">
      <alignment horizontal="left" vertical="top"/>
    </xf>
    <xf numFmtId="0" fontId="20" fillId="2" borderId="17" xfId="0" applyFont="1" applyFill="1" applyBorder="1" applyAlignment="1">
      <alignment horizontal="left" vertical="top" wrapText="1"/>
    </xf>
    <xf numFmtId="0" fontId="20" fillId="2" borderId="17" xfId="0" applyFont="1" applyFill="1" applyBorder="1" applyAlignment="1">
      <alignment horizontal="center" vertical="top" wrapText="1"/>
    </xf>
    <xf numFmtId="0" fontId="21" fillId="2" borderId="17" xfId="0" applyFont="1" applyFill="1" applyBorder="1" applyAlignment="1">
      <alignment horizontal="right" vertical="top" wrapText="1"/>
    </xf>
    <xf numFmtId="2" fontId="20" fillId="2" borderId="17" xfId="0" applyNumberFormat="1" applyFont="1" applyFill="1" applyBorder="1" applyAlignment="1">
      <alignment horizontal="right" vertical="top" wrapText="1"/>
    </xf>
    <xf numFmtId="164" fontId="20" fillId="2" borderId="17" xfId="1" applyNumberFormat="1" applyFont="1" applyFill="1" applyBorder="1" applyAlignment="1">
      <alignment horizontal="right" vertical="top" wrapText="1"/>
    </xf>
    <xf numFmtId="1" fontId="23" fillId="15" borderId="17" xfId="0" applyNumberFormat="1" applyFont="1" applyFill="1" applyBorder="1" applyAlignment="1">
      <alignment horizontal="right" vertical="center" wrapText="1"/>
    </xf>
    <xf numFmtId="22" fontId="23" fillId="15" borderId="17" xfId="0" applyNumberFormat="1" applyFont="1" applyFill="1" applyBorder="1" applyAlignment="1">
      <alignment horizontal="right" wrapText="1"/>
    </xf>
    <xf numFmtId="1" fontId="27" fillId="15" borderId="17" xfId="0" applyNumberFormat="1" applyFont="1" applyFill="1" applyBorder="1" applyAlignment="1">
      <alignment horizontal="right" vertical="center" wrapText="1"/>
    </xf>
    <xf numFmtId="0" fontId="28" fillId="0" borderId="17" xfId="0" applyFont="1" applyBorder="1" applyAlignment="1">
      <alignment horizontal="right"/>
    </xf>
    <xf numFmtId="0" fontId="68" fillId="15" borderId="17" xfId="0" applyFont="1" applyFill="1" applyBorder="1" applyAlignment="1">
      <alignment horizontal="right" vertical="top"/>
    </xf>
    <xf numFmtId="164" fontId="68" fillId="0" borderId="17" xfId="1" applyNumberFormat="1" applyFont="1" applyBorder="1" applyAlignment="1">
      <alignment horizontal="right" vertical="top"/>
    </xf>
    <xf numFmtId="164" fontId="68" fillId="6" borderId="17" xfId="1" applyNumberFormat="1" applyFont="1" applyFill="1" applyBorder="1" applyAlignment="1">
      <alignment horizontal="right" vertical="top"/>
    </xf>
    <xf numFmtId="0" fontId="23" fillId="15" borderId="18" xfId="0" applyFont="1" applyFill="1" applyBorder="1" applyAlignment="1">
      <alignment horizontal="left" vertical="center" wrapText="1"/>
    </xf>
    <xf numFmtId="49" fontId="27" fillId="15" borderId="18" xfId="0" applyNumberFormat="1" applyFont="1" applyFill="1" applyBorder="1" applyAlignment="1">
      <alignment horizontal="left" vertical="center" wrapText="1"/>
    </xf>
    <xf numFmtId="2" fontId="23" fillId="15" borderId="88" xfId="0" applyNumberFormat="1" applyFont="1" applyFill="1" applyBorder="1" applyAlignment="1">
      <alignment horizontal="right" vertical="center" wrapText="1"/>
    </xf>
    <xf numFmtId="2" fontId="23" fillId="15" borderId="18" xfId="0" applyNumberFormat="1" applyFont="1" applyFill="1" applyBorder="1" applyAlignment="1">
      <alignment horizontal="right" vertical="center" wrapText="1"/>
    </xf>
    <xf numFmtId="0" fontId="53" fillId="15" borderId="35" xfId="0" applyFont="1" applyFill="1" applyBorder="1"/>
    <xf numFmtId="2" fontId="23" fillId="15" borderId="34" xfId="0" applyNumberFormat="1" applyFont="1" applyFill="1" applyBorder="1" applyAlignment="1">
      <alignment horizontal="right" vertical="center" wrapText="1"/>
    </xf>
    <xf numFmtId="0" fontId="27" fillId="15" borderId="30" xfId="0" applyFont="1" applyFill="1" applyBorder="1" applyAlignment="1">
      <alignment horizontal="right" vertical="center" wrapText="1"/>
    </xf>
    <xf numFmtId="49" fontId="27" fillId="15" borderId="19" xfId="0" applyNumberFormat="1" applyFont="1" applyFill="1" applyBorder="1" applyAlignment="1">
      <alignment horizontal="right" vertical="center" wrapText="1"/>
    </xf>
    <xf numFmtId="49" fontId="52" fillId="15" borderId="19" xfId="0" applyNumberFormat="1" applyFont="1" applyFill="1" applyBorder="1" applyAlignment="1">
      <alignment horizontal="right" vertical="center" wrapText="1"/>
    </xf>
    <xf numFmtId="1" fontId="52" fillId="15" borderId="19" xfId="0" applyNumberFormat="1" applyFont="1" applyFill="1" applyBorder="1" applyAlignment="1">
      <alignment horizontal="right" vertical="center" wrapText="1"/>
    </xf>
    <xf numFmtId="0" fontId="32" fillId="15" borderId="26" xfId="0" applyFont="1" applyFill="1" applyBorder="1" applyAlignment="1">
      <alignment horizontal="left"/>
    </xf>
    <xf numFmtId="0" fontId="32" fillId="15" borderId="6" xfId="0" applyFont="1" applyFill="1" applyBorder="1" applyAlignment="1">
      <alignment horizontal="left"/>
    </xf>
    <xf numFmtId="49" fontId="52" fillId="15" borderId="30" xfId="0" applyNumberFormat="1" applyFont="1" applyFill="1" applyBorder="1" applyAlignment="1">
      <alignment horizontal="right" vertical="center" wrapText="1"/>
    </xf>
    <xf numFmtId="49" fontId="32" fillId="15" borderId="19" xfId="0" applyNumberFormat="1" applyFont="1" applyFill="1" applyBorder="1" applyAlignment="1">
      <alignment horizontal="right" vertical="center" wrapText="1"/>
    </xf>
    <xf numFmtId="0" fontId="52" fillId="15" borderId="19" xfId="0" applyFont="1" applyFill="1" applyBorder="1" applyAlignment="1">
      <alignment horizontal="right"/>
    </xf>
    <xf numFmtId="22" fontId="52" fillId="15" borderId="19" xfId="0" applyNumberFormat="1" applyFont="1" applyFill="1" applyBorder="1" applyAlignment="1">
      <alignment horizontal="right" wrapText="1"/>
    </xf>
    <xf numFmtId="0" fontId="20" fillId="15" borderId="19" xfId="0" applyFont="1" applyFill="1" applyBorder="1" applyAlignment="1">
      <alignment horizontal="right" vertical="center" wrapText="1"/>
    </xf>
    <xf numFmtId="2" fontId="23" fillId="15" borderId="86" xfId="0" applyNumberFormat="1" applyFont="1" applyFill="1" applyBorder="1" applyAlignment="1">
      <alignment horizontal="right" vertical="center" wrapText="1"/>
    </xf>
    <xf numFmtId="0" fontId="52" fillId="15" borderId="1" xfId="0" applyFont="1" applyFill="1" applyBorder="1" applyAlignment="1">
      <alignment wrapText="1"/>
    </xf>
    <xf numFmtId="0" fontId="20" fillId="2" borderId="20" xfId="0" applyFont="1" applyFill="1" applyBorder="1" applyAlignment="1">
      <alignment horizontal="right" vertical="top"/>
    </xf>
    <xf numFmtId="49" fontId="52" fillId="15" borderId="17" xfId="0" applyNumberFormat="1" applyFont="1" applyFill="1" applyBorder="1" applyAlignment="1">
      <alignment horizontal="center" vertical="center" wrapText="1"/>
    </xf>
    <xf numFmtId="49" fontId="27" fillId="15" borderId="1" xfId="0" applyNumberFormat="1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49" fontId="52" fillId="0" borderId="17" xfId="0" applyNumberFormat="1" applyFont="1" applyBorder="1" applyAlignment="1">
      <alignment horizontal="right" vertical="center" wrapText="1"/>
    </xf>
    <xf numFmtId="0" fontId="20" fillId="2" borderId="19" xfId="0" applyFont="1" applyFill="1" applyBorder="1" applyAlignment="1">
      <alignment horizontal="right" vertical="top"/>
    </xf>
    <xf numFmtId="0" fontId="20" fillId="2" borderId="19" xfId="0" applyFont="1" applyFill="1" applyBorder="1" applyAlignment="1">
      <alignment horizontal="right" vertical="top" wrapText="1"/>
    </xf>
    <xf numFmtId="0" fontId="21" fillId="2" borderId="19" xfId="0" applyFont="1" applyFill="1" applyBorder="1" applyAlignment="1">
      <alignment horizontal="right" vertical="top" wrapText="1"/>
    </xf>
    <xf numFmtId="2" fontId="20" fillId="2" borderId="19" xfId="0" applyNumberFormat="1" applyFont="1" applyFill="1" applyBorder="1" applyAlignment="1">
      <alignment horizontal="right" vertical="top" wrapText="1"/>
    </xf>
    <xf numFmtId="164" fontId="20" fillId="2" borderId="19" xfId="1" applyNumberFormat="1" applyFont="1" applyFill="1" applyBorder="1" applyAlignment="1">
      <alignment horizontal="right" vertical="top" wrapText="1"/>
    </xf>
    <xf numFmtId="0" fontId="20" fillId="2" borderId="86" xfId="0" applyFont="1" applyFill="1" applyBorder="1" applyAlignment="1">
      <alignment horizontal="right" vertical="top" wrapText="1"/>
    </xf>
    <xf numFmtId="0" fontId="27" fillId="0" borderId="17" xfId="0" applyFont="1" applyBorder="1" applyAlignment="1">
      <alignment horizontal="right" vertical="center" wrapText="1"/>
    </xf>
    <xf numFmtId="49" fontId="27" fillId="0" borderId="17" xfId="0" applyNumberFormat="1" applyFont="1" applyBorder="1" applyAlignment="1">
      <alignment horizontal="right" vertical="center" wrapText="1"/>
    </xf>
    <xf numFmtId="14" fontId="52" fillId="0" borderId="17" xfId="0" applyNumberFormat="1" applyFont="1" applyBorder="1" applyAlignment="1">
      <alignment horizontal="right" vertical="center" wrapText="1"/>
    </xf>
    <xf numFmtId="166" fontId="52" fillId="0" borderId="17" xfId="0" applyNumberFormat="1" applyFont="1" applyBorder="1" applyAlignment="1">
      <alignment horizontal="right" vertical="center" wrapText="1"/>
    </xf>
    <xf numFmtId="0" fontId="20" fillId="0" borderId="17" xfId="0" applyFont="1" applyBorder="1" applyAlignment="1">
      <alignment horizontal="right" vertical="center" wrapText="1"/>
    </xf>
    <xf numFmtId="164" fontId="35" fillId="0" borderId="28" xfId="0" applyNumberFormat="1" applyFont="1" applyBorder="1" applyAlignment="1">
      <alignment horizontal="right" vertical="center"/>
    </xf>
    <xf numFmtId="49" fontId="63" fillId="0" borderId="17" xfId="0" applyNumberFormat="1" applyFont="1" applyBorder="1" applyAlignment="1">
      <alignment horizontal="right" vertical="top" wrapText="1"/>
    </xf>
    <xf numFmtId="164" fontId="63" fillId="0" borderId="17" xfId="1" applyNumberFormat="1" applyFont="1" applyFill="1" applyBorder="1" applyAlignment="1">
      <alignment horizontal="right" vertical="top" wrapText="1"/>
    </xf>
    <xf numFmtId="0" fontId="33" fillId="0" borderId="17" xfId="0" applyFont="1" applyBorder="1" applyAlignment="1">
      <alignment horizontal="right" wrapText="1"/>
    </xf>
    <xf numFmtId="49" fontId="32" fillId="0" borderId="17" xfId="0" applyNumberFormat="1" applyFont="1" applyBorder="1" applyAlignment="1">
      <alignment horizontal="right" vertical="center" wrapText="1"/>
    </xf>
    <xf numFmtId="0" fontId="32" fillId="0" borderId="17" xfId="0" applyFont="1" applyBorder="1" applyAlignment="1">
      <alignment horizontal="right"/>
    </xf>
    <xf numFmtId="0" fontId="52" fillId="0" borderId="17" xfId="0" applyFont="1" applyBorder="1" applyAlignment="1">
      <alignment horizontal="right"/>
    </xf>
    <xf numFmtId="22" fontId="52" fillId="0" borderId="17" xfId="0" applyNumberFormat="1" applyFont="1" applyBorder="1" applyAlignment="1">
      <alignment horizontal="right" wrapText="1"/>
    </xf>
    <xf numFmtId="164" fontId="32" fillId="0" borderId="28" xfId="0" applyNumberFormat="1" applyFont="1" applyBorder="1" applyAlignment="1">
      <alignment horizontal="right" vertical="center"/>
    </xf>
    <xf numFmtId="0" fontId="32" fillId="0" borderId="17" xfId="0" applyFont="1" applyBorder="1" applyAlignment="1">
      <alignment horizontal="right" vertical="center"/>
    </xf>
    <xf numFmtId="0" fontId="52" fillId="0" borderId="17" xfId="0" applyFont="1" applyBorder="1" applyAlignment="1">
      <alignment horizontal="right" vertical="center"/>
    </xf>
    <xf numFmtId="167" fontId="52" fillId="0" borderId="17" xfId="0" applyNumberFormat="1" applyFont="1" applyBorder="1" applyAlignment="1">
      <alignment horizontal="right" wrapText="1"/>
    </xf>
    <xf numFmtId="1" fontId="52" fillId="0" borderId="17" xfId="0" applyNumberFormat="1" applyFont="1" applyBorder="1" applyAlignment="1">
      <alignment horizontal="right" vertical="center" wrapText="1"/>
    </xf>
    <xf numFmtId="14" fontId="64" fillId="0" borderId="17" xfId="0" applyNumberFormat="1" applyFont="1" applyBorder="1" applyAlignment="1">
      <alignment horizontal="right" vertical="top"/>
    </xf>
    <xf numFmtId="22" fontId="64" fillId="0" borderId="17" xfId="0" applyNumberFormat="1" applyFont="1" applyBorder="1" applyAlignment="1">
      <alignment horizontal="right" vertical="top"/>
    </xf>
    <xf numFmtId="0" fontId="18" fillId="0" borderId="17" xfId="0" applyFont="1" applyBorder="1" applyAlignment="1">
      <alignment horizontal="right"/>
    </xf>
    <xf numFmtId="22" fontId="18" fillId="0" borderId="17" xfId="0" applyNumberFormat="1" applyFont="1" applyBorder="1" applyAlignment="1">
      <alignment horizontal="right"/>
    </xf>
    <xf numFmtId="14" fontId="18" fillId="0" borderId="17" xfId="0" applyNumberFormat="1" applyFont="1" applyBorder="1" applyAlignment="1">
      <alignment horizontal="right"/>
    </xf>
    <xf numFmtId="0" fontId="20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 wrapText="1"/>
    </xf>
    <xf numFmtId="0" fontId="18" fillId="0" borderId="18" xfId="0" applyFont="1" applyBorder="1" applyAlignment="1">
      <alignment horizontal="right"/>
    </xf>
    <xf numFmtId="49" fontId="52" fillId="0" borderId="18" xfId="0" applyNumberFormat="1" applyFont="1" applyBorder="1" applyAlignment="1">
      <alignment horizontal="right" vertical="center" wrapText="1"/>
    </xf>
    <xf numFmtId="14" fontId="52" fillId="0" borderId="18" xfId="0" applyNumberFormat="1" applyFont="1" applyBorder="1" applyAlignment="1">
      <alignment horizontal="right" vertical="center" wrapText="1"/>
    </xf>
    <xf numFmtId="22" fontId="18" fillId="0" borderId="18" xfId="0" applyNumberFormat="1" applyFont="1" applyBorder="1" applyAlignment="1">
      <alignment horizontal="right"/>
    </xf>
    <xf numFmtId="2" fontId="23" fillId="0" borderId="18" xfId="0" applyNumberFormat="1" applyFont="1" applyBorder="1" applyAlignment="1">
      <alignment horizontal="right" vertical="center" wrapText="1"/>
    </xf>
    <xf numFmtId="164" fontId="35" fillId="0" borderId="88" xfId="0" applyNumberFormat="1" applyFont="1" applyBorder="1" applyAlignment="1">
      <alignment horizontal="right" vertical="center"/>
    </xf>
    <xf numFmtId="0" fontId="20" fillId="2" borderId="85" xfId="0" applyFont="1" applyFill="1" applyBorder="1" applyAlignment="1">
      <alignment horizontal="right" vertical="top"/>
    </xf>
    <xf numFmtId="0" fontId="23" fillId="0" borderId="29" xfId="0" applyFont="1" applyBorder="1" applyAlignment="1">
      <alignment horizontal="right" vertical="center" wrapText="1"/>
    </xf>
    <xf numFmtId="0" fontId="22" fillId="15" borderId="0" xfId="0" applyFont="1" applyFill="1" applyAlignment="1">
      <alignment horizontal="right" vertical="center"/>
    </xf>
    <xf numFmtId="0" fontId="20" fillId="15" borderId="0" xfId="0" applyFont="1" applyFill="1" applyAlignment="1">
      <alignment horizontal="right" vertical="center" wrapText="1"/>
    </xf>
    <xf numFmtId="0" fontId="0" fillId="0" borderId="17" xfId="0" applyBorder="1" applyAlignment="1">
      <alignment horizontal="right"/>
    </xf>
    <xf numFmtId="0" fontId="0" fillId="15" borderId="0" xfId="0" applyFill="1" applyAlignment="1">
      <alignment horizontal="right"/>
    </xf>
    <xf numFmtId="0" fontId="27" fillId="0" borderId="29" xfId="0" applyFont="1" applyBorder="1" applyAlignment="1">
      <alignment horizontal="right" vertical="center" wrapText="1"/>
    </xf>
    <xf numFmtId="0" fontId="18" fillId="0" borderId="29" xfId="0" applyFont="1" applyBorder="1" applyAlignment="1">
      <alignment horizontal="right"/>
    </xf>
    <xf numFmtId="0" fontId="18" fillId="0" borderId="33" xfId="0" applyFont="1" applyBorder="1" applyAlignment="1">
      <alignment horizontal="right"/>
    </xf>
    <xf numFmtId="49" fontId="23" fillId="0" borderId="18" xfId="0" applyNumberFormat="1" applyFont="1" applyBorder="1" applyAlignment="1">
      <alignment horizontal="right" vertical="center" wrapText="1"/>
    </xf>
    <xf numFmtId="0" fontId="20" fillId="0" borderId="18" xfId="0" applyFont="1" applyBorder="1" applyAlignment="1">
      <alignment horizontal="right"/>
    </xf>
    <xf numFmtId="0" fontId="27" fillId="0" borderId="0" xfId="0" applyFont="1" applyAlignment="1">
      <alignment horizontal="right" vertical="center" wrapText="1"/>
    </xf>
    <xf numFmtId="49" fontId="52" fillId="0" borderId="0" xfId="0" applyNumberFormat="1" applyFont="1" applyAlignment="1">
      <alignment horizontal="right" vertical="center" wrapText="1"/>
    </xf>
    <xf numFmtId="14" fontId="52" fillId="0" borderId="0" xfId="0" applyNumberFormat="1" applyFont="1" applyAlignment="1">
      <alignment horizontal="right" vertical="center" wrapText="1"/>
    </xf>
    <xf numFmtId="49" fontId="23" fillId="0" borderId="0" xfId="0" applyNumberFormat="1" applyFont="1" applyAlignment="1">
      <alignment horizontal="right" vertical="center" wrapText="1"/>
    </xf>
    <xf numFmtId="164" fontId="23" fillId="0" borderId="0" xfId="1" applyNumberFormat="1" applyFont="1" applyFill="1" applyBorder="1" applyAlignment="1">
      <alignment horizontal="right" vertical="center" wrapText="1"/>
    </xf>
    <xf numFmtId="2" fontId="23" fillId="0" borderId="0" xfId="0" applyNumberFormat="1" applyFont="1" applyAlignment="1">
      <alignment horizontal="right" vertical="center" wrapText="1"/>
    </xf>
    <xf numFmtId="164" fontId="35" fillId="0" borderId="0" xfId="0" applyNumberFormat="1" applyFont="1" applyAlignment="1">
      <alignment horizontal="right" vertical="center"/>
    </xf>
    <xf numFmtId="164" fontId="23" fillId="15" borderId="0" xfId="1" applyNumberFormat="1" applyFont="1" applyFill="1" applyBorder="1" applyAlignment="1">
      <alignment horizontal="right" vertical="center" wrapText="1"/>
    </xf>
    <xf numFmtId="0" fontId="23" fillId="0" borderId="0" xfId="0" applyFont="1" applyAlignment="1">
      <alignment horizontal="right" vertical="center" wrapText="1"/>
    </xf>
    <xf numFmtId="49" fontId="27" fillId="0" borderId="0" xfId="0" applyNumberFormat="1" applyFont="1" applyAlignment="1">
      <alignment horizontal="right" vertical="center" wrapText="1"/>
    </xf>
    <xf numFmtId="166" fontId="52" fillId="0" borderId="0" xfId="0" applyNumberFormat="1" applyFont="1" applyAlignment="1">
      <alignment horizontal="right" vertical="center" wrapText="1"/>
    </xf>
    <xf numFmtId="0" fontId="32" fillId="0" borderId="0" xfId="0" applyFont="1" applyAlignment="1">
      <alignment horizontal="right"/>
    </xf>
    <xf numFmtId="0" fontId="52" fillId="0" borderId="0" xfId="0" applyFont="1" applyAlignment="1">
      <alignment horizontal="right"/>
    </xf>
    <xf numFmtId="22" fontId="52" fillId="0" borderId="0" xfId="0" applyNumberFormat="1" applyFont="1" applyAlignment="1">
      <alignment horizontal="right" wrapText="1"/>
    </xf>
    <xf numFmtId="164" fontId="32" fillId="0" borderId="0" xfId="1" applyNumberFormat="1" applyFont="1" applyFill="1" applyBorder="1" applyAlignment="1">
      <alignment horizontal="right" vertical="center" wrapText="1"/>
    </xf>
    <xf numFmtId="22" fontId="18" fillId="0" borderId="0" xfId="0" applyNumberFormat="1" applyFont="1" applyAlignment="1">
      <alignment horizontal="right"/>
    </xf>
    <xf numFmtId="0" fontId="23" fillId="0" borderId="33" xfId="0" applyFont="1" applyBorder="1" applyAlignment="1">
      <alignment horizontal="right" vertical="center" wrapText="1"/>
    </xf>
    <xf numFmtId="0" fontId="52" fillId="0" borderId="18" xfId="0" applyFont="1" applyBorder="1" applyAlignment="1">
      <alignment horizontal="right" vertical="center" wrapText="1"/>
    </xf>
    <xf numFmtId="0" fontId="0" fillId="0" borderId="93" xfId="0" applyBorder="1" applyAlignment="1">
      <alignment horizontal="right"/>
    </xf>
    <xf numFmtId="0" fontId="23" fillId="0" borderId="18" xfId="0" applyFont="1" applyBorder="1" applyAlignment="1">
      <alignment horizontal="right" vertical="center" wrapText="1"/>
    </xf>
    <xf numFmtId="164" fontId="24" fillId="6" borderId="88" xfId="0" applyNumberFormat="1" applyFont="1" applyFill="1" applyBorder="1" applyAlignment="1">
      <alignment horizontal="right" vertical="center"/>
    </xf>
    <xf numFmtId="14" fontId="64" fillId="0" borderId="0" xfId="0" applyNumberFormat="1" applyFont="1" applyAlignment="1">
      <alignment horizontal="right" vertical="top"/>
    </xf>
    <xf numFmtId="0" fontId="28" fillId="0" borderId="0" xfId="0" applyFont="1" applyAlignment="1">
      <alignment horizontal="right"/>
    </xf>
    <xf numFmtId="49" fontId="63" fillId="0" borderId="0" xfId="0" applyNumberFormat="1" applyFont="1" applyAlignment="1">
      <alignment horizontal="right" vertical="top" wrapText="1"/>
    </xf>
    <xf numFmtId="164" fontId="63" fillId="0" borderId="0" xfId="1" applyNumberFormat="1" applyFont="1" applyFill="1" applyBorder="1" applyAlignment="1">
      <alignment horizontal="right" vertical="top" wrapText="1"/>
    </xf>
    <xf numFmtId="0" fontId="68" fillId="0" borderId="0" xfId="0" applyFont="1" applyAlignment="1">
      <alignment horizontal="right" vertical="top"/>
    </xf>
    <xf numFmtId="164" fontId="68" fillId="0" borderId="0" xfId="1" applyNumberFormat="1" applyFont="1" applyFill="1" applyBorder="1" applyAlignment="1">
      <alignment horizontal="right" vertical="top"/>
    </xf>
    <xf numFmtId="0" fontId="19" fillId="0" borderId="34" xfId="0" applyFont="1" applyBorder="1" applyAlignment="1">
      <alignment horizontal="right"/>
    </xf>
    <xf numFmtId="0" fontId="27" fillId="0" borderId="94" xfId="0" applyFont="1" applyBorder="1" applyAlignment="1">
      <alignment horizontal="right" vertical="center" wrapText="1"/>
    </xf>
    <xf numFmtId="0" fontId="18" fillId="0" borderId="94" xfId="0" applyFont="1" applyBorder="1" applyAlignment="1">
      <alignment horizontal="right"/>
    </xf>
    <xf numFmtId="49" fontId="52" fillId="0" borderId="94" xfId="0" applyNumberFormat="1" applyFont="1" applyBorder="1" applyAlignment="1">
      <alignment horizontal="right" vertical="center" wrapText="1"/>
    </xf>
    <xf numFmtId="14" fontId="52" fillId="0" borderId="94" xfId="0" applyNumberFormat="1" applyFont="1" applyBorder="1" applyAlignment="1">
      <alignment horizontal="right" vertical="center" wrapText="1"/>
    </xf>
    <xf numFmtId="22" fontId="18" fillId="0" borderId="94" xfId="0" applyNumberFormat="1" applyFont="1" applyBorder="1" applyAlignment="1">
      <alignment horizontal="right"/>
    </xf>
    <xf numFmtId="49" fontId="23" fillId="0" borderId="94" xfId="0" applyNumberFormat="1" applyFont="1" applyBorder="1" applyAlignment="1">
      <alignment horizontal="right" vertical="center" wrapText="1"/>
    </xf>
    <xf numFmtId="164" fontId="23" fillId="0" borderId="94" xfId="1" applyNumberFormat="1" applyFont="1" applyFill="1" applyBorder="1" applyAlignment="1">
      <alignment horizontal="right" vertical="center" wrapText="1"/>
    </xf>
    <xf numFmtId="2" fontId="23" fillId="0" borderId="94" xfId="0" applyNumberFormat="1" applyFont="1" applyBorder="1" applyAlignment="1">
      <alignment horizontal="right" vertical="center" wrapText="1"/>
    </xf>
    <xf numFmtId="0" fontId="20" fillId="0" borderId="94" xfId="0" applyFont="1" applyBorder="1" applyAlignment="1">
      <alignment horizontal="right"/>
    </xf>
    <xf numFmtId="0" fontId="19" fillId="0" borderId="36" xfId="0" applyFont="1" applyBorder="1" applyAlignment="1">
      <alignment horizontal="right"/>
    </xf>
    <xf numFmtId="0" fontId="19" fillId="0" borderId="30" xfId="0" applyFont="1" applyBorder="1" applyAlignment="1">
      <alignment horizontal="right"/>
    </xf>
    <xf numFmtId="0" fontId="27" fillId="0" borderId="92" xfId="0" applyFont="1" applyBorder="1" applyAlignment="1">
      <alignment horizontal="right" vertical="center" wrapText="1"/>
    </xf>
    <xf numFmtId="0" fontId="18" fillId="0" borderId="92" xfId="0" applyFont="1" applyBorder="1" applyAlignment="1">
      <alignment horizontal="right"/>
    </xf>
    <xf numFmtId="49" fontId="52" fillId="0" borderId="92" xfId="0" applyNumberFormat="1" applyFont="1" applyBorder="1" applyAlignment="1">
      <alignment horizontal="right" vertical="center" wrapText="1"/>
    </xf>
    <xf numFmtId="14" fontId="52" fillId="0" borderId="92" xfId="0" applyNumberFormat="1" applyFont="1" applyBorder="1" applyAlignment="1">
      <alignment horizontal="right" vertical="center" wrapText="1"/>
    </xf>
    <xf numFmtId="22" fontId="18" fillId="0" borderId="92" xfId="0" applyNumberFormat="1" applyFont="1" applyBorder="1" applyAlignment="1">
      <alignment horizontal="right"/>
    </xf>
    <xf numFmtId="49" fontId="23" fillId="0" borderId="92" xfId="0" applyNumberFormat="1" applyFont="1" applyBorder="1" applyAlignment="1">
      <alignment horizontal="right" vertical="center" wrapText="1"/>
    </xf>
    <xf numFmtId="164" fontId="23" fillId="0" borderId="92" xfId="1" applyNumberFormat="1" applyFont="1" applyFill="1" applyBorder="1" applyAlignment="1">
      <alignment horizontal="right" vertical="center" wrapText="1"/>
    </xf>
    <xf numFmtId="2" fontId="23" fillId="0" borderId="92" xfId="0" applyNumberFormat="1" applyFont="1" applyBorder="1" applyAlignment="1">
      <alignment horizontal="right" vertical="center" wrapText="1"/>
    </xf>
    <xf numFmtId="0" fontId="20" fillId="0" borderId="92" xfId="0" applyFont="1" applyBorder="1" applyAlignment="1">
      <alignment horizontal="right"/>
    </xf>
    <xf numFmtId="164" fontId="24" fillId="0" borderId="24" xfId="0" applyNumberFormat="1" applyFont="1" applyBorder="1" applyAlignment="1">
      <alignment horizontal="right" vertical="center"/>
    </xf>
    <xf numFmtId="164" fontId="24" fillId="0" borderId="35" xfId="0" applyNumberFormat="1" applyFont="1" applyBorder="1" applyAlignment="1">
      <alignment horizontal="right" vertical="center"/>
    </xf>
    <xf numFmtId="164" fontId="24" fillId="0" borderId="26" xfId="0" applyNumberFormat="1" applyFont="1" applyBorder="1" applyAlignment="1">
      <alignment horizontal="right" vertical="center"/>
    </xf>
    <xf numFmtId="15" fontId="19" fillId="0" borderId="0" xfId="0" applyNumberFormat="1" applyFont="1" applyAlignment="1">
      <alignment horizontal="right" vertical="center"/>
    </xf>
    <xf numFmtId="15" fontId="19" fillId="0" borderId="0" xfId="0" applyNumberFormat="1" applyFont="1" applyAlignment="1">
      <alignment horizontal="left" vertical="center"/>
    </xf>
    <xf numFmtId="15" fontId="18" fillId="0" borderId="0" xfId="0" applyNumberFormat="1" applyFont="1" applyAlignment="1">
      <alignment horizontal="left" vertical="center"/>
    </xf>
    <xf numFmtId="14" fontId="18" fillId="0" borderId="0" xfId="0" applyNumberFormat="1" applyFont="1" applyAlignment="1">
      <alignment horizontal="right"/>
    </xf>
    <xf numFmtId="14" fontId="17" fillId="0" borderId="0" xfId="0" applyNumberFormat="1" applyFont="1" applyAlignment="1">
      <alignment horizontal="right" vertical="center"/>
    </xf>
    <xf numFmtId="14" fontId="19" fillId="0" borderId="0" xfId="0" applyNumberFormat="1" applyFont="1" applyAlignment="1">
      <alignment horizontal="right" vertical="center"/>
    </xf>
    <xf numFmtId="14" fontId="18" fillId="0" borderId="0" xfId="0" applyNumberFormat="1" applyFont="1" applyAlignment="1">
      <alignment horizontal="right" vertical="center"/>
    </xf>
    <xf numFmtId="14" fontId="59" fillId="0" borderId="0" xfId="0" applyNumberFormat="1" applyFont="1" applyAlignment="1">
      <alignment horizontal="right"/>
    </xf>
    <xf numFmtId="18" fontId="19" fillId="0" borderId="0" xfId="0" applyNumberFormat="1" applyFont="1" applyAlignment="1">
      <alignment horizontal="right" vertical="center"/>
    </xf>
    <xf numFmtId="0" fontId="71" fillId="2" borderId="1" xfId="0" applyFont="1" applyFill="1" applyBorder="1" applyAlignment="1">
      <alignment horizontal="right" vertical="center"/>
    </xf>
    <xf numFmtId="14" fontId="71" fillId="2" borderId="1" xfId="0" applyNumberFormat="1" applyFont="1" applyFill="1" applyBorder="1" applyAlignment="1">
      <alignment horizontal="right" vertical="center"/>
    </xf>
    <xf numFmtId="0" fontId="71" fillId="2" borderId="1" xfId="0" applyFont="1" applyFill="1" applyBorder="1" applyAlignment="1">
      <alignment horizontal="left" vertical="center"/>
    </xf>
    <xf numFmtId="0" fontId="71" fillId="2" borderId="1" xfId="0" applyFont="1" applyFill="1" applyBorder="1" applyAlignment="1">
      <alignment horizontal="center" vertical="center"/>
    </xf>
    <xf numFmtId="0" fontId="71" fillId="2" borderId="1" xfId="0" applyFont="1" applyFill="1" applyBorder="1" applyAlignment="1">
      <alignment horizontal="right" vertical="center" wrapText="1"/>
    </xf>
    <xf numFmtId="0" fontId="71" fillId="2" borderId="1" xfId="0" applyFont="1" applyFill="1" applyBorder="1" applyAlignment="1">
      <alignment horizontal="left" vertical="center" wrapText="1"/>
    </xf>
    <xf numFmtId="0" fontId="71" fillId="2" borderId="1" xfId="0" applyFont="1" applyFill="1" applyBorder="1" applyAlignment="1">
      <alignment horizontal="center" vertical="center" wrapText="1"/>
    </xf>
    <xf numFmtId="0" fontId="72" fillId="2" borderId="1" xfId="0" applyFont="1" applyFill="1" applyBorder="1" applyAlignment="1">
      <alignment horizontal="right" vertical="center" wrapText="1"/>
    </xf>
    <xf numFmtId="2" fontId="71" fillId="2" borderId="1" xfId="0" applyNumberFormat="1" applyFont="1" applyFill="1" applyBorder="1" applyAlignment="1">
      <alignment horizontal="right" vertical="center" wrapText="1"/>
    </xf>
    <xf numFmtId="164" fontId="71" fillId="2" borderId="1" xfId="1" applyNumberFormat="1" applyFont="1" applyFill="1" applyBorder="1" applyAlignment="1">
      <alignment horizontal="right" vertical="center" wrapText="1"/>
    </xf>
    <xf numFmtId="0" fontId="73" fillId="15" borderId="1" xfId="0" applyFont="1" applyFill="1" applyBorder="1" applyAlignment="1">
      <alignment vertical="center" wrapText="1"/>
    </xf>
    <xf numFmtId="14" fontId="73" fillId="15" borderId="1" xfId="0" applyNumberFormat="1" applyFont="1" applyFill="1" applyBorder="1" applyAlignment="1">
      <alignment horizontal="right" vertical="center" wrapText="1"/>
    </xf>
    <xf numFmtId="49" fontId="73" fillId="15" borderId="1" xfId="0" applyNumberFormat="1" applyFont="1" applyFill="1" applyBorder="1" applyAlignment="1">
      <alignment horizontal="left" vertical="center" wrapText="1"/>
    </xf>
    <xf numFmtId="49" fontId="73" fillId="0" borderId="1" xfId="0" applyNumberFormat="1" applyFont="1" applyBorder="1" applyAlignment="1">
      <alignment horizontal="center" vertical="center" wrapText="1"/>
    </xf>
    <xf numFmtId="49" fontId="74" fillId="15" borderId="1" xfId="0" applyNumberFormat="1" applyFont="1" applyFill="1" applyBorder="1" applyAlignment="1">
      <alignment horizontal="right" vertical="center" wrapText="1"/>
    </xf>
    <xf numFmtId="166" fontId="74" fillId="15" borderId="1" xfId="0" applyNumberFormat="1" applyFont="1" applyFill="1" applyBorder="1" applyAlignment="1">
      <alignment horizontal="right" vertical="center" wrapText="1"/>
    </xf>
    <xf numFmtId="0" fontId="71" fillId="15" borderId="1" xfId="0" applyFont="1" applyFill="1" applyBorder="1" applyAlignment="1">
      <alignment horizontal="right" vertical="center" wrapText="1"/>
    </xf>
    <xf numFmtId="164" fontId="73" fillId="15" borderId="1" xfId="1" applyNumberFormat="1" applyFont="1" applyFill="1" applyBorder="1" applyAlignment="1">
      <alignment horizontal="right" vertical="center" wrapText="1"/>
    </xf>
    <xf numFmtId="2" fontId="73" fillId="0" borderId="1" xfId="0" applyNumberFormat="1" applyFont="1" applyBorder="1" applyAlignment="1">
      <alignment horizontal="right" vertical="center" wrapText="1"/>
    </xf>
    <xf numFmtId="2" fontId="73" fillId="15" borderId="1" xfId="0" applyNumberFormat="1" applyFont="1" applyFill="1" applyBorder="1" applyAlignment="1">
      <alignment horizontal="right" vertical="center" wrapText="1"/>
    </xf>
    <xf numFmtId="164" fontId="75" fillId="15" borderId="1" xfId="0" applyNumberFormat="1" applyFont="1" applyFill="1" applyBorder="1" applyAlignment="1">
      <alignment horizontal="right" vertical="center"/>
    </xf>
    <xf numFmtId="14" fontId="73" fillId="15" borderId="1" xfId="0" applyNumberFormat="1" applyFont="1" applyFill="1" applyBorder="1" applyAlignment="1">
      <alignment vertical="center" wrapText="1"/>
    </xf>
    <xf numFmtId="0" fontId="73" fillId="15" borderId="1" xfId="0" applyFont="1" applyFill="1" applyBorder="1" applyAlignment="1">
      <alignment horizontal="left" vertical="center" wrapText="1"/>
    </xf>
    <xf numFmtId="49" fontId="73" fillId="15" borderId="1" xfId="0" applyNumberFormat="1" applyFont="1" applyFill="1" applyBorder="1" applyAlignment="1">
      <alignment horizontal="center" vertical="center" wrapText="1"/>
    </xf>
    <xf numFmtId="49" fontId="73" fillId="15" borderId="1" xfId="0" applyNumberFormat="1" applyFont="1" applyFill="1" applyBorder="1" applyAlignment="1">
      <alignment horizontal="right" vertical="center" wrapText="1"/>
    </xf>
    <xf numFmtId="0" fontId="71" fillId="15" borderId="1" xfId="0" applyFont="1" applyFill="1" applyBorder="1" applyAlignment="1">
      <alignment horizontal="right"/>
    </xf>
    <xf numFmtId="0" fontId="74" fillId="15" borderId="1" xfId="0" applyFont="1" applyFill="1" applyBorder="1" applyAlignment="1">
      <alignment horizontal="right" wrapText="1"/>
    </xf>
    <xf numFmtId="164" fontId="74" fillId="15" borderId="1" xfId="0" applyNumberFormat="1" applyFont="1" applyFill="1" applyBorder="1" applyAlignment="1">
      <alignment horizontal="right" vertical="center"/>
    </xf>
    <xf numFmtId="164" fontId="74" fillId="15" borderId="1" xfId="1" applyNumberFormat="1" applyFont="1" applyFill="1" applyBorder="1" applyAlignment="1">
      <alignment horizontal="right" vertical="center" wrapText="1"/>
    </xf>
    <xf numFmtId="49" fontId="74" fillId="15" borderId="1" xfId="0" applyNumberFormat="1" applyFont="1" applyFill="1" applyBorder="1" applyAlignment="1">
      <alignment horizontal="center" vertical="center" wrapText="1"/>
    </xf>
    <xf numFmtId="0" fontId="74" fillId="15" borderId="1" xfId="0" applyFont="1" applyFill="1" applyBorder="1" applyAlignment="1">
      <alignment horizontal="left"/>
    </xf>
    <xf numFmtId="0" fontId="74" fillId="15" borderId="1" xfId="0" applyFont="1" applyFill="1" applyBorder="1" applyAlignment="1">
      <alignment horizontal="right"/>
    </xf>
    <xf numFmtId="22" fontId="74" fillId="15" borderId="1" xfId="0" applyNumberFormat="1" applyFont="1" applyFill="1" applyBorder="1" applyAlignment="1">
      <alignment horizontal="right" wrapText="1"/>
    </xf>
    <xf numFmtId="0" fontId="74" fillId="15" borderId="1" xfId="0" applyFont="1" applyFill="1" applyBorder="1" applyAlignment="1">
      <alignment horizontal="right" vertical="center"/>
    </xf>
    <xf numFmtId="22" fontId="74" fillId="15" borderId="1" xfId="0" applyNumberFormat="1" applyFont="1" applyFill="1" applyBorder="1" applyAlignment="1">
      <alignment horizontal="right" vertical="center" wrapText="1"/>
    </xf>
    <xf numFmtId="0" fontId="73" fillId="15" borderId="1" xfId="0" applyFont="1" applyFill="1" applyBorder="1" applyAlignment="1">
      <alignment horizontal="right" wrapText="1"/>
    </xf>
    <xf numFmtId="0" fontId="71" fillId="15" borderId="1" xfId="0" applyFont="1" applyFill="1" applyBorder="1"/>
    <xf numFmtId="0" fontId="71" fillId="15" borderId="1" xfId="0" applyFont="1" applyFill="1" applyBorder="1" applyAlignment="1">
      <alignment horizontal="right" vertical="center"/>
    </xf>
    <xf numFmtId="164" fontId="73" fillId="15" borderId="1" xfId="1" applyNumberFormat="1" applyFont="1" applyFill="1" applyBorder="1" applyAlignment="1">
      <alignment horizontal="left" vertical="center" wrapText="1"/>
    </xf>
    <xf numFmtId="49" fontId="73" fillId="15" borderId="1" xfId="0" applyNumberFormat="1" applyFont="1" applyFill="1" applyBorder="1" applyAlignment="1">
      <alignment vertical="center" wrapText="1"/>
    </xf>
    <xf numFmtId="0" fontId="71" fillId="15" borderId="1" xfId="0" applyFont="1" applyFill="1" applyBorder="1" applyAlignment="1">
      <alignment horizontal="left"/>
    </xf>
    <xf numFmtId="22" fontId="73" fillId="15" borderId="1" xfId="0" applyNumberFormat="1" applyFont="1" applyFill="1" applyBorder="1" applyAlignment="1">
      <alignment horizontal="right" wrapText="1"/>
    </xf>
    <xf numFmtId="0" fontId="71" fillId="15" borderId="1" xfId="0" applyFont="1" applyFill="1" applyBorder="1" applyAlignment="1">
      <alignment vertical="center"/>
    </xf>
    <xf numFmtId="14" fontId="73" fillId="15" borderId="1" xfId="0" applyNumberFormat="1" applyFont="1" applyFill="1" applyBorder="1" applyAlignment="1">
      <alignment horizontal="right" vertical="top" wrapText="1"/>
    </xf>
    <xf numFmtId="49" fontId="73" fillId="15" borderId="1" xfId="0" applyNumberFormat="1" applyFont="1" applyFill="1" applyBorder="1" applyAlignment="1">
      <alignment horizontal="right" vertical="top" wrapText="1"/>
    </xf>
    <xf numFmtId="0" fontId="71" fillId="15" borderId="1" xfId="0" applyFont="1" applyFill="1" applyBorder="1" applyAlignment="1">
      <alignment horizontal="right" vertical="top"/>
    </xf>
    <xf numFmtId="22" fontId="73" fillId="15" borderId="1" xfId="0" applyNumberFormat="1" applyFont="1" applyFill="1" applyBorder="1" applyAlignment="1">
      <alignment horizontal="right" vertical="top" wrapText="1"/>
    </xf>
    <xf numFmtId="49" fontId="73" fillId="15" borderId="1" xfId="0" applyNumberFormat="1" applyFont="1" applyFill="1" applyBorder="1" applyAlignment="1">
      <alignment horizontal="left" vertical="top" wrapText="1"/>
    </xf>
    <xf numFmtId="164" fontId="74" fillId="15" borderId="1" xfId="1" applyNumberFormat="1" applyFont="1" applyFill="1" applyBorder="1" applyAlignment="1">
      <alignment horizontal="right" vertical="top" wrapText="1"/>
    </xf>
    <xf numFmtId="164" fontId="73" fillId="15" borderId="1" xfId="1" applyNumberFormat="1" applyFont="1" applyFill="1" applyBorder="1" applyAlignment="1">
      <alignment horizontal="right" vertical="top" wrapText="1"/>
    </xf>
    <xf numFmtId="164" fontId="76" fillId="15" borderId="1" xfId="0" applyNumberFormat="1" applyFont="1" applyFill="1" applyBorder="1" applyAlignment="1">
      <alignment horizontal="right" vertical="top"/>
    </xf>
    <xf numFmtId="0" fontId="76" fillId="15" borderId="1" xfId="0" applyFont="1" applyFill="1" applyBorder="1"/>
    <xf numFmtId="3" fontId="73" fillId="15" borderId="1" xfId="0" applyNumberFormat="1" applyFont="1" applyFill="1" applyBorder="1" applyAlignment="1">
      <alignment vertical="center" wrapText="1"/>
    </xf>
    <xf numFmtId="2" fontId="76" fillId="15" borderId="1" xfId="0" applyNumberFormat="1" applyFont="1" applyFill="1" applyBorder="1" applyAlignment="1">
      <alignment horizontal="left" vertical="center" wrapText="1"/>
    </xf>
    <xf numFmtId="0" fontId="77" fillId="15" borderId="1" xfId="0" applyFont="1" applyFill="1" applyBorder="1"/>
    <xf numFmtId="49" fontId="77" fillId="15" borderId="1" xfId="0" applyNumberFormat="1" applyFont="1" applyFill="1" applyBorder="1" applyAlignment="1">
      <alignment horizontal="left" vertical="center" wrapText="1"/>
    </xf>
    <xf numFmtId="0" fontId="73" fillId="15" borderId="1" xfId="0" applyFont="1" applyFill="1" applyBorder="1" applyAlignment="1">
      <alignment horizontal="left" wrapText="1"/>
    </xf>
    <xf numFmtId="164" fontId="73" fillId="15" borderId="1" xfId="1" applyNumberFormat="1" applyFont="1" applyFill="1" applyBorder="1" applyAlignment="1">
      <alignment vertical="center" wrapText="1"/>
    </xf>
    <xf numFmtId="22" fontId="73" fillId="15" borderId="1" xfId="0" applyNumberFormat="1" applyFont="1" applyFill="1" applyBorder="1" applyAlignment="1">
      <alignment horizontal="right" vertical="center" wrapText="1"/>
    </xf>
    <xf numFmtId="49" fontId="73" fillId="15" borderId="1" xfId="0" applyNumberFormat="1" applyFont="1" applyFill="1" applyBorder="1" applyAlignment="1">
      <alignment horizontal="left" vertical="center"/>
    </xf>
    <xf numFmtId="49" fontId="73" fillId="15" borderId="1" xfId="0" applyNumberFormat="1" applyFont="1" applyFill="1" applyBorder="1" applyAlignment="1">
      <alignment vertical="center"/>
    </xf>
    <xf numFmtId="164" fontId="73" fillId="15" borderId="1" xfId="1" applyNumberFormat="1" applyFont="1" applyFill="1" applyBorder="1" applyAlignment="1">
      <alignment horizontal="right" vertical="center"/>
    </xf>
    <xf numFmtId="22" fontId="71" fillId="15" borderId="1" xfId="0" applyNumberFormat="1" applyFont="1" applyFill="1" applyBorder="1" applyAlignment="1">
      <alignment horizontal="right"/>
    </xf>
    <xf numFmtId="2" fontId="73" fillId="15" borderId="1" xfId="0" applyNumberFormat="1" applyFont="1" applyFill="1" applyBorder="1" applyAlignment="1">
      <alignment horizontal="left" vertical="center" wrapText="1"/>
    </xf>
    <xf numFmtId="49" fontId="73" fillId="15" borderId="1" xfId="0" applyNumberFormat="1" applyFont="1" applyFill="1" applyBorder="1" applyAlignment="1">
      <alignment horizontal="right" vertical="top"/>
    </xf>
    <xf numFmtId="0" fontId="73" fillId="15" borderId="1" xfId="0" applyFont="1" applyFill="1" applyBorder="1" applyAlignment="1">
      <alignment horizontal="right" vertical="top"/>
    </xf>
    <xf numFmtId="49" fontId="73" fillId="15" borderId="1" xfId="0" applyNumberFormat="1" applyFont="1" applyFill="1" applyBorder="1" applyAlignment="1">
      <alignment horizontal="right" vertical="center"/>
    </xf>
    <xf numFmtId="0" fontId="71" fillId="15" borderId="1" xfId="0" applyFont="1" applyFill="1" applyBorder="1" applyAlignment="1">
      <alignment horizontal="center" vertical="center"/>
    </xf>
    <xf numFmtId="14" fontId="71" fillId="15" borderId="1" xfId="0" applyNumberFormat="1" applyFont="1" applyFill="1" applyBorder="1" applyAlignment="1">
      <alignment horizontal="right" vertical="top"/>
    </xf>
    <xf numFmtId="0" fontId="71" fillId="0" borderId="1" xfId="0" applyFont="1" applyBorder="1" applyAlignment="1">
      <alignment horizontal="right"/>
    </xf>
    <xf numFmtId="164" fontId="78" fillId="0" borderId="1" xfId="1" applyNumberFormat="1" applyFont="1" applyBorder="1" applyAlignment="1">
      <alignment horizontal="right" vertical="top"/>
    </xf>
    <xf numFmtId="164" fontId="78" fillId="6" borderId="1" xfId="1" applyNumberFormat="1" applyFont="1" applyFill="1" applyBorder="1" applyAlignment="1">
      <alignment horizontal="right" vertical="top"/>
    </xf>
    <xf numFmtId="14" fontId="71" fillId="0" borderId="1" xfId="0" applyNumberFormat="1" applyFont="1" applyBorder="1" applyAlignment="1">
      <alignment horizontal="right"/>
    </xf>
    <xf numFmtId="0" fontId="71" fillId="0" borderId="1" xfId="0" applyFont="1" applyBorder="1" applyAlignment="1">
      <alignment horizontal="center" vertical="center"/>
    </xf>
    <xf numFmtId="2" fontId="71" fillId="0" borderId="1" xfId="0" applyNumberFormat="1" applyFont="1" applyBorder="1" applyAlignment="1">
      <alignment horizontal="right"/>
    </xf>
    <xf numFmtId="164" fontId="71" fillId="0" borderId="1" xfId="0" applyNumberFormat="1" applyFont="1" applyBorder="1" applyAlignment="1">
      <alignment horizontal="right"/>
    </xf>
    <xf numFmtId="164" fontId="78" fillId="0" borderId="1" xfId="0" applyNumberFormat="1" applyFont="1" applyBorder="1" applyAlignment="1">
      <alignment horizontal="right"/>
    </xf>
    <xf numFmtId="0" fontId="22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 wrapText="1"/>
    </xf>
    <xf numFmtId="0" fontId="2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49" fontId="20" fillId="0" borderId="0" xfId="1" applyNumberFormat="1" applyFont="1" applyFill="1" applyBorder="1" applyAlignment="1">
      <alignment horizontal="center" vertical="center"/>
    </xf>
    <xf numFmtId="49" fontId="20" fillId="0" borderId="0" xfId="1" applyNumberFormat="1" applyFont="1" applyFill="1" applyBorder="1" applyAlignment="1">
      <alignment horizontal="right" vertical="center"/>
    </xf>
    <xf numFmtId="49" fontId="20" fillId="0" borderId="0" xfId="0" applyNumberFormat="1" applyFont="1" applyAlignment="1">
      <alignment horizontal="right" vertical="center"/>
    </xf>
    <xf numFmtId="164" fontId="20" fillId="0" borderId="0" xfId="0" applyNumberFormat="1" applyFont="1" applyAlignment="1">
      <alignment horizontal="right"/>
    </xf>
    <xf numFmtId="49" fontId="64" fillId="0" borderId="0" xfId="1" applyNumberFormat="1" applyFont="1" applyFill="1" applyBorder="1" applyAlignment="1">
      <alignment horizontal="right" vertical="top"/>
    </xf>
    <xf numFmtId="164" fontId="27" fillId="0" borderId="0" xfId="1" applyNumberFormat="1" applyFont="1" applyFill="1" applyBorder="1" applyAlignment="1">
      <alignment horizontal="right" vertical="center" wrapText="1"/>
    </xf>
    <xf numFmtId="49" fontId="28" fillId="0" borderId="0" xfId="1" applyNumberFormat="1" applyFont="1" applyFill="1" applyBorder="1" applyAlignment="1">
      <alignment horizontal="center" vertical="center"/>
    </xf>
    <xf numFmtId="49" fontId="20" fillId="0" borderId="0" xfId="1" applyNumberFormat="1" applyFont="1" applyFill="1" applyBorder="1" applyAlignment="1">
      <alignment horizontal="left" vertical="center"/>
    </xf>
    <xf numFmtId="0" fontId="73" fillId="15" borderId="1" xfId="0" applyFont="1" applyFill="1" applyBorder="1" applyAlignment="1">
      <alignment horizontal="right" vertical="center" wrapText="1"/>
    </xf>
    <xf numFmtId="14" fontId="32" fillId="0" borderId="17" xfId="0" applyNumberFormat="1" applyFont="1" applyBorder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39" fillId="0" borderId="5" xfId="0" applyFont="1" applyBorder="1" applyAlignment="1">
      <alignment vertical="center" wrapText="1"/>
    </xf>
    <xf numFmtId="0" fontId="39" fillId="0" borderId="40" xfId="0" applyFont="1" applyBorder="1" applyAlignment="1">
      <alignment vertical="center" wrapText="1"/>
    </xf>
    <xf numFmtId="0" fontId="39" fillId="0" borderId="65" xfId="0" applyFont="1" applyBorder="1" applyAlignment="1">
      <alignment wrapText="1"/>
    </xf>
    <xf numFmtId="0" fontId="39" fillId="0" borderId="66" xfId="0" applyFont="1" applyBorder="1" applyAlignment="1">
      <alignment wrapText="1"/>
    </xf>
    <xf numFmtId="0" fontId="39" fillId="0" borderId="67" xfId="0" applyFont="1" applyBorder="1" applyAlignment="1">
      <alignment wrapText="1"/>
    </xf>
    <xf numFmtId="0" fontId="43" fillId="0" borderId="68" xfId="0" applyFont="1" applyBorder="1" applyAlignment="1">
      <alignment wrapText="1"/>
    </xf>
    <xf numFmtId="0" fontId="43" fillId="0" borderId="62" xfId="0" applyFont="1" applyBorder="1" applyAlignment="1">
      <alignment wrapText="1"/>
    </xf>
    <xf numFmtId="0" fontId="43" fillId="0" borderId="63" xfId="0" applyFont="1" applyBorder="1" applyAlignment="1">
      <alignment wrapText="1"/>
    </xf>
    <xf numFmtId="0" fontId="43" fillId="0" borderId="64" xfId="0" applyFont="1" applyBorder="1" applyAlignment="1">
      <alignment wrapText="1"/>
    </xf>
    <xf numFmtId="0" fontId="39" fillId="0" borderId="49" xfId="0" applyFont="1" applyBorder="1"/>
    <xf numFmtId="0" fontId="39" fillId="0" borderId="50" xfId="0" applyFont="1" applyBorder="1"/>
    <xf numFmtId="0" fontId="39" fillId="0" borderId="38" xfId="0" applyFont="1" applyBorder="1"/>
    <xf numFmtId="0" fontId="39" fillId="0" borderId="51" xfId="0" applyFont="1" applyBorder="1"/>
    <xf numFmtId="3" fontId="14" fillId="0" borderId="82" xfId="0" applyNumberFormat="1" applyFont="1" applyBorder="1" applyAlignment="1">
      <alignment horizontal="center" vertical="center"/>
    </xf>
    <xf numFmtId="3" fontId="14" fillId="0" borderId="83" xfId="0" applyNumberFormat="1" applyFont="1" applyBorder="1" applyAlignment="1">
      <alignment horizontal="center" vertical="center"/>
    </xf>
    <xf numFmtId="3" fontId="14" fillId="0" borderId="84" xfId="0" applyNumberFormat="1" applyFont="1" applyBorder="1" applyAlignment="1">
      <alignment horizontal="center" vertical="center"/>
    </xf>
    <xf numFmtId="0" fontId="39" fillId="0" borderId="52" xfId="0" applyFont="1" applyBorder="1" applyAlignment="1">
      <alignment wrapText="1"/>
    </xf>
    <xf numFmtId="0" fontId="39" fillId="0" borderId="53" xfId="0" applyFont="1" applyBorder="1" applyAlignment="1">
      <alignment wrapText="1"/>
    </xf>
    <xf numFmtId="0" fontId="39" fillId="0" borderId="54" xfId="0" applyFont="1" applyBorder="1" applyAlignment="1">
      <alignment wrapText="1"/>
    </xf>
    <xf numFmtId="0" fontId="39" fillId="0" borderId="56" xfId="0" applyFont="1" applyBorder="1" applyAlignment="1">
      <alignment wrapText="1"/>
    </xf>
    <xf numFmtId="0" fontId="39" fillId="0" borderId="43" xfId="0" applyFont="1" applyBorder="1"/>
    <xf numFmtId="0" fontId="39" fillId="0" borderId="44" xfId="0" applyFont="1" applyBorder="1"/>
    <xf numFmtId="0" fontId="41" fillId="0" borderId="43" xfId="0" applyFont="1" applyBorder="1" applyAlignment="1">
      <alignment wrapText="1"/>
    </xf>
    <xf numFmtId="0" fontId="41" fillId="0" borderId="13" xfId="0" applyFont="1" applyBorder="1" applyAlignment="1">
      <alignment wrapText="1"/>
    </xf>
    <xf numFmtId="0" fontId="41" fillId="0" borderId="44" xfId="0" applyFont="1" applyBorder="1" applyAlignment="1">
      <alignment wrapText="1"/>
    </xf>
    <xf numFmtId="0" fontId="40" fillId="0" borderId="13" xfId="0" applyFont="1" applyBorder="1" applyAlignment="1">
      <alignment wrapText="1"/>
    </xf>
    <xf numFmtId="0" fontId="39" fillId="0" borderId="60" xfId="0" applyFont="1" applyBorder="1" applyAlignment="1">
      <alignment wrapText="1"/>
    </xf>
    <xf numFmtId="0" fontId="40" fillId="0" borderId="13" xfId="0" applyFont="1" applyBorder="1"/>
    <xf numFmtId="0" fontId="40" fillId="0" borderId="44" xfId="0" applyFont="1" applyBorder="1"/>
    <xf numFmtId="164" fontId="35" fillId="15" borderId="0" xfId="0" applyNumberFormat="1" applyFont="1" applyFill="1" applyBorder="1" applyAlignment="1">
      <alignment horizontal="right" vertical="center"/>
    </xf>
    <xf numFmtId="0" fontId="20" fillId="15" borderId="0" xfId="0" applyFont="1" applyFill="1" applyBorder="1"/>
    <xf numFmtId="0" fontId="20" fillId="15" borderId="0" xfId="0" applyFont="1" applyFill="1" applyBorder="1" applyAlignment="1">
      <alignment horizontal="center" vertical="center"/>
    </xf>
    <xf numFmtId="0" fontId="20" fillId="0" borderId="19" xfId="0" applyFont="1" applyFill="1" applyBorder="1" applyAlignment="1">
      <alignment horizontal="right" vertical="top"/>
    </xf>
    <xf numFmtId="0" fontId="20" fillId="0" borderId="19" xfId="0" applyFont="1" applyFill="1" applyBorder="1" applyAlignment="1">
      <alignment horizontal="left" vertical="center"/>
    </xf>
    <xf numFmtId="0" fontId="20" fillId="0" borderId="19" xfId="0" applyFont="1" applyFill="1" applyBorder="1" applyAlignment="1">
      <alignment horizontal="center" vertical="center"/>
    </xf>
    <xf numFmtId="0" fontId="20" fillId="0" borderId="19" xfId="0" applyFont="1" applyFill="1" applyBorder="1" applyAlignment="1">
      <alignment horizontal="right" vertical="center"/>
    </xf>
    <xf numFmtId="0" fontId="20" fillId="0" borderId="19" xfId="0" applyFont="1" applyFill="1" applyBorder="1" applyAlignment="1">
      <alignment horizontal="right" vertical="top" wrapText="1"/>
    </xf>
    <xf numFmtId="0" fontId="20" fillId="0" borderId="19" xfId="0" applyFont="1" applyFill="1" applyBorder="1" applyAlignment="1">
      <alignment horizontal="left" vertical="top"/>
    </xf>
    <xf numFmtId="0" fontId="20" fillId="0" borderId="19" xfId="0" applyFont="1" applyFill="1" applyBorder="1" applyAlignment="1">
      <alignment horizontal="left" vertical="top" wrapText="1"/>
    </xf>
    <xf numFmtId="0" fontId="20" fillId="0" borderId="19" xfId="0" applyFont="1" applyFill="1" applyBorder="1" applyAlignment="1">
      <alignment horizontal="center" vertical="top" wrapText="1"/>
    </xf>
    <xf numFmtId="2" fontId="20" fillId="0" borderId="19" xfId="0" applyNumberFormat="1" applyFont="1" applyFill="1" applyBorder="1" applyAlignment="1">
      <alignment horizontal="right" vertical="top" wrapText="1"/>
    </xf>
    <xf numFmtId="164" fontId="20" fillId="0" borderId="19" xfId="1" applyNumberFormat="1" applyFont="1" applyFill="1" applyBorder="1" applyAlignment="1">
      <alignment horizontal="right" vertical="top" wrapText="1"/>
    </xf>
    <xf numFmtId="0" fontId="20" fillId="0" borderId="86" xfId="0" applyFont="1" applyFill="1" applyBorder="1" applyAlignment="1">
      <alignment horizontal="right" vertical="top" wrapText="1"/>
    </xf>
    <xf numFmtId="0" fontId="23" fillId="0" borderId="6" xfId="0" applyFont="1" applyFill="1" applyBorder="1" applyAlignment="1">
      <alignment vertical="center" wrapText="1"/>
    </xf>
    <xf numFmtId="0" fontId="27" fillId="0" borderId="30" xfId="0" applyFont="1" applyFill="1" applyBorder="1" applyAlignment="1">
      <alignment horizontal="right" vertical="center" wrapText="1"/>
    </xf>
    <xf numFmtId="49" fontId="27" fillId="0" borderId="19" xfId="0" applyNumberFormat="1" applyFont="1" applyFill="1" applyBorder="1" applyAlignment="1">
      <alignment horizontal="left" vertical="center" wrapText="1"/>
    </xf>
    <xf numFmtId="49" fontId="23" fillId="0" borderId="1" xfId="0" applyNumberFormat="1" applyFont="1" applyFill="1" applyBorder="1" applyAlignment="1">
      <alignment horizontal="center" vertical="center" wrapText="1"/>
    </xf>
    <xf numFmtId="14" fontId="52" fillId="0" borderId="19" xfId="0" applyNumberFormat="1" applyFont="1" applyFill="1" applyBorder="1" applyAlignment="1">
      <alignment horizontal="right" vertical="center" wrapText="1"/>
    </xf>
    <xf numFmtId="166" fontId="52" fillId="0" borderId="17" xfId="0" applyNumberFormat="1" applyFont="1" applyFill="1" applyBorder="1" applyAlignment="1">
      <alignment horizontal="right" vertical="center" wrapText="1"/>
    </xf>
    <xf numFmtId="49" fontId="52" fillId="0" borderId="17" xfId="0" applyNumberFormat="1" applyFont="1" applyFill="1" applyBorder="1" applyAlignment="1">
      <alignment horizontal="right" vertical="center" wrapText="1"/>
    </xf>
    <xf numFmtId="49" fontId="52" fillId="0" borderId="19" xfId="0" applyNumberFormat="1" applyFont="1" applyFill="1" applyBorder="1" applyAlignment="1">
      <alignment horizontal="right" vertical="center" wrapText="1"/>
    </xf>
    <xf numFmtId="2" fontId="23" fillId="0" borderId="28" xfId="0" applyNumberFormat="1" applyFont="1" applyFill="1" applyBorder="1" applyAlignment="1">
      <alignment horizontal="right" vertical="center" wrapText="1"/>
    </xf>
    <xf numFmtId="2" fontId="23" fillId="0" borderId="19" xfId="0" applyNumberFormat="1" applyFont="1" applyFill="1" applyBorder="1" applyAlignment="1">
      <alignment horizontal="right" vertical="center" wrapText="1"/>
    </xf>
    <xf numFmtId="164" fontId="35" fillId="0" borderId="86" xfId="0" applyNumberFormat="1" applyFont="1" applyFill="1" applyBorder="1" applyAlignment="1">
      <alignment horizontal="right" vertical="center"/>
    </xf>
    <xf numFmtId="0" fontId="27" fillId="0" borderId="6" xfId="0" applyFont="1" applyFill="1" applyBorder="1" applyAlignment="1">
      <alignment horizontal="right" vertical="center" wrapText="1"/>
    </xf>
    <xf numFmtId="49" fontId="27" fillId="0" borderId="30" xfId="0" applyNumberFormat="1" applyFont="1" applyFill="1" applyBorder="1" applyAlignment="1">
      <alignment horizontal="left" vertical="center" wrapText="1"/>
    </xf>
    <xf numFmtId="49" fontId="23" fillId="0" borderId="19" xfId="0" applyNumberFormat="1" applyFont="1" applyFill="1" applyBorder="1" applyAlignment="1">
      <alignment horizontal="center" vertical="center" wrapText="1"/>
    </xf>
    <xf numFmtId="14" fontId="52" fillId="0" borderId="1" xfId="0" applyNumberFormat="1" applyFont="1" applyFill="1" applyBorder="1" applyAlignment="1">
      <alignment horizontal="right" vertical="center" wrapText="1"/>
    </xf>
    <xf numFmtId="0" fontId="20" fillId="0" borderId="19" xfId="0" applyFont="1" applyFill="1" applyBorder="1" applyAlignment="1">
      <alignment horizontal="right" vertical="center" wrapText="1"/>
    </xf>
    <xf numFmtId="49" fontId="52" fillId="0" borderId="1" xfId="0" applyNumberFormat="1" applyFont="1" applyFill="1" applyBorder="1" applyAlignment="1">
      <alignment horizontal="center" vertical="center" wrapText="1"/>
    </xf>
    <xf numFmtId="0" fontId="52" fillId="0" borderId="17" xfId="0" applyFont="1" applyFill="1" applyBorder="1" applyAlignment="1">
      <alignment horizontal="right"/>
    </xf>
    <xf numFmtId="0" fontId="23" fillId="0" borderId="4" xfId="0" applyFont="1" applyFill="1" applyBorder="1" applyAlignment="1">
      <alignment vertical="center" wrapText="1"/>
    </xf>
    <xf numFmtId="49" fontId="27" fillId="0" borderId="31" xfId="0" applyNumberFormat="1" applyFont="1" applyFill="1" applyBorder="1" applyAlignment="1">
      <alignment horizontal="left" vertical="center" wrapText="1"/>
    </xf>
    <xf numFmtId="49" fontId="23" fillId="0" borderId="4" xfId="0" applyNumberFormat="1" applyFont="1" applyFill="1" applyBorder="1" applyAlignment="1">
      <alignment horizontal="center" vertical="center" wrapText="1"/>
    </xf>
    <xf numFmtId="14" fontId="52" fillId="0" borderId="18" xfId="0" applyNumberFormat="1" applyFont="1" applyFill="1" applyBorder="1" applyAlignment="1">
      <alignment horizontal="right" vertical="center" wrapText="1"/>
    </xf>
    <xf numFmtId="166" fontId="52" fillId="0" borderId="18" xfId="0" applyNumberFormat="1" applyFont="1" applyFill="1" applyBorder="1" applyAlignment="1">
      <alignment horizontal="right" vertical="center" wrapText="1"/>
    </xf>
    <xf numFmtId="49" fontId="52" fillId="0" borderId="0" xfId="0" applyNumberFormat="1" applyFont="1" applyFill="1" applyBorder="1" applyAlignment="1">
      <alignment horizontal="right" vertical="center" wrapText="1"/>
    </xf>
    <xf numFmtId="164" fontId="32" fillId="0" borderId="17" xfId="0" applyNumberFormat="1" applyFont="1" applyFill="1" applyBorder="1" applyAlignment="1">
      <alignment horizontal="right" vertical="center"/>
    </xf>
    <xf numFmtId="2" fontId="23" fillId="0" borderId="17" xfId="0" applyNumberFormat="1" applyFont="1" applyFill="1" applyBorder="1" applyAlignment="1">
      <alignment horizontal="right" vertical="center" wrapText="1"/>
    </xf>
    <xf numFmtId="49" fontId="32" fillId="0" borderId="17" xfId="0" applyNumberFormat="1" applyFont="1" applyFill="1" applyBorder="1" applyAlignment="1">
      <alignment horizontal="right" vertical="center" wrapText="1"/>
    </xf>
    <xf numFmtId="164" fontId="35" fillId="0" borderId="28" xfId="0" applyNumberFormat="1" applyFont="1" applyFill="1" applyBorder="1" applyAlignment="1">
      <alignment horizontal="right" vertical="center"/>
    </xf>
    <xf numFmtId="0" fontId="23" fillId="0" borderId="17" xfId="0" applyFont="1" applyFill="1" applyBorder="1" applyAlignment="1">
      <alignment vertical="center" wrapText="1"/>
    </xf>
    <xf numFmtId="0" fontId="27" fillId="0" borderId="17" xfId="0" applyFont="1" applyFill="1" applyBorder="1" applyAlignment="1">
      <alignment horizontal="left" vertical="center" wrapText="1"/>
    </xf>
    <xf numFmtId="49" fontId="27" fillId="0" borderId="17" xfId="0" applyNumberFormat="1" applyFont="1" applyFill="1" applyBorder="1" applyAlignment="1">
      <alignment horizontal="center" vertical="center" wrapText="1"/>
    </xf>
    <xf numFmtId="14" fontId="23" fillId="0" borderId="17" xfId="0" applyNumberFormat="1" applyFont="1" applyFill="1" applyBorder="1" applyAlignment="1">
      <alignment horizontal="right" vertical="center" wrapText="1"/>
    </xf>
    <xf numFmtId="1" fontId="52" fillId="0" borderId="29" xfId="0" applyNumberFormat="1" applyFont="1" applyFill="1" applyBorder="1" applyAlignment="1">
      <alignment horizontal="right" vertical="center" wrapText="1"/>
    </xf>
    <xf numFmtId="0" fontId="28" fillId="0" borderId="17" xfId="0" applyFont="1" applyFill="1" applyBorder="1" applyAlignment="1">
      <alignment horizontal="right"/>
    </xf>
    <xf numFmtId="164" fontId="27" fillId="0" borderId="17" xfId="1" applyNumberFormat="1" applyFont="1" applyFill="1" applyBorder="1" applyAlignment="1">
      <alignment horizontal="right" vertical="center" wrapText="1"/>
    </xf>
    <xf numFmtId="49" fontId="27" fillId="0" borderId="17" xfId="0" applyNumberFormat="1" applyFont="1" applyFill="1" applyBorder="1" applyAlignment="1">
      <alignment horizontal="left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14" fontId="52" fillId="0" borderId="17" xfId="0" applyNumberFormat="1" applyFont="1" applyFill="1" applyBorder="1" applyAlignment="1">
      <alignment horizontal="right" vertical="center" wrapText="1"/>
    </xf>
    <xf numFmtId="49" fontId="52" fillId="0" borderId="29" xfId="0" applyNumberFormat="1" applyFont="1" applyFill="1" applyBorder="1" applyAlignment="1">
      <alignment horizontal="right" vertical="center" wrapText="1"/>
    </xf>
    <xf numFmtId="49" fontId="52" fillId="0" borderId="15" xfId="0" applyNumberFormat="1" applyFont="1" applyFill="1" applyBorder="1" applyAlignment="1">
      <alignment horizontal="right" vertical="center" wrapText="1"/>
    </xf>
    <xf numFmtId="49" fontId="27" fillId="0" borderId="17" xfId="0" applyNumberFormat="1" applyFont="1" applyFill="1" applyBorder="1" applyAlignment="1">
      <alignment horizontal="right" vertical="center" wrapText="1"/>
    </xf>
    <xf numFmtId="49" fontId="23" fillId="0" borderId="17" xfId="0" applyNumberFormat="1" applyFont="1" applyFill="1" applyBorder="1" applyAlignment="1">
      <alignment horizontal="right" vertical="center" wrapText="1"/>
    </xf>
    <xf numFmtId="0" fontId="20" fillId="0" borderId="17" xfId="0" applyFont="1" applyFill="1" applyBorder="1" applyAlignment="1">
      <alignment horizontal="right"/>
    </xf>
    <xf numFmtId="49" fontId="23" fillId="0" borderId="6" xfId="0" applyNumberFormat="1" applyFont="1" applyFill="1" applyBorder="1" applyAlignment="1">
      <alignment horizontal="center" vertical="center" wrapText="1"/>
    </xf>
    <xf numFmtId="166" fontId="52" fillId="0" borderId="19" xfId="0" applyNumberFormat="1" applyFont="1" applyFill="1" applyBorder="1" applyAlignment="1">
      <alignment horizontal="right" vertical="center" wrapText="1"/>
    </xf>
    <xf numFmtId="0" fontId="20" fillId="0" borderId="17" xfId="0" applyFont="1" applyFill="1" applyBorder="1" applyAlignment="1">
      <alignment horizontal="right" vertical="center" wrapText="1"/>
    </xf>
    <xf numFmtId="0" fontId="27" fillId="0" borderId="30" xfId="0" applyFont="1" applyFill="1" applyBorder="1" applyAlignment="1">
      <alignment horizontal="left" vertical="center" wrapText="1"/>
    </xf>
    <xf numFmtId="49" fontId="27" fillId="0" borderId="19" xfId="0" applyNumberFormat="1" applyFont="1" applyFill="1" applyBorder="1" applyAlignment="1">
      <alignment horizontal="center" vertical="center" wrapText="1"/>
    </xf>
    <xf numFmtId="14" fontId="23" fillId="0" borderId="1" xfId="0" applyNumberFormat="1" applyFont="1" applyFill="1" applyBorder="1" applyAlignment="1">
      <alignment horizontal="right" vertical="center" wrapText="1"/>
    </xf>
    <xf numFmtId="1" fontId="52" fillId="0" borderId="19" xfId="0" applyNumberFormat="1" applyFont="1" applyFill="1" applyBorder="1" applyAlignment="1">
      <alignment horizontal="right" vertical="center" wrapText="1"/>
    </xf>
    <xf numFmtId="0" fontId="79" fillId="0" borderId="17" xfId="0" applyFont="1" applyFill="1" applyBorder="1" applyAlignment="1">
      <alignment vertical="center"/>
    </xf>
    <xf numFmtId="49" fontId="52" fillId="0" borderId="1" xfId="0" applyNumberFormat="1" applyFont="1" applyFill="1" applyBorder="1" applyAlignment="1">
      <alignment horizontal="right" vertical="center" wrapText="1"/>
    </xf>
    <xf numFmtId="166" fontId="52" fillId="0" borderId="1" xfId="0" applyNumberFormat="1" applyFont="1" applyFill="1" applyBorder="1" applyAlignment="1">
      <alignment horizontal="right" vertical="center" wrapText="1"/>
    </xf>
    <xf numFmtId="49" fontId="52" fillId="0" borderId="17" xfId="0" applyNumberFormat="1" applyFont="1" applyFill="1" applyBorder="1" applyAlignment="1">
      <alignment horizontal="right"/>
    </xf>
    <xf numFmtId="49" fontId="27" fillId="0" borderId="18" xfId="0" applyNumberFormat="1" applyFont="1" applyFill="1" applyBorder="1" applyAlignment="1">
      <alignment horizontal="left" vertical="center" wrapText="1"/>
    </xf>
    <xf numFmtId="49" fontId="23" fillId="0" borderId="17" xfId="0" applyNumberFormat="1" applyFont="1" applyFill="1" applyBorder="1" applyAlignment="1">
      <alignment horizontal="left" vertical="center" wrapText="1"/>
    </xf>
    <xf numFmtId="49" fontId="27" fillId="0" borderId="3" xfId="0" applyNumberFormat="1" applyFont="1" applyFill="1" applyBorder="1" applyAlignment="1">
      <alignment horizontal="left" vertical="center" wrapText="1"/>
    </xf>
    <xf numFmtId="49" fontId="23" fillId="0" borderId="1" xfId="0" applyNumberFormat="1" applyFont="1" applyFill="1" applyBorder="1" applyAlignment="1">
      <alignment horizontal="left" vertical="center" wrapText="1"/>
    </xf>
    <xf numFmtId="49" fontId="23" fillId="0" borderId="4" xfId="0" applyNumberFormat="1" applyFont="1" applyFill="1" applyBorder="1" applyAlignment="1">
      <alignment horizontal="left" vertical="center" wrapText="1"/>
    </xf>
    <xf numFmtId="49" fontId="27" fillId="0" borderId="6" xfId="0" applyNumberFormat="1" applyFont="1" applyFill="1" applyBorder="1" applyAlignment="1">
      <alignment horizontal="left" vertical="center" wrapText="1"/>
    </xf>
    <xf numFmtId="49" fontId="63" fillId="0" borderId="36" xfId="0" applyNumberFormat="1" applyFont="1" applyFill="1" applyBorder="1" applyAlignment="1">
      <alignment horizontal="left" vertical="top" wrapText="1"/>
    </xf>
    <xf numFmtId="2" fontId="24" fillId="0" borderId="17" xfId="0" applyNumberFormat="1" applyFont="1" applyFill="1" applyBorder="1" applyAlignment="1">
      <alignment horizontal="left" vertical="center" wrapText="1"/>
    </xf>
    <xf numFmtId="49" fontId="55" fillId="0" borderId="17" xfId="0" applyNumberFormat="1" applyFont="1" applyFill="1" applyBorder="1" applyAlignment="1">
      <alignment horizontal="left" vertical="center" wrapText="1"/>
    </xf>
    <xf numFmtId="164" fontId="23" fillId="0" borderId="17" xfId="1" applyNumberFormat="1" applyFont="1" applyFill="1" applyBorder="1" applyAlignment="1">
      <alignment horizontal="left" vertical="center" wrapText="1"/>
    </xf>
    <xf numFmtId="164" fontId="23" fillId="0" borderId="3" xfId="1" applyNumberFormat="1" applyFont="1" applyFill="1" applyBorder="1" applyAlignment="1">
      <alignment horizontal="left" vertical="center" wrapText="1"/>
    </xf>
    <xf numFmtId="0" fontId="16" fillId="0" borderId="17" xfId="0" applyFont="1" applyFill="1" applyBorder="1" applyAlignment="1">
      <alignment horizontal="left" wrapText="1"/>
    </xf>
    <xf numFmtId="49" fontId="27" fillId="0" borderId="36" xfId="0" applyNumberFormat="1" applyFont="1" applyFill="1" applyBorder="1" applyAlignment="1">
      <alignment horizontal="left" vertical="center" wrapText="1"/>
    </xf>
    <xf numFmtId="49" fontId="45" fillId="0" borderId="17" xfId="0" applyNumberFormat="1" applyFont="1" applyFill="1" applyBorder="1" applyAlignment="1">
      <alignment horizontal="left" vertical="center" wrapText="1"/>
    </xf>
    <xf numFmtId="49" fontId="23" fillId="0" borderId="6" xfId="0" applyNumberFormat="1" applyFont="1" applyFill="1" applyBorder="1" applyAlignment="1">
      <alignment horizontal="left" vertical="center" wrapText="1"/>
    </xf>
    <xf numFmtId="49" fontId="23" fillId="0" borderId="31" xfId="0" applyNumberFormat="1" applyFont="1" applyFill="1" applyBorder="1" applyAlignment="1">
      <alignment horizontal="left" vertical="center" wrapText="1"/>
    </xf>
    <xf numFmtId="49" fontId="23" fillId="0" borderId="6" xfId="0" applyNumberFormat="1" applyFont="1" applyFill="1" applyBorder="1" applyAlignment="1">
      <alignment horizontal="left" vertical="center"/>
    </xf>
    <xf numFmtId="49" fontId="23" fillId="0" borderId="15" xfId="0" applyNumberFormat="1" applyFont="1" applyFill="1" applyBorder="1" applyAlignment="1">
      <alignment horizontal="left" vertical="center" wrapText="1"/>
    </xf>
    <xf numFmtId="2" fontId="23" fillId="0" borderId="15" xfId="0" applyNumberFormat="1" applyFont="1" applyFill="1" applyBorder="1" applyAlignment="1">
      <alignment horizontal="left" vertical="center" wrapText="1"/>
    </xf>
    <xf numFmtId="0" fontId="53" fillId="0" borderId="35" xfId="0" applyFont="1" applyFill="1" applyBorder="1"/>
    <xf numFmtId="49" fontId="23" fillId="0" borderId="17" xfId="0" applyNumberFormat="1" applyFont="1" applyFill="1" applyBorder="1" applyAlignment="1">
      <alignment vertical="center" wrapText="1"/>
    </xf>
    <xf numFmtId="49" fontId="27" fillId="0" borderId="17" xfId="0" applyNumberFormat="1" applyFont="1" applyFill="1" applyBorder="1" applyAlignment="1">
      <alignment vertical="center" wrapText="1"/>
    </xf>
    <xf numFmtId="49" fontId="27" fillId="0" borderId="35" xfId="0" applyNumberFormat="1" applyFont="1" applyFill="1" applyBorder="1" applyAlignment="1">
      <alignment vertical="center" wrapText="1"/>
    </xf>
    <xf numFmtId="49" fontId="23" fillId="0" borderId="20" xfId="0" applyNumberFormat="1" applyFont="1" applyFill="1" applyBorder="1" applyAlignment="1">
      <alignment vertical="center" wrapText="1"/>
    </xf>
    <xf numFmtId="49" fontId="23" fillId="0" borderId="26" xfId="0" applyNumberFormat="1" applyFont="1" applyFill="1" applyBorder="1" applyAlignment="1">
      <alignment vertical="center" wrapText="1"/>
    </xf>
    <xf numFmtId="0" fontId="20" fillId="0" borderId="26" xfId="0" applyFont="1" applyFill="1" applyBorder="1"/>
    <xf numFmtId="0" fontId="28" fillId="0" borderId="24" xfId="0" applyFont="1" applyFill="1" applyBorder="1"/>
    <xf numFmtId="0" fontId="20" fillId="0" borderId="24" xfId="0" applyFont="1" applyFill="1" applyBorder="1"/>
    <xf numFmtId="3" fontId="6" fillId="0" borderId="29" xfId="0" applyNumberFormat="1" applyFont="1" applyFill="1" applyBorder="1" applyAlignment="1">
      <alignment vertical="center" wrapText="1"/>
    </xf>
    <xf numFmtId="49" fontId="27" fillId="0" borderId="26" xfId="0" applyNumberFormat="1" applyFont="1" applyFill="1" applyBorder="1" applyAlignment="1">
      <alignment vertical="center" wrapText="1"/>
    </xf>
    <xf numFmtId="0" fontId="20" fillId="0" borderId="29" xfId="0" applyFont="1" applyFill="1" applyBorder="1"/>
    <xf numFmtId="0" fontId="64" fillId="0" borderId="89" xfId="0" applyFont="1" applyFill="1" applyBorder="1" applyAlignment="1">
      <alignment horizontal="right" vertical="top"/>
    </xf>
    <xf numFmtId="0" fontId="55" fillId="0" borderId="24" xfId="0" applyFont="1" applyFill="1" applyBorder="1"/>
    <xf numFmtId="49" fontId="23" fillId="0" borderId="33" xfId="0" applyNumberFormat="1" applyFont="1" applyFill="1" applyBorder="1" applyAlignment="1">
      <alignment vertical="center" wrapText="1"/>
    </xf>
    <xf numFmtId="0" fontId="28" fillId="0" borderId="17" xfId="0" applyFont="1" applyFill="1" applyBorder="1"/>
    <xf numFmtId="49" fontId="23" fillId="0" borderId="6" xfId="0" applyNumberFormat="1" applyFont="1" applyFill="1" applyBorder="1" applyAlignment="1">
      <alignment vertical="center" wrapText="1"/>
    </xf>
    <xf numFmtId="49" fontId="23" fillId="0" borderId="4" xfId="0" applyNumberFormat="1" applyFont="1" applyFill="1" applyBorder="1" applyAlignment="1">
      <alignment vertical="center" wrapText="1"/>
    </xf>
    <xf numFmtId="49" fontId="23" fillId="0" borderId="1" xfId="0" applyNumberFormat="1" applyFont="1" applyFill="1" applyBorder="1" applyAlignment="1">
      <alignment vertical="center" wrapText="1"/>
    </xf>
    <xf numFmtId="49" fontId="27" fillId="0" borderId="4" xfId="0" applyNumberFormat="1" applyFont="1" applyFill="1" applyBorder="1" applyAlignment="1">
      <alignment vertical="center" wrapText="1"/>
    </xf>
    <xf numFmtId="0" fontId="20" fillId="0" borderId="1" xfId="0" applyFont="1" applyFill="1" applyBorder="1"/>
    <xf numFmtId="0" fontId="48" fillId="0" borderId="19" xfId="0" applyFont="1" applyFill="1" applyBorder="1"/>
    <xf numFmtId="0" fontId="28" fillId="0" borderId="4" xfId="0" applyFont="1" applyFill="1" applyBorder="1"/>
    <xf numFmtId="0" fontId="20" fillId="0" borderId="17" xfId="0" applyFont="1" applyFill="1" applyBorder="1"/>
    <xf numFmtId="0" fontId="20" fillId="0" borderId="31" xfId="0" applyFont="1" applyFill="1" applyBorder="1"/>
    <xf numFmtId="49" fontId="23" fillId="0" borderId="17" xfId="0" applyNumberFormat="1" applyFont="1" applyFill="1" applyBorder="1" applyAlignment="1">
      <alignment vertical="center"/>
    </xf>
    <xf numFmtId="0" fontId="20" fillId="0" borderId="3" xfId="0" applyFont="1" applyFill="1" applyBorder="1"/>
    <xf numFmtId="0" fontId="20" fillId="0" borderId="6" xfId="0" applyFont="1" applyFill="1" applyBorder="1"/>
    <xf numFmtId="0" fontId="20" fillId="0" borderId="4" xfId="0" applyFont="1" applyFill="1" applyBorder="1"/>
    <xf numFmtId="164" fontId="45" fillId="0" borderId="19" xfId="1" applyNumberFormat="1" applyFont="1" applyFill="1" applyBorder="1" applyAlignment="1">
      <alignment horizontal="right" vertical="center" wrapText="1"/>
    </xf>
    <xf numFmtId="0" fontId="23" fillId="0" borderId="3" xfId="0" applyFont="1" applyFill="1" applyBorder="1" applyAlignment="1">
      <alignment vertical="center" wrapText="1"/>
    </xf>
    <xf numFmtId="0" fontId="27" fillId="0" borderId="3" xfId="0" applyFont="1" applyFill="1" applyBorder="1" applyAlignment="1">
      <alignment horizontal="right" vertical="center" wrapText="1"/>
    </xf>
    <xf numFmtId="49" fontId="23" fillId="0" borderId="31" xfId="0" applyNumberFormat="1" applyFont="1" applyFill="1" applyBorder="1" applyAlignment="1">
      <alignment horizontal="center" vertical="center" wrapText="1"/>
    </xf>
    <xf numFmtId="14" fontId="52" fillId="0" borderId="4" xfId="0" applyNumberFormat="1" applyFont="1" applyFill="1" applyBorder="1" applyAlignment="1">
      <alignment horizontal="right" vertical="center" wrapText="1"/>
    </xf>
    <xf numFmtId="49" fontId="52" fillId="0" borderId="31" xfId="0" applyNumberFormat="1" applyFont="1" applyFill="1" applyBorder="1" applyAlignment="1">
      <alignment horizontal="right" vertical="center" wrapText="1"/>
    </xf>
    <xf numFmtId="49" fontId="52" fillId="0" borderId="18" xfId="0" applyNumberFormat="1" applyFont="1" applyFill="1" applyBorder="1" applyAlignment="1">
      <alignment horizontal="right" vertical="center" wrapText="1"/>
    </xf>
    <xf numFmtId="49" fontId="52" fillId="0" borderId="18" xfId="0" applyNumberFormat="1" applyFont="1" applyFill="1" applyBorder="1" applyAlignment="1">
      <alignment horizontal="right"/>
    </xf>
    <xf numFmtId="49" fontId="52" fillId="0" borderId="4" xfId="0" applyNumberFormat="1" applyFont="1" applyFill="1" applyBorder="1" applyAlignment="1">
      <alignment horizontal="right" vertical="center" wrapText="1"/>
    </xf>
    <xf numFmtId="2" fontId="23" fillId="0" borderId="88" xfId="1" applyNumberFormat="1" applyFont="1" applyFill="1" applyBorder="1" applyAlignment="1">
      <alignment horizontal="right" vertical="center" wrapText="1"/>
    </xf>
    <xf numFmtId="2" fontId="23" fillId="0" borderId="18" xfId="0" applyNumberFormat="1" applyFont="1" applyFill="1" applyBorder="1" applyAlignment="1">
      <alignment horizontal="right" vertical="center" wrapText="1"/>
    </xf>
    <xf numFmtId="2" fontId="23" fillId="0" borderId="31" xfId="0" applyNumberFormat="1" applyFont="1" applyFill="1" applyBorder="1" applyAlignment="1">
      <alignment horizontal="right" vertical="center" wrapText="1"/>
    </xf>
    <xf numFmtId="164" fontId="35" fillId="0" borderId="88" xfId="1" applyNumberFormat="1" applyFont="1" applyFill="1" applyBorder="1" applyAlignment="1">
      <alignment horizontal="right" vertical="center"/>
    </xf>
    <xf numFmtId="164" fontId="32" fillId="0" borderId="19" xfId="0" applyNumberFormat="1" applyFont="1" applyFill="1" applyBorder="1" applyAlignment="1">
      <alignment horizontal="right" vertical="center"/>
    </xf>
    <xf numFmtId="49" fontId="32" fillId="0" borderId="19" xfId="0" applyNumberFormat="1" applyFont="1" applyFill="1" applyBorder="1" applyAlignment="1">
      <alignment horizontal="right" vertical="center" wrapText="1"/>
    </xf>
    <xf numFmtId="164" fontId="32" fillId="0" borderId="19" xfId="1" applyNumberFormat="1" applyFont="1" applyFill="1" applyBorder="1" applyAlignment="1">
      <alignment horizontal="right" vertical="center" wrapText="1"/>
    </xf>
    <xf numFmtId="0" fontId="33" fillId="0" borderId="19" xfId="0" applyFont="1" applyFill="1" applyBorder="1" applyAlignment="1">
      <alignment horizontal="right" wrapText="1"/>
    </xf>
    <xf numFmtId="170" fontId="52" fillId="0" borderId="19" xfId="0" applyNumberFormat="1" applyFont="1" applyFill="1" applyBorder="1" applyAlignment="1">
      <alignment horizontal="right" vertical="center" wrapText="1"/>
    </xf>
    <xf numFmtId="0" fontId="20" fillId="0" borderId="0" xfId="0" applyFont="1" applyFill="1"/>
    <xf numFmtId="0" fontId="20" fillId="0" borderId="0" xfId="0" applyFont="1" applyFill="1" applyAlignment="1">
      <alignment horizontal="center" vertical="center"/>
    </xf>
    <xf numFmtId="0" fontId="64" fillId="0" borderId="0" xfId="0" applyFont="1" applyFill="1" applyAlignment="1">
      <alignment horizontal="right" vertical="top"/>
    </xf>
    <xf numFmtId="0" fontId="48" fillId="0" borderId="0" xfId="0" applyFont="1" applyFill="1"/>
    <xf numFmtId="164" fontId="35" fillId="0" borderId="19" xfId="0" applyNumberFormat="1" applyFont="1" applyFill="1" applyBorder="1" applyAlignment="1">
      <alignment horizontal="right" vertical="center"/>
    </xf>
    <xf numFmtId="170" fontId="52" fillId="0" borderId="1" xfId="0" applyNumberFormat="1" applyFont="1" applyFill="1" applyBorder="1" applyAlignment="1">
      <alignment horizontal="right" vertical="center" wrapText="1"/>
    </xf>
    <xf numFmtId="170" fontId="52" fillId="0" borderId="17" xfId="0" applyNumberFormat="1" applyFont="1" applyFill="1" applyBorder="1" applyAlignment="1">
      <alignment horizontal="right" vertical="center" wrapText="1"/>
    </xf>
    <xf numFmtId="170" fontId="23" fillId="0" borderId="17" xfId="0" applyNumberFormat="1" applyFont="1" applyFill="1" applyBorder="1" applyAlignment="1">
      <alignment horizontal="right" vertical="center" wrapText="1"/>
    </xf>
    <xf numFmtId="170" fontId="23" fillId="0" borderId="1" xfId="0" applyNumberFormat="1" applyFont="1" applyFill="1" applyBorder="1" applyAlignment="1">
      <alignment horizontal="right" vertical="center" wrapText="1"/>
    </xf>
    <xf numFmtId="0" fontId="23" fillId="0" borderId="30" xfId="0" applyFont="1" applyBorder="1" applyAlignment="1">
      <alignment vertical="center" wrapText="1"/>
    </xf>
    <xf numFmtId="170" fontId="52" fillId="0" borderId="18" xfId="0" applyNumberFormat="1" applyFont="1" applyFill="1" applyBorder="1" applyAlignment="1">
      <alignment horizontal="right" vertical="center" wrapText="1"/>
    </xf>
    <xf numFmtId="2" fontId="35" fillId="0" borderId="28" xfId="0" applyNumberFormat="1" applyFont="1" applyFill="1" applyBorder="1" applyAlignment="1">
      <alignment horizontal="right" vertical="center" wrapText="1"/>
    </xf>
    <xf numFmtId="0" fontId="80" fillId="0" borderId="19" xfId="0" applyFont="1" applyFill="1" applyBorder="1" applyAlignment="1">
      <alignment horizontal="right" vertical="top" wrapText="1"/>
    </xf>
    <xf numFmtId="49" fontId="63" fillId="0" borderId="17" xfId="0" applyNumberFormat="1" applyFont="1" applyFill="1" applyBorder="1" applyAlignment="1">
      <alignment horizontal="right" vertical="top" wrapText="1"/>
    </xf>
    <xf numFmtId="49" fontId="45" fillId="0" borderId="17" xfId="0" applyNumberFormat="1" applyFont="1" applyBorder="1" applyAlignment="1">
      <alignment horizontal="right" vertical="top" wrapText="1"/>
    </xf>
    <xf numFmtId="164" fontId="24" fillId="0" borderId="86" xfId="0" applyNumberFormat="1" applyFont="1" applyFill="1" applyBorder="1" applyAlignment="1">
      <alignment horizontal="right" vertical="center"/>
    </xf>
    <xf numFmtId="164" fontId="35" fillId="0" borderId="28" xfId="1" applyNumberFormat="1" applyFont="1" applyFill="1" applyBorder="1" applyAlignment="1">
      <alignment horizontal="right" vertical="center" wrapText="1"/>
    </xf>
  </cellXfs>
  <cellStyles count="2">
    <cellStyle name="Comma" xfId="1" builtinId="3"/>
    <cellStyle name="Normal" xfId="0" builtinId="0"/>
  </cellStyles>
  <dxfs count="1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4" formatCode="_(* #,##0_);_(* \(#,##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minor"/>
      </font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alignment horizontal="right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right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Calibri"/>
        <family val="2"/>
        <scheme val="none"/>
      </font>
      <numFmt numFmtId="164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2" formatCode="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164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164" formatCode="_(* #,##0_);_(* \(#,##0\);_(* &quot;-&quot;??_);_(@_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6" formatCode="[$-F400]h:mm:ss\ AM/PM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6" formatCode="[$-F400]h:mm:ss\ AM/PM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outline="0">
        <bottom style="thin">
          <color rgb="FF000000"/>
        </bottom>
      </border>
    </dxf>
    <dxf>
      <border outline="0">
        <right style="thin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none"/>
      </font>
      <numFmt numFmtId="164" formatCode="_(* #,##0_);_(* \(#,##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Calibri"/>
        <family val="2"/>
        <scheme val="none"/>
      </font>
      <numFmt numFmtId="164" formatCode="_(* #,##0_);_(* \(#,##0\);_(* &quot;-&quot;??_);_(@_)"/>
      <fill>
        <patternFill patternType="none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164" formatCode="_(* #,##0_);_(* \(#,##0\);_(* &quot;-&quot;??_);_(@_)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fill>
        <patternFill patternType="none"/>
      </fill>
      <alignment horizontal="righ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2" formatCode="0.00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2" formatCode="0.00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2" formatCode="0.00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164" formatCode="_(* #,##0_);_(* \(#,##0\);_(* &quot;-&quot;??_);_(@_)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164" formatCode="_(* #,##0_);_(* \(#,##0\);_(* &quot;-&quot;??_);_(@_)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/>
      </border>
    </dxf>
    <dxf>
      <fill>
        <patternFill patternType="none"/>
      </fill>
      <alignment horizontal="righ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7" formatCode="m/d/yyyy\ h:mm"/>
      <fill>
        <patternFill patternType="none"/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/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/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6" formatCode="[$-F400]h:mm:ss\ AM/PM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6" formatCode="[$-F400]h:mm:ss\ AM/PM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9" formatCode="m/d/yyyy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minor"/>
      </font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rgb="FF000000"/>
        </right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alignment horizontal="right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/>
        <name val="Calibri"/>
        <family val="2"/>
        <scheme val="none"/>
      </font>
      <numFmt numFmtId="164" formatCode="_(* #,##0_);_(* \(#,##0\);_(* &quot;-&quot;??_);_(@_)"/>
      <fill>
        <patternFill patternType="none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164" formatCode="_(* #,##0_);_(* \(#,##0\);_(* &quot;-&quot;??_);_(@_)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none"/>
      </fill>
      <alignment horizontal="righ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2" formatCode="0.00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2" formatCode="0.00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2" formatCode="0.00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164" formatCode="_(* #,##0_);_(* \(#,##0\);_(* &quot;-&quot;??_);_(@_)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numFmt numFmtId="164" formatCode="_(* #,##0_);_(* \(#,##0\);_(* &quot;-&quot;??_);_(@_)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none"/>
      </fill>
      <alignment horizontal="righ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7" formatCode="m/d/yyyy\ h:mm"/>
      <fill>
        <patternFill patternType="none"/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/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/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6" formatCode="[$-F400]h:mm:ss\ AM/PM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66" formatCode="[$-F400]h:mm:ss\ AM/PM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19" formatCode="m/d/yyyy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minor"/>
      </font>
      <numFmt numFmtId="30" formatCode="@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minor"/>
      </font>
      <numFmt numFmtId="0" formatCode="General"/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family val="2"/>
        <scheme val="none"/>
      </font>
      <fill>
        <patternFill patternType="none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/>
      </fill>
      <alignment horizontal="right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7" tint="0.59999389629810485"/>
        </patternFill>
      </fill>
      <alignment horizontal="right" vertical="top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10/relationships/person" Target="persons/person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openxmlformats.org/officeDocument/2006/relationships/calcChain" Target="calcChain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5512D110-5CC6-11CF-8D67-00AA00BDCE1D}" ax:persistence="persistStream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9</xdr:row>
          <xdr:rowOff>47625</xdr:rowOff>
        </xdr:from>
        <xdr:to>
          <xdr:col>15</xdr:col>
          <xdr:colOff>88900</xdr:colOff>
          <xdr:row>9</xdr:row>
          <xdr:rowOff>333375</xdr:rowOff>
        </xdr:to>
        <xdr:sp macro="" textlink="">
          <xdr:nvSpPr>
            <xdr:cNvPr id="64514" name="Control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3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preserveFormatting="0" connectionId="2" xr16:uid="{F57CC0A0-F483-42E0-B7F5-7BD42D96E97D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firstBackgroundRefresh="1" growShrinkType="overwriteClear" preserveFormatting="0" connectionId="1" xr16:uid="{362F6C5F-EF5F-40FB-AA6A-7AA8D8A1F8BE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B94DB6-62FE-4DAD-9823-E4DF3725EC25}" name="Table14" displayName="Table14" ref="A5:X33" totalsRowCount="1" headerRowDxfId="133" dataDxfId="131" headerRowBorderDxfId="132" tableBorderDxfId="130" totalsRowBorderDxfId="129">
  <autoFilter ref="A5:X32" xr:uid="{3476799A-16BF-427A-8422-202C932F57F0}">
    <filterColumn colId="0">
      <filters>
        <filter val="CHANEL"/>
        <filter val="GOOGLE"/>
      </filters>
    </filterColumn>
  </autoFilter>
  <tableColumns count="24">
    <tableColumn id="1" xr3:uid="{E8DBA656-C73D-43F7-BEAB-F4B47BAEACFF}" name="Tenant" totalsRowLabel="Total" dataDxfId="128" totalsRowDxfId="23"/>
    <tableColumn id="2" xr3:uid="{E3CA1A7E-A6C1-4111-8173-AFFE2A853241}" name="No." dataDxfId="127" totalsRowDxfId="22">
      <calculatedColumnFormula>ROW()-5</calculatedColumnFormula>
    </tableColumn>
    <tableColumn id="3" xr3:uid="{9A8A90B6-F44E-4440-B705-DBA6D21AEF77}" name="BookID" dataDxfId="126" totalsRowDxfId="21"/>
    <tableColumn id="4" xr3:uid="{0AB4578A-F966-4AE3-807C-2C6FC18D8EC4}" name="Facility" dataDxfId="125" totalsRowDxfId="20"/>
    <tableColumn id="5" xr3:uid="{6442AC2F-5DF2-4FC6-A3A2-BD9D6ACF4439}" name="Book Date" dataDxfId="124" totalsRowDxfId="19"/>
    <tableColumn id="6" xr3:uid="{6D9F3D03-5C3D-4336-BA1F-5CF84AF5EFDA}" name="Start Time" dataDxfId="123" totalsRowDxfId="18"/>
    <tableColumn id="7" xr3:uid="{154C660A-61EE-47FB-A0F2-B9385FDB613B}" name="End Time" dataDxfId="122" totalsRowDxfId="17"/>
    <tableColumn id="8" xr3:uid="{8DE91200-E44E-4B83-A363-AE8948FF0CCD}" name="Subject" dataDxfId="121" totalsRowDxfId="16"/>
    <tableColumn id="9" xr3:uid="{EB8748AA-212C-4EC9-BFD0-ECBFBDBD3C93}" name="Booked By" dataDxfId="120" totalsRowDxfId="15"/>
    <tableColumn id="10" xr3:uid="{1CAEA862-5F68-4718-9DFB-26E4B0AAA2AC}" name="Booked For" dataDxfId="119" totalsRowDxfId="14"/>
    <tableColumn id="11" xr3:uid="{1679D6F8-D440-4529-8BDF-0ED8C632F78F}" name="No. Of Attendees" dataDxfId="118" totalsRowDxfId="13"/>
    <tableColumn id="12" xr3:uid="{0044265B-AE45-4F71-AFDB-012492348F55}" name="Attendees' Email" dataDxfId="117" totalsRowDxfId="12"/>
    <tableColumn id="13" xr3:uid="{023D416A-C04E-45C2-8E60-AB398CCA8E8F}" name="Remark" dataDxfId="116" totalsRowDxfId="11"/>
    <tableColumn id="14" xr3:uid="{EDAA3F41-5670-4947-821C-2B3A499CDCE9}" name="Trans Date" dataDxfId="115" totalsRowDxfId="10"/>
    <tableColumn id="15" xr3:uid="{65864D27-9D22-45A5-A699-9B32F4ECCE9E}" name="Status on _x000a_WSO" dataDxfId="114" totalsRowDxfId="9"/>
    <tableColumn id="16" xr3:uid="{76A683E7-B74F-419F-87DA-1A29B0C33161}" name="Discount_x000a_(%)" dataDxfId="113" totalsRowDxfId="8"/>
    <tableColumn id="17" xr3:uid="{8B959485-6AEF-495C-BA95-E80BF1AD4F03}" name="Fee charge per day / half day (VND)" dataDxfId="112" totalsRowDxfId="7" dataCellStyle="Comma"/>
    <tableColumn id="18" xr3:uid="{E31D6B5D-4D26-4B58-9CA6-A58C169758D7}" name="Fee charge per hour (VND)" dataDxfId="111" totalsRowDxfId="6" dataCellStyle="Comma"/>
    <tableColumn id="19" xr3:uid="{4D713E12-B5BB-418B-88E2-52753F880ED0}" name="Total hour(s)_x000a_used" dataDxfId="110" totalsRowDxfId="5"/>
    <tableColumn id="20" xr3:uid="{2BBB6AB1-11AB-4BF5-BE89-F89EDD947689}" name="Calculated Hours" dataDxfId="109" totalsRowDxfId="4">
      <calculatedColumnFormula>HOUR(S6)+(MINUTE(S6)/60)</calculatedColumnFormula>
    </tableColumn>
    <tableColumn id="21" xr3:uid="{E89405A8-4FCB-40AE-8E2C-59C405DD492D}" name="Total FOC hours" dataDxfId="108" totalsRowDxfId="3"/>
    <tableColumn id="22" xr3:uid="{B44EA7F0-EF84-4238-BD6B-68BBF100B73D}" name="Additional sevices charged (VND)" dataDxfId="107" totalsRowDxfId="2"/>
    <tableColumn id="23" xr3:uid="{656C37DC-ECCD-4D74-AD15-14B7B6302566}" name="Amount (VND)" dataDxfId="106" totalsRowDxfId="1" dataCellStyle="Comma">
      <calculatedColumnFormula>T6*R6*(100-P6)/100</calculatedColumnFormula>
    </tableColumn>
    <tableColumn id="24" xr3:uid="{F220B595-6563-4FE3-8666-835E484A867F}" name="Actual billing Amount" totalsRowFunction="sum" dataDxfId="105" totalsRowDxfId="0">
      <calculatedColumnFormula>(Q6+(((T6-U6)-0)*R6))*((100-P6)/100)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86B8F9-7572-47F7-9E51-62311851A7BA}" name="Table2" displayName="Table2" ref="A6:X88" totalsRowShown="0" headerRowDxfId="26" dataDxfId="25" headerRowBorderDxfId="50" tableBorderDxfId="51">
  <autoFilter ref="A6:X88" xr:uid="{A286B8F9-7572-47F7-9E51-62311851A7BA}">
    <filterColumn colId="0">
      <filters>
        <filter val="SEIKO"/>
      </filters>
    </filterColumn>
    <filterColumn colId="23">
      <customFilters and="1">
        <customFilter operator="greaterThanOrEqual" val="45444"/>
        <customFilter operator="lessThanOrEqual" val="45467"/>
      </customFilters>
    </filterColumn>
  </autoFilter>
  <tableColumns count="24">
    <tableColumn id="1" xr3:uid="{BCC63ABE-0FD6-4760-8FFA-1062BC12D482}" name="SEARCH TERM" dataDxfId="49"/>
    <tableColumn id="2" xr3:uid="{77B301C8-7590-4CA8-A696-B085F133F80C}" name="No.2" dataDxfId="48"/>
    <tableColumn id="3" xr3:uid="{C52DA8F7-512C-462C-A008-DD116068DB8A}" name="BookID" dataDxfId="47"/>
    <tableColumn id="4" xr3:uid="{2B9C9371-91DB-4CD2-A817-F58EE5911C5B}" name="Facility" dataDxfId="46"/>
    <tableColumn id="5" xr3:uid="{DB8E8C9D-C756-4C2F-A51D-8AEE861E0998}" name="Book Date" dataDxfId="45"/>
    <tableColumn id="6" xr3:uid="{79CA06EB-6FBD-45AD-9622-588368F75608}" name="Start Time" dataDxfId="44"/>
    <tableColumn id="7" xr3:uid="{F1D10DF5-AA40-4ED8-905B-5109CC95CD23}" name="End Time" dataDxfId="43"/>
    <tableColumn id="8" xr3:uid="{1F4C1ABF-846E-47C1-BA9D-9BDDE73923CE}" name="Subject" dataDxfId="42"/>
    <tableColumn id="9" xr3:uid="{FE78BCF0-E1A5-4C25-A0AD-B6A07E4AFFCD}" name="Booked By" dataDxfId="41"/>
    <tableColumn id="10" xr3:uid="{795C3AC6-9368-4931-A2A8-1A949FB951FE}" name="Booked For" dataDxfId="40"/>
    <tableColumn id="11" xr3:uid="{8707697E-7572-437F-9CE5-6EA52A0ADA86}" name="No. Of Attendees" dataDxfId="39"/>
    <tableColumn id="12" xr3:uid="{BDC8706A-31FC-423D-B1D1-64D62CCF4903}" name="Attendees' Email" dataDxfId="38"/>
    <tableColumn id="13" xr3:uid="{2364E5CD-F66D-4D82-A527-6D9FA1C30D1F}" name="Remark" dataDxfId="37"/>
    <tableColumn id="14" xr3:uid="{8E2D1447-8FC8-4737-8F71-047CEFA03764}" name="Trans Date" dataDxfId="36"/>
    <tableColumn id="15" xr3:uid="{0EE784A0-B762-4ECE-AB81-65BC131F1F44}" name="Status on _x000a_WSO" dataDxfId="35"/>
    <tableColumn id="16" xr3:uid="{3762FB70-8F95-46E5-ABFE-6F42A05D2194}" name="Discount_x000a_(%)" dataDxfId="34"/>
    <tableColumn id="17" xr3:uid="{3F3C221C-1340-4954-A87C-BF7D214A9A3D}" name="Fee charge per day / half day (VND)" dataDxfId="33" dataCellStyle="Comma">
      <calculatedColumnFormula>IF((S7-T7)&gt;=8,R7*6,IF(AND((S7-T7)&lt;8,(S7-T7)&gt;=4),R7*3,0))</calculatedColumnFormula>
    </tableColumn>
    <tableColumn id="18" xr3:uid="{7D25C297-DFC1-4677-B687-6686DAF1B43F}" name="Fee charge per hour (VND)" dataDxfId="32" dataCellStyle="Comma"/>
    <tableColumn id="19" xr3:uid="{D452C19B-8726-4E5B-98F2-58420B9EE919}" name="Total hour(s)_x000a_used" dataDxfId="31">
      <calculatedColumnFormula>(G7-F7)/100</calculatedColumnFormula>
    </tableColumn>
    <tableColumn id="20" xr3:uid="{D930A458-DB14-4288-B256-6E30A7018469}" name="Total FOC hours" dataDxfId="30"/>
    <tableColumn id="21" xr3:uid="{80654630-4167-4999-8AB3-7EF09F7C7CD3}" name="Additional sevices charged (VND)" dataDxfId="29"/>
    <tableColumn id="22" xr3:uid="{B5A220C4-113E-4382-A3FF-6C400CD9405D}" name="Amount (VND)" dataDxfId="28">
      <calculatedColumnFormula>S7*R7*(100-P7)/100</calculatedColumnFormula>
    </tableColumn>
    <tableColumn id="23" xr3:uid="{55667D79-DABA-43D9-990C-D7E528401B26}" name="Actual billing Amount" dataDxfId="27"/>
    <tableColumn id="24" xr3:uid="{2F908E3A-EE9F-4DEB-B92A-50E588218100}" name="DATE" dataDxfId="2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76799A-16BF-427A-8422-202C932F57F0}" name="Table1" displayName="Table1" ref="A5:X32" totalsRowCount="1" headerRowDxfId="104" dataDxfId="102" headerRowBorderDxfId="103" tableBorderDxfId="101" totalsRowBorderDxfId="100">
  <autoFilter ref="A5:X31" xr:uid="{3476799A-16BF-427A-8422-202C932F57F0}">
    <filterColumn colId="0">
      <filters>
        <filter val="BOOKING.COM"/>
        <filter val="CDI"/>
        <filter val="CHANEL"/>
        <filter val="COSMOS"/>
        <filter val="CROCS"/>
        <filter val="DAIWA"/>
        <filter val="KASIKORN"/>
        <filter val="LGS"/>
        <filter val="MCKINSEY"/>
        <filter val="VIETPETRO"/>
      </filters>
    </filterColumn>
    <filterColumn colId="14">
      <filters>
        <filter val="approved"/>
      </filters>
    </filterColumn>
  </autoFilter>
  <tableColumns count="24">
    <tableColumn id="1" xr3:uid="{9AD16FAF-837C-4442-BBC4-140B07310081}" name="No." totalsRowLabel="Total" dataDxfId="99" totalsRowDxfId="98"/>
    <tableColumn id="2" xr3:uid="{344A43C6-4E85-47B0-A38A-38537E1DCD25}" name="No.2" dataDxfId="97" totalsRowDxfId="96">
      <calculatedColumnFormula>ROW()-6</calculatedColumnFormula>
    </tableColumn>
    <tableColumn id="3" xr3:uid="{7766CFB0-0BDD-4DD3-B70A-3D5662A31DA5}" name="BookID" dataDxfId="95" totalsRowDxfId="94"/>
    <tableColumn id="4" xr3:uid="{A0C8FA5E-B7A5-4BD2-9300-EEEB6CB884C4}" name="Facility" dataDxfId="93" totalsRowDxfId="92"/>
    <tableColumn id="5" xr3:uid="{C7C884B4-B9FB-4CA1-893A-5695BB7B9FAB}" name="Book Date" dataDxfId="91" totalsRowDxfId="90"/>
    <tableColumn id="6" xr3:uid="{BD741D09-2E2E-47AC-9EE6-75F4E4EB8DD3}" name="Start Time" dataDxfId="89" totalsRowDxfId="88"/>
    <tableColumn id="7" xr3:uid="{9A48EF95-E834-4BCE-9816-986049330040}" name="End Time" dataDxfId="87" totalsRowDxfId="86"/>
    <tableColumn id="8" xr3:uid="{9438DA77-2E42-4373-A375-08ECA43BD81F}" name="Subject" dataDxfId="85" totalsRowDxfId="84"/>
    <tableColumn id="9" xr3:uid="{F3712E93-9751-4698-8D77-DB557B9102D0}" name="Booked By" dataDxfId="83" totalsRowDxfId="82"/>
    <tableColumn id="10" xr3:uid="{AC28B4AC-A0C7-418E-BB9A-3074986761A6}" name="Booked For" dataDxfId="81" totalsRowDxfId="80"/>
    <tableColumn id="11" xr3:uid="{CE86FFBB-8102-452C-96DD-ADAE58075871}" name="No. Of Attendees" dataDxfId="79" totalsRowDxfId="78"/>
    <tableColumn id="12" xr3:uid="{51F5D089-69BA-4EFF-99C9-58112EDC3606}" name="Attendees' Email" dataDxfId="77" totalsRowDxfId="76"/>
    <tableColumn id="13" xr3:uid="{A56F0D33-44E5-47FE-BDA5-A8CFF5BB80FF}" name="Remark" dataDxfId="75" totalsRowDxfId="74"/>
    <tableColumn id="14" xr3:uid="{518FB7F4-E57F-404C-9DF6-A949DF2E6C3B}" name="Trans Date" dataDxfId="73" totalsRowDxfId="72"/>
    <tableColumn id="15" xr3:uid="{86251866-C562-4CC3-8013-5D66B446CAE2}" name="Status on _x000a_WSO" dataDxfId="71" totalsRowDxfId="70"/>
    <tableColumn id="16" xr3:uid="{100D9A23-E98D-4C51-95DE-657F759A35AB}" name="Discount_x000a_(%)" dataDxfId="69" totalsRowDxfId="68"/>
    <tableColumn id="17" xr3:uid="{07072570-69A9-4244-85C9-860A706D95F7}" name="Fee charge per day / half day (VND)" dataDxfId="67" totalsRowDxfId="66" dataCellStyle="Comma"/>
    <tableColumn id="18" xr3:uid="{E0628C7F-4F54-4EDE-8CF5-ACA0B10C568D}" name="Fee charge per hour (VND)" dataDxfId="65" totalsRowDxfId="64" dataCellStyle="Comma"/>
    <tableColumn id="19" xr3:uid="{A37D087A-BE94-4AF1-9957-D0D650C1AC7B}" name="Total hour(s)_x000a_used" dataDxfId="63" totalsRowDxfId="62"/>
    <tableColumn id="20" xr3:uid="{D3EB1366-5A62-41AD-B1EB-795142CA0D7E}" name="Calculated Hours" dataDxfId="61" totalsRowDxfId="60"/>
    <tableColumn id="21" xr3:uid="{7B419520-DD3B-4BA1-8A40-F3EA9706E177}" name="Total FOC hours" dataDxfId="59" totalsRowDxfId="58"/>
    <tableColumn id="22" xr3:uid="{8BF54FDC-99C4-4716-9D8E-9B2BFFC5F6CA}" name="Additional sevices charged (VND)" dataDxfId="57" totalsRowDxfId="56"/>
    <tableColumn id="23" xr3:uid="{9197919E-624A-416A-872B-42072E9EFA9E}" name="Amount (VND)" dataDxfId="55" totalsRowDxfId="54" dataCellStyle="Comma">
      <calculatedColumnFormula>T6*R6*(100-P6)/100</calculatedColumnFormula>
    </tableColumn>
    <tableColumn id="24" xr3:uid="{0191E861-70CD-4213-8E78-54122150DDC4}" name="Actual billing Amount" totalsRowFunction="sum" dataDxfId="53" totalsRowDxfId="52">
      <calculatedColumnFormula>(Q6+(((T6-U6)-0)*R6))*((100-P6)/100)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microsoft.com/office/2019/04/relationships/namedSheetView" Target="../namedSheetViews/namedSheetView1.xml"/><Relationship Id="rId4" Type="http://schemas.openxmlformats.org/officeDocument/2006/relationships/comments" Target="../comments4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DBA21-3BD8-40EB-B78D-0CFDFA8E7275}">
  <sheetPr codeName="Sheet2" filterMode="1">
    <pageSetUpPr fitToPage="1"/>
  </sheetPr>
  <dimension ref="A2:AE84"/>
  <sheetViews>
    <sheetView topLeftCell="A8" workbookViewId="0">
      <selection activeCell="E23" sqref="E23"/>
    </sheetView>
  </sheetViews>
  <sheetFormatPr defaultColWidth="9.1796875" defaultRowHeight="14.5"/>
  <cols>
    <col min="1" max="2" width="8.81640625" style="100" customWidth="1"/>
    <col min="3" max="3" width="8.81640625" style="100" bestFit="1" customWidth="1"/>
    <col min="4" max="4" width="27.26953125" style="100" customWidth="1"/>
    <col min="5" max="5" width="13.81640625" style="68" customWidth="1"/>
    <col min="6" max="6" width="8.81640625" style="100" bestFit="1" customWidth="1"/>
    <col min="7" max="7" width="10" style="100" customWidth="1"/>
    <col min="8" max="8" width="25.54296875" style="100" customWidth="1"/>
    <col min="9" max="9" width="11.26953125" style="59" customWidth="1"/>
    <col min="10" max="10" width="12" style="59" customWidth="1"/>
    <col min="11" max="11" width="9.26953125" style="100" customWidth="1"/>
    <col min="12" max="12" width="14.1796875" style="100" customWidth="1"/>
    <col min="13" max="13" width="10.26953125" style="100" customWidth="1"/>
    <col min="14" max="14" width="22.26953125" style="157" customWidth="1"/>
    <col min="15" max="15" width="12.54296875" style="100" customWidth="1"/>
    <col min="16" max="16" width="9.1796875" style="100"/>
    <col min="17" max="17" width="13.26953125" style="101" customWidth="1"/>
    <col min="18" max="18" width="11.26953125" style="100" bestFit="1" customWidth="1"/>
    <col min="19" max="20" width="9.1796875" style="100"/>
    <col min="21" max="21" width="12.54296875" style="100" bestFit="1" customWidth="1"/>
    <col min="22" max="22" width="14.26953125" style="101" customWidth="1"/>
    <col min="23" max="23" width="10.26953125" style="100" bestFit="1" customWidth="1"/>
    <col min="24" max="16384" width="9.1796875" style="100"/>
  </cols>
  <sheetData>
    <row r="2" spans="1:31" s="57" customFormat="1" ht="20.25" customHeight="1">
      <c r="A2" s="2112" t="s">
        <v>0</v>
      </c>
      <c r="B2" s="2112"/>
      <c r="C2" s="2112"/>
      <c r="D2" s="2112"/>
      <c r="E2" s="2113"/>
      <c r="F2" s="2112"/>
      <c r="G2" s="2112"/>
      <c r="H2" s="2112"/>
      <c r="I2" s="2112"/>
      <c r="J2" s="2112"/>
      <c r="K2" s="2114"/>
      <c r="L2" s="2112"/>
      <c r="M2" s="2113"/>
      <c r="N2" s="2115"/>
      <c r="O2" s="2114"/>
      <c r="P2" s="2112"/>
      <c r="Q2" s="2112"/>
      <c r="R2" s="2112"/>
      <c r="S2" s="2112"/>
      <c r="T2" s="2112"/>
      <c r="U2" s="2112"/>
      <c r="V2" s="53"/>
      <c r="W2" s="54"/>
      <c r="X2" s="52"/>
      <c r="Y2" s="55"/>
      <c r="Z2" s="56"/>
      <c r="AD2" s="58"/>
      <c r="AE2" s="59" t="s">
        <v>1</v>
      </c>
    </row>
    <row r="3" spans="1:31" s="57" customFormat="1" ht="20.25" customHeight="1">
      <c r="A3" s="2116" t="s">
        <v>2</v>
      </c>
      <c r="B3" s="2116"/>
      <c r="C3" s="2116"/>
      <c r="D3" s="2116"/>
      <c r="E3" s="2117"/>
      <c r="F3" s="2116"/>
      <c r="G3" s="2116"/>
      <c r="H3" s="2116"/>
      <c r="I3" s="2116"/>
      <c r="J3" s="2116"/>
      <c r="K3" s="2118"/>
      <c r="L3" s="2116"/>
      <c r="M3" s="2117"/>
      <c r="N3" s="2119"/>
      <c r="O3" s="2118"/>
      <c r="P3" s="2116"/>
      <c r="Q3" s="2116"/>
      <c r="R3" s="2116"/>
      <c r="S3" s="2116"/>
      <c r="T3" s="2116"/>
      <c r="U3" s="2116"/>
      <c r="V3" s="61"/>
      <c r="W3" s="62"/>
      <c r="X3" s="60"/>
      <c r="Y3" s="63"/>
      <c r="Z3" s="56"/>
      <c r="AD3" s="64"/>
      <c r="AE3" s="59" t="s">
        <v>3</v>
      </c>
    </row>
    <row r="4" spans="1:31" s="57" customFormat="1" ht="20.25" customHeight="1">
      <c r="A4" s="2116" t="s">
        <v>4</v>
      </c>
      <c r="B4" s="2116"/>
      <c r="C4" s="2116"/>
      <c r="D4" s="2116"/>
      <c r="E4" s="2117"/>
      <c r="F4" s="2116"/>
      <c r="G4" s="2116"/>
      <c r="H4" s="2116"/>
      <c r="I4" s="2116"/>
      <c r="J4" s="2116"/>
      <c r="K4" s="2118"/>
      <c r="L4" s="2116"/>
      <c r="M4" s="2117"/>
      <c r="N4" s="2119"/>
      <c r="O4" s="2118"/>
      <c r="P4" s="2116"/>
      <c r="Q4" s="2116"/>
      <c r="R4" s="2116"/>
      <c r="S4" s="2116"/>
      <c r="T4" s="2116"/>
      <c r="U4" s="2116"/>
      <c r="V4" s="61"/>
      <c r="W4" s="62"/>
      <c r="X4" s="60"/>
      <c r="Y4" s="63"/>
      <c r="Z4" s="56"/>
      <c r="AD4" s="65"/>
      <c r="AE4" s="59" t="s">
        <v>5</v>
      </c>
    </row>
    <row r="5" spans="1:31" s="57" customFormat="1" ht="6" customHeight="1">
      <c r="D5" s="66"/>
      <c r="E5" s="67"/>
      <c r="F5" s="67"/>
      <c r="G5" s="67"/>
      <c r="H5" s="66"/>
      <c r="I5" s="66"/>
      <c r="J5" s="66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</row>
    <row r="6" spans="1:31" s="79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61" t="s">
        <v>13</v>
      </c>
      <c r="J6" s="159" t="s">
        <v>14</v>
      </c>
      <c r="K6" s="159" t="s">
        <v>15</v>
      </c>
      <c r="L6" s="134" t="s">
        <v>16</v>
      </c>
      <c r="M6" s="134" t="s">
        <v>17</v>
      </c>
      <c r="N6" s="319" t="s">
        <v>18</v>
      </c>
      <c r="O6" s="320" t="s">
        <v>19</v>
      </c>
      <c r="P6" s="134" t="s">
        <v>20</v>
      </c>
      <c r="Q6" s="321" t="s">
        <v>21</v>
      </c>
      <c r="R6" s="74" t="s">
        <v>22</v>
      </c>
      <c r="S6" s="74" t="s">
        <v>23</v>
      </c>
      <c r="T6" s="74" t="s">
        <v>24</v>
      </c>
      <c r="U6" s="78" t="s">
        <v>25</v>
      </c>
      <c r="V6" s="134" t="s">
        <v>26</v>
      </c>
      <c r="Z6" s="72" t="s">
        <v>27</v>
      </c>
      <c r="AA6" s="80" t="s">
        <v>28</v>
      </c>
      <c r="AB6" s="74" t="s">
        <v>29</v>
      </c>
      <c r="AC6" s="72" t="s">
        <v>30</v>
      </c>
    </row>
    <row r="7" spans="1:31" s="82" customFormat="1" ht="13" hidden="1">
      <c r="A7" s="81">
        <f>ROW()-6</f>
        <v>1</v>
      </c>
      <c r="B7" s="81">
        <v>1</v>
      </c>
      <c r="C7" s="258" t="s">
        <v>31</v>
      </c>
      <c r="D7" s="259" t="s">
        <v>32</v>
      </c>
      <c r="E7" s="260" t="s">
        <v>33</v>
      </c>
      <c r="F7" s="86">
        <v>1400</v>
      </c>
      <c r="G7" s="86">
        <v>1700</v>
      </c>
      <c r="H7" s="261" t="s">
        <v>34</v>
      </c>
      <c r="I7" s="261" t="s">
        <v>35</v>
      </c>
      <c r="J7" s="261" t="s">
        <v>36</v>
      </c>
      <c r="K7" s="315" t="s">
        <v>37</v>
      </c>
      <c r="L7" s="294"/>
      <c r="M7" s="295" t="s">
        <v>38</v>
      </c>
      <c r="N7" s="296" t="s">
        <v>39</v>
      </c>
      <c r="O7" s="276" t="s">
        <v>40</v>
      </c>
      <c r="P7" s="297" t="s">
        <v>41</v>
      </c>
      <c r="Q7" s="274"/>
      <c r="R7" s="275">
        <v>950000</v>
      </c>
      <c r="S7" s="162">
        <f>(G7-F7)/100</f>
        <v>3</v>
      </c>
      <c r="T7" s="259"/>
      <c r="U7" s="270">
        <f t="shared" ref="U7:U31" si="0">S7*R7*(100-P7)/100</f>
        <v>0</v>
      </c>
      <c r="V7" s="165">
        <f t="shared" ref="V7:V14" si="1">U7</f>
        <v>0</v>
      </c>
      <c r="W7" s="90"/>
      <c r="X7" s="91"/>
      <c r="Y7" s="90"/>
    </row>
    <row r="8" spans="1:31" s="82" customFormat="1" ht="13">
      <c r="A8" s="81">
        <f t="shared" ref="A8:A72" si="2">ROW()-6</f>
        <v>2</v>
      </c>
      <c r="B8" s="81">
        <v>2</v>
      </c>
      <c r="C8" s="258" t="s">
        <v>42</v>
      </c>
      <c r="D8" s="259" t="s">
        <v>43</v>
      </c>
      <c r="E8" s="260" t="s">
        <v>44</v>
      </c>
      <c r="F8" s="86">
        <v>1300</v>
      </c>
      <c r="G8" s="86">
        <v>1400</v>
      </c>
      <c r="H8" s="261" t="s">
        <v>45</v>
      </c>
      <c r="I8" s="261" t="s">
        <v>35</v>
      </c>
      <c r="J8" s="261" t="s">
        <v>36</v>
      </c>
      <c r="K8" s="315" t="s">
        <v>46</v>
      </c>
      <c r="L8" s="294"/>
      <c r="M8" s="295" t="s">
        <v>47</v>
      </c>
      <c r="N8" s="296" t="s">
        <v>48</v>
      </c>
      <c r="O8" s="276" t="s">
        <v>40</v>
      </c>
      <c r="P8" s="297"/>
      <c r="Q8" s="274"/>
      <c r="R8" s="275">
        <v>500000</v>
      </c>
      <c r="S8" s="162">
        <f t="shared" ref="S8:S71" si="3">(G8-F8)/100</f>
        <v>1</v>
      </c>
      <c r="T8" s="259"/>
      <c r="U8" s="270">
        <f t="shared" si="0"/>
        <v>500000</v>
      </c>
      <c r="V8" s="124">
        <f t="shared" si="1"/>
        <v>500000</v>
      </c>
      <c r="W8" s="90"/>
      <c r="X8" s="91"/>
      <c r="Y8" s="90"/>
    </row>
    <row r="9" spans="1:31" s="82" customFormat="1" ht="13">
      <c r="A9" s="81">
        <f t="shared" si="2"/>
        <v>3</v>
      </c>
      <c r="B9" s="81">
        <v>3</v>
      </c>
      <c r="C9" s="258" t="s">
        <v>49</v>
      </c>
      <c r="D9" s="259" t="s">
        <v>43</v>
      </c>
      <c r="E9" s="260" t="s">
        <v>50</v>
      </c>
      <c r="F9" s="86">
        <v>1500</v>
      </c>
      <c r="G9" s="86">
        <v>1700</v>
      </c>
      <c r="H9" s="293" t="s">
        <v>51</v>
      </c>
      <c r="I9" s="262" t="s">
        <v>35</v>
      </c>
      <c r="J9" s="262" t="s">
        <v>52</v>
      </c>
      <c r="K9" s="315" t="s">
        <v>46</v>
      </c>
      <c r="L9" s="294"/>
      <c r="M9" s="295" t="s">
        <v>53</v>
      </c>
      <c r="N9" s="296" t="s">
        <v>54</v>
      </c>
      <c r="O9" s="276" t="s">
        <v>40</v>
      </c>
      <c r="P9" s="297"/>
      <c r="Q9" s="298"/>
      <c r="R9" s="275">
        <v>500000</v>
      </c>
      <c r="S9" s="162">
        <f t="shared" si="3"/>
        <v>2</v>
      </c>
      <c r="T9" s="259"/>
      <c r="U9" s="270">
        <f t="shared" si="0"/>
        <v>1000000</v>
      </c>
      <c r="V9" s="124">
        <f t="shared" si="1"/>
        <v>1000000</v>
      </c>
      <c r="W9" s="90"/>
      <c r="X9" s="91"/>
      <c r="Y9" s="90"/>
    </row>
    <row r="10" spans="1:31" s="82" customFormat="1" ht="13">
      <c r="A10" s="81">
        <f t="shared" si="2"/>
        <v>4</v>
      </c>
      <c r="B10" s="81">
        <v>4</v>
      </c>
      <c r="C10" s="258" t="s">
        <v>55</v>
      </c>
      <c r="D10" s="259" t="s">
        <v>32</v>
      </c>
      <c r="E10" s="260" t="s">
        <v>50</v>
      </c>
      <c r="F10" s="86">
        <v>1430</v>
      </c>
      <c r="G10" s="86">
        <v>1500</v>
      </c>
      <c r="H10" s="293" t="s">
        <v>51</v>
      </c>
      <c r="I10" s="262" t="s">
        <v>35</v>
      </c>
      <c r="J10" s="262" t="s">
        <v>52</v>
      </c>
      <c r="K10" s="315" t="s">
        <v>56</v>
      </c>
      <c r="L10" s="294"/>
      <c r="M10" s="295" t="s">
        <v>53</v>
      </c>
      <c r="N10" s="296" t="s">
        <v>57</v>
      </c>
      <c r="O10" s="276" t="s">
        <v>40</v>
      </c>
      <c r="P10" s="297"/>
      <c r="Q10" s="298"/>
      <c r="R10" s="275">
        <v>950000</v>
      </c>
      <c r="S10" s="162">
        <f>(G10-1450)/100</f>
        <v>0.5</v>
      </c>
      <c r="T10" s="259"/>
      <c r="U10" s="270">
        <f>S10*R10*(100-P10)/100</f>
        <v>475000</v>
      </c>
      <c r="V10" s="124">
        <f t="shared" si="1"/>
        <v>475000</v>
      </c>
      <c r="W10" s="91"/>
      <c r="X10" s="91"/>
      <c r="Y10" s="90"/>
    </row>
    <row r="11" spans="1:31" s="82" customFormat="1" ht="13">
      <c r="A11" s="81">
        <f t="shared" si="2"/>
        <v>5</v>
      </c>
      <c r="B11" s="81">
        <v>5</v>
      </c>
      <c r="C11" s="94">
        <v>4065</v>
      </c>
      <c r="D11" s="259" t="s">
        <v>32</v>
      </c>
      <c r="E11" s="258" t="s">
        <v>50</v>
      </c>
      <c r="F11" s="86">
        <v>1330</v>
      </c>
      <c r="G11" s="86">
        <v>1430</v>
      </c>
      <c r="H11" s="94" t="s">
        <v>51</v>
      </c>
      <c r="I11" s="140" t="s">
        <v>35</v>
      </c>
      <c r="J11" s="140" t="s">
        <v>52</v>
      </c>
      <c r="K11" s="316">
        <v>5</v>
      </c>
      <c r="L11" s="132"/>
      <c r="M11" s="295" t="s">
        <v>53</v>
      </c>
      <c r="N11" s="281" t="s">
        <v>58</v>
      </c>
      <c r="O11" s="276" t="s">
        <v>40</v>
      </c>
      <c r="P11" s="132"/>
      <c r="Q11" s="298"/>
      <c r="R11" s="275">
        <v>950000</v>
      </c>
      <c r="S11" s="162">
        <f t="shared" si="3"/>
        <v>1</v>
      </c>
      <c r="T11" s="94"/>
      <c r="U11" s="270">
        <f t="shared" si="0"/>
        <v>950000</v>
      </c>
      <c r="V11" s="124">
        <f t="shared" si="1"/>
        <v>950000</v>
      </c>
      <c r="W11" s="83"/>
    </row>
    <row r="12" spans="1:31" s="82" customFormat="1" ht="26">
      <c r="A12" s="81">
        <f t="shared" si="2"/>
        <v>6</v>
      </c>
      <c r="B12" s="81">
        <v>6</v>
      </c>
      <c r="C12" s="258" t="s">
        <v>59</v>
      </c>
      <c r="D12" s="259" t="s">
        <v>43</v>
      </c>
      <c r="E12" s="258" t="s">
        <v>50</v>
      </c>
      <c r="F12" s="86">
        <v>1330</v>
      </c>
      <c r="G12" s="86">
        <v>1430</v>
      </c>
      <c r="H12" s="261" t="s">
        <v>60</v>
      </c>
      <c r="I12" s="261" t="s">
        <v>35</v>
      </c>
      <c r="J12" s="261" t="s">
        <v>36</v>
      </c>
      <c r="K12" s="315" t="s">
        <v>61</v>
      </c>
      <c r="L12" s="132"/>
      <c r="M12" s="295" t="s">
        <v>62</v>
      </c>
      <c r="N12" s="280" t="s">
        <v>63</v>
      </c>
      <c r="O12" s="276" t="s">
        <v>40</v>
      </c>
      <c r="P12" s="297" t="s">
        <v>64</v>
      </c>
      <c r="Q12" s="298"/>
      <c r="R12" s="275">
        <v>500000</v>
      </c>
      <c r="S12" s="162">
        <f t="shared" si="3"/>
        <v>1</v>
      </c>
      <c r="T12" s="259"/>
      <c r="U12" s="270">
        <f t="shared" si="0"/>
        <v>450000</v>
      </c>
      <c r="V12" s="124">
        <f t="shared" si="1"/>
        <v>450000</v>
      </c>
      <c r="W12" s="90"/>
      <c r="X12" s="91"/>
      <c r="Y12" s="90"/>
    </row>
    <row r="13" spans="1:31" s="82" customFormat="1" ht="13">
      <c r="A13" s="81">
        <f t="shared" si="2"/>
        <v>7</v>
      </c>
      <c r="B13" s="81">
        <v>7</v>
      </c>
      <c r="C13" s="94">
        <v>4062</v>
      </c>
      <c r="D13" s="259" t="s">
        <v>65</v>
      </c>
      <c r="E13" s="258" t="s">
        <v>66</v>
      </c>
      <c r="F13" s="86">
        <v>1430</v>
      </c>
      <c r="G13" s="86">
        <v>1600</v>
      </c>
      <c r="H13" s="94" t="s">
        <v>67</v>
      </c>
      <c r="I13" s="140" t="s">
        <v>35</v>
      </c>
      <c r="J13" s="140" t="s">
        <v>36</v>
      </c>
      <c r="K13" s="315" t="s">
        <v>61</v>
      </c>
      <c r="L13" s="132"/>
      <c r="M13" s="132" t="s">
        <v>62</v>
      </c>
      <c r="N13" s="281" t="s">
        <v>68</v>
      </c>
      <c r="O13" s="276" t="s">
        <v>40</v>
      </c>
      <c r="P13" s="297">
        <v>10</v>
      </c>
      <c r="Q13" s="298"/>
      <c r="R13" s="275">
        <v>180000</v>
      </c>
      <c r="S13" s="162">
        <f>(G13-1450)/100</f>
        <v>1.5</v>
      </c>
      <c r="T13" s="94"/>
      <c r="U13" s="270">
        <f t="shared" si="0"/>
        <v>243000</v>
      </c>
      <c r="V13" s="124">
        <f t="shared" si="1"/>
        <v>243000</v>
      </c>
    </row>
    <row r="14" spans="1:31" s="82" customFormat="1">
      <c r="A14" s="81">
        <f t="shared" si="2"/>
        <v>8</v>
      </c>
      <c r="B14" s="81">
        <v>8</v>
      </c>
      <c r="C14" s="258" t="s">
        <v>69</v>
      </c>
      <c r="D14" s="259" t="s">
        <v>32</v>
      </c>
      <c r="E14" s="258" t="s">
        <v>70</v>
      </c>
      <c r="F14" s="86">
        <v>1630</v>
      </c>
      <c r="G14" s="86">
        <v>1730</v>
      </c>
      <c r="H14" s="261" t="s">
        <v>71</v>
      </c>
      <c r="I14" s="140" t="s">
        <v>35</v>
      </c>
      <c r="J14" s="140" t="s">
        <v>36</v>
      </c>
      <c r="K14" s="315" t="s">
        <v>37</v>
      </c>
      <c r="L14" s="132"/>
      <c r="M14" s="132" t="s">
        <v>72</v>
      </c>
      <c r="N14" s="271" t="s">
        <v>73</v>
      </c>
      <c r="O14" s="276" t="s">
        <v>40</v>
      </c>
      <c r="P14" s="272"/>
      <c r="Q14" s="274"/>
      <c r="R14" s="275">
        <v>950000</v>
      </c>
      <c r="S14" s="162">
        <f t="shared" si="3"/>
        <v>1</v>
      </c>
      <c r="T14" s="259"/>
      <c r="U14" s="270">
        <f t="shared" si="0"/>
        <v>950000</v>
      </c>
      <c r="V14" s="124">
        <f t="shared" si="1"/>
        <v>950000</v>
      </c>
      <c r="W14" s="90"/>
      <c r="X14" s="91"/>
      <c r="Y14" s="90"/>
    </row>
    <row r="15" spans="1:31" s="82" customFormat="1" ht="14">
      <c r="A15" s="263">
        <f t="shared" si="2"/>
        <v>9</v>
      </c>
      <c r="B15" s="263">
        <v>9</v>
      </c>
      <c r="C15" s="264" t="s">
        <v>74</v>
      </c>
      <c r="D15" s="265" t="s">
        <v>75</v>
      </c>
      <c r="E15" s="264" t="s">
        <v>66</v>
      </c>
      <c r="F15" s="266">
        <v>900</v>
      </c>
      <c r="G15" s="266">
        <v>1800</v>
      </c>
      <c r="H15" s="267" t="s">
        <v>45</v>
      </c>
      <c r="I15" s="268" t="s">
        <v>35</v>
      </c>
      <c r="J15" s="268" t="s">
        <v>36</v>
      </c>
      <c r="K15" s="317" t="s">
        <v>76</v>
      </c>
      <c r="L15" s="132"/>
      <c r="M15" s="299" t="s">
        <v>47</v>
      </c>
      <c r="N15" s="324" t="s">
        <v>77</v>
      </c>
      <c r="O15" s="300" t="s">
        <v>40</v>
      </c>
      <c r="P15" s="301"/>
      <c r="Q15" s="302">
        <f>R15*6</f>
        <v>3000000</v>
      </c>
      <c r="R15" s="275">
        <v>500000</v>
      </c>
      <c r="S15" s="162">
        <f t="shared" si="3"/>
        <v>9</v>
      </c>
      <c r="T15" s="265"/>
      <c r="U15" s="273">
        <f>S15*R15*(100-P15)/100</f>
        <v>4500000</v>
      </c>
      <c r="V15" s="124">
        <f t="shared" ref="V15:V55" si="4">Q15+((S15-8)*R15)</f>
        <v>3500000</v>
      </c>
      <c r="W15" s="90"/>
      <c r="X15" s="91"/>
      <c r="Y15" s="90"/>
    </row>
    <row r="16" spans="1:31" s="82" customFormat="1">
      <c r="A16" s="81">
        <f t="shared" si="2"/>
        <v>10</v>
      </c>
      <c r="B16" s="81">
        <v>10</v>
      </c>
      <c r="C16" s="258" t="s">
        <v>78</v>
      </c>
      <c r="D16" s="259" t="s">
        <v>43</v>
      </c>
      <c r="E16" s="258" t="s">
        <v>66</v>
      </c>
      <c r="F16" s="86">
        <v>900</v>
      </c>
      <c r="G16" s="86">
        <v>1800</v>
      </c>
      <c r="H16" s="261" t="s">
        <v>45</v>
      </c>
      <c r="I16" s="140" t="s">
        <v>35</v>
      </c>
      <c r="J16" s="140" t="s">
        <v>36</v>
      </c>
      <c r="K16" s="315" t="s">
        <v>76</v>
      </c>
      <c r="L16" s="132"/>
      <c r="M16" s="132" t="s">
        <v>47</v>
      </c>
      <c r="N16" s="325" t="s">
        <v>79</v>
      </c>
      <c r="O16" s="276" t="s">
        <v>40</v>
      </c>
      <c r="P16" s="272"/>
      <c r="Q16" s="298">
        <f>R16*6</f>
        <v>3000000</v>
      </c>
      <c r="R16" s="275">
        <v>500000</v>
      </c>
      <c r="S16" s="162">
        <f t="shared" si="3"/>
        <v>9</v>
      </c>
      <c r="T16" s="259"/>
      <c r="U16" s="270">
        <f t="shared" si="0"/>
        <v>4500000</v>
      </c>
      <c r="V16" s="124">
        <f t="shared" si="4"/>
        <v>3500000</v>
      </c>
      <c r="W16" s="90"/>
      <c r="X16" s="91"/>
      <c r="Y16" s="90"/>
    </row>
    <row r="17" spans="1:25" s="82" customFormat="1">
      <c r="A17" s="81">
        <f t="shared" si="2"/>
        <v>11</v>
      </c>
      <c r="B17" s="81">
        <v>11</v>
      </c>
      <c r="C17" s="258" t="s">
        <v>80</v>
      </c>
      <c r="D17" s="259" t="s">
        <v>43</v>
      </c>
      <c r="E17" s="258" t="s">
        <v>81</v>
      </c>
      <c r="F17" s="86">
        <v>1200</v>
      </c>
      <c r="G17" s="86">
        <v>1230</v>
      </c>
      <c r="H17" s="261" t="s">
        <v>82</v>
      </c>
      <c r="I17" s="140" t="s">
        <v>35</v>
      </c>
      <c r="J17" s="140" t="s">
        <v>36</v>
      </c>
      <c r="K17" s="315" t="s">
        <v>76</v>
      </c>
      <c r="L17" s="132"/>
      <c r="M17" s="132" t="s">
        <v>83</v>
      </c>
      <c r="N17" s="271" t="s">
        <v>84</v>
      </c>
      <c r="O17" s="276" t="s">
        <v>40</v>
      </c>
      <c r="P17" s="272"/>
      <c r="Q17" s="274"/>
      <c r="R17" s="275">
        <v>500000</v>
      </c>
      <c r="S17" s="162">
        <f>(1250-F17)/100</f>
        <v>0.5</v>
      </c>
      <c r="T17" s="259"/>
      <c r="U17" s="270">
        <f t="shared" si="0"/>
        <v>250000</v>
      </c>
      <c r="V17" s="124">
        <f>U17</f>
        <v>250000</v>
      </c>
      <c r="W17" s="90"/>
      <c r="X17" s="91"/>
      <c r="Y17" s="90"/>
    </row>
    <row r="18" spans="1:25" s="82" customFormat="1" hidden="1">
      <c r="A18" s="81">
        <f t="shared" si="2"/>
        <v>12</v>
      </c>
      <c r="B18" s="81">
        <v>12</v>
      </c>
      <c r="C18" s="258" t="s">
        <v>85</v>
      </c>
      <c r="D18" s="259" t="s">
        <v>32</v>
      </c>
      <c r="E18" s="258" t="s">
        <v>66</v>
      </c>
      <c r="F18" s="86">
        <v>1300</v>
      </c>
      <c r="G18" s="86">
        <v>1700</v>
      </c>
      <c r="H18" s="261" t="s">
        <v>86</v>
      </c>
      <c r="I18" s="140" t="s">
        <v>87</v>
      </c>
      <c r="J18" s="140" t="s">
        <v>88</v>
      </c>
      <c r="K18" s="315" t="s">
        <v>61</v>
      </c>
      <c r="L18" s="132"/>
      <c r="M18" s="132" t="s">
        <v>89</v>
      </c>
      <c r="N18" s="271" t="s">
        <v>90</v>
      </c>
      <c r="O18" s="276" t="s">
        <v>40</v>
      </c>
      <c r="P18" s="272"/>
      <c r="Q18" s="303"/>
      <c r="R18" s="275">
        <v>950000</v>
      </c>
      <c r="S18" s="162">
        <f t="shared" si="3"/>
        <v>4</v>
      </c>
      <c r="T18" s="94"/>
      <c r="U18" s="270">
        <f t="shared" si="0"/>
        <v>3800000</v>
      </c>
      <c r="V18" s="165">
        <f t="shared" si="4"/>
        <v>-3800000</v>
      </c>
    </row>
    <row r="19" spans="1:25" s="82" customFormat="1">
      <c r="A19" s="81">
        <f t="shared" si="2"/>
        <v>13</v>
      </c>
      <c r="B19" s="81">
        <v>13</v>
      </c>
      <c r="C19" s="258" t="s">
        <v>91</v>
      </c>
      <c r="D19" s="259" t="s">
        <v>43</v>
      </c>
      <c r="E19" s="258" t="s">
        <v>81</v>
      </c>
      <c r="F19" s="86">
        <v>1530</v>
      </c>
      <c r="G19" s="86">
        <v>1630</v>
      </c>
      <c r="H19" s="261" t="s">
        <v>92</v>
      </c>
      <c r="I19" s="140" t="s">
        <v>35</v>
      </c>
      <c r="J19" s="140" t="s">
        <v>36</v>
      </c>
      <c r="K19" s="315" t="s">
        <v>76</v>
      </c>
      <c r="L19" s="132"/>
      <c r="M19" s="132" t="s">
        <v>93</v>
      </c>
      <c r="N19" s="271" t="s">
        <v>94</v>
      </c>
      <c r="O19" s="276" t="s">
        <v>40</v>
      </c>
      <c r="P19" s="272"/>
      <c r="Q19" s="274"/>
      <c r="R19" s="275">
        <v>500000</v>
      </c>
      <c r="S19" s="162">
        <f t="shared" si="3"/>
        <v>1</v>
      </c>
      <c r="T19" s="259"/>
      <c r="U19" s="270">
        <f t="shared" si="0"/>
        <v>500000</v>
      </c>
      <c r="V19" s="124">
        <f t="shared" ref="V19:V25" si="5">U19</f>
        <v>500000</v>
      </c>
      <c r="W19" s="90"/>
      <c r="X19" s="91"/>
      <c r="Y19" s="90"/>
    </row>
    <row r="20" spans="1:25" s="82" customFormat="1">
      <c r="A20" s="81">
        <f t="shared" si="2"/>
        <v>14</v>
      </c>
      <c r="B20" s="81">
        <v>14</v>
      </c>
      <c r="C20" s="87" t="s">
        <v>95</v>
      </c>
      <c r="D20" s="88" t="s">
        <v>43</v>
      </c>
      <c r="E20" s="87" t="s">
        <v>96</v>
      </c>
      <c r="F20" s="86">
        <v>1000</v>
      </c>
      <c r="G20" s="86">
        <v>1100</v>
      </c>
      <c r="H20" s="89" t="s">
        <v>97</v>
      </c>
      <c r="I20" s="140" t="s">
        <v>35</v>
      </c>
      <c r="J20" s="140" t="s">
        <v>36</v>
      </c>
      <c r="K20" s="318" t="s">
        <v>56</v>
      </c>
      <c r="L20" s="304"/>
      <c r="M20" s="132" t="s">
        <v>72</v>
      </c>
      <c r="N20" s="305" t="s">
        <v>98</v>
      </c>
      <c r="O20" s="306" t="s">
        <v>40</v>
      </c>
      <c r="P20" s="304"/>
      <c r="Q20" s="307"/>
      <c r="R20" s="275">
        <v>500000</v>
      </c>
      <c r="S20" s="162">
        <f t="shared" si="3"/>
        <v>1</v>
      </c>
      <c r="T20" s="88"/>
      <c r="U20" s="122">
        <f t="shared" si="0"/>
        <v>500000</v>
      </c>
      <c r="V20" s="124">
        <f t="shared" si="5"/>
        <v>500000</v>
      </c>
      <c r="W20" s="90"/>
      <c r="X20" s="91"/>
      <c r="Y20" s="90"/>
    </row>
    <row r="21" spans="1:25" s="82" customFormat="1">
      <c r="A21" s="81">
        <f t="shared" si="2"/>
        <v>15</v>
      </c>
      <c r="B21" s="81">
        <v>15</v>
      </c>
      <c r="C21" s="87" t="s">
        <v>99</v>
      </c>
      <c r="D21" s="88" t="s">
        <v>43</v>
      </c>
      <c r="E21" s="87" t="s">
        <v>81</v>
      </c>
      <c r="F21" s="86">
        <v>1000</v>
      </c>
      <c r="G21" s="86">
        <v>1200</v>
      </c>
      <c r="H21" s="89" t="s">
        <v>82</v>
      </c>
      <c r="I21" s="140" t="s">
        <v>87</v>
      </c>
      <c r="J21" s="140" t="s">
        <v>88</v>
      </c>
      <c r="K21" s="318" t="s">
        <v>100</v>
      </c>
      <c r="L21" s="304"/>
      <c r="M21" s="132" t="s">
        <v>83</v>
      </c>
      <c r="N21" s="305" t="s">
        <v>101</v>
      </c>
      <c r="O21" s="306" t="s">
        <v>40</v>
      </c>
      <c r="P21" s="304"/>
      <c r="Q21" s="298"/>
      <c r="R21" s="275">
        <v>500000</v>
      </c>
      <c r="S21" s="162">
        <f t="shared" si="3"/>
        <v>2</v>
      </c>
      <c r="T21" s="88"/>
      <c r="U21" s="122">
        <f t="shared" si="0"/>
        <v>1000000</v>
      </c>
      <c r="V21" s="124">
        <f t="shared" si="5"/>
        <v>1000000</v>
      </c>
      <c r="W21" s="90"/>
      <c r="X21" s="91"/>
      <c r="Y21" s="90"/>
    </row>
    <row r="22" spans="1:25" s="82" customFormat="1" hidden="1">
      <c r="A22" s="81">
        <f t="shared" si="2"/>
        <v>16</v>
      </c>
      <c r="B22" s="81">
        <v>16</v>
      </c>
      <c r="C22" s="87" t="s">
        <v>102</v>
      </c>
      <c r="D22" s="88" t="s">
        <v>43</v>
      </c>
      <c r="E22" s="87" t="s">
        <v>96</v>
      </c>
      <c r="F22" s="86">
        <v>1400</v>
      </c>
      <c r="G22" s="86">
        <v>1500</v>
      </c>
      <c r="H22" s="89" t="s">
        <v>71</v>
      </c>
      <c r="I22" s="140" t="s">
        <v>35</v>
      </c>
      <c r="J22" s="140" t="s">
        <v>36</v>
      </c>
      <c r="K22" s="318" t="s">
        <v>56</v>
      </c>
      <c r="L22" s="304"/>
      <c r="M22" s="132" t="s">
        <v>72</v>
      </c>
      <c r="N22" s="305" t="s">
        <v>103</v>
      </c>
      <c r="O22" s="306" t="s">
        <v>40</v>
      </c>
      <c r="P22" s="298">
        <v>100</v>
      </c>
      <c r="Q22" s="298"/>
      <c r="R22" s="275">
        <v>500000</v>
      </c>
      <c r="S22" s="162">
        <f t="shared" si="3"/>
        <v>1</v>
      </c>
      <c r="T22" s="94"/>
      <c r="U22" s="122">
        <f t="shared" si="0"/>
        <v>0</v>
      </c>
      <c r="V22" s="165">
        <f t="shared" si="5"/>
        <v>0</v>
      </c>
    </row>
    <row r="23" spans="1:25" s="82" customFormat="1" ht="26">
      <c r="A23" s="81">
        <f t="shared" si="2"/>
        <v>17</v>
      </c>
      <c r="B23" s="81">
        <v>17</v>
      </c>
      <c r="C23" s="87" t="s">
        <v>104</v>
      </c>
      <c r="D23" s="88" t="s">
        <v>43</v>
      </c>
      <c r="E23" s="87" t="s">
        <v>105</v>
      </c>
      <c r="F23" s="86">
        <v>1430</v>
      </c>
      <c r="G23" s="86">
        <v>1630</v>
      </c>
      <c r="H23" s="89" t="s">
        <v>106</v>
      </c>
      <c r="I23" s="140" t="s">
        <v>35</v>
      </c>
      <c r="J23" s="140" t="s">
        <v>36</v>
      </c>
      <c r="K23" s="318" t="s">
        <v>46</v>
      </c>
      <c r="L23" s="304"/>
      <c r="M23" s="132" t="s">
        <v>107</v>
      </c>
      <c r="N23" s="305" t="s">
        <v>108</v>
      </c>
      <c r="O23" s="306" t="s">
        <v>40</v>
      </c>
      <c r="P23" s="304"/>
      <c r="Q23" s="298"/>
      <c r="R23" s="275">
        <v>500000</v>
      </c>
      <c r="S23" s="162">
        <f t="shared" si="3"/>
        <v>2</v>
      </c>
      <c r="T23" s="88"/>
      <c r="U23" s="122">
        <f t="shared" si="0"/>
        <v>1000000</v>
      </c>
      <c r="V23" s="124">
        <f t="shared" si="5"/>
        <v>1000000</v>
      </c>
      <c r="W23" s="90"/>
      <c r="X23" s="91"/>
      <c r="Y23" s="90"/>
    </row>
    <row r="24" spans="1:25" s="82" customFormat="1">
      <c r="A24" s="81">
        <f t="shared" si="2"/>
        <v>18</v>
      </c>
      <c r="B24" s="81">
        <v>18</v>
      </c>
      <c r="C24" s="258" t="s">
        <v>109</v>
      </c>
      <c r="D24" s="259" t="s">
        <v>65</v>
      </c>
      <c r="E24" s="258" t="s">
        <v>110</v>
      </c>
      <c r="F24" s="86">
        <v>1000</v>
      </c>
      <c r="G24" s="86">
        <v>1300</v>
      </c>
      <c r="H24" s="261" t="s">
        <v>111</v>
      </c>
      <c r="I24" s="140" t="s">
        <v>35</v>
      </c>
      <c r="J24" s="140" t="s">
        <v>36</v>
      </c>
      <c r="K24" s="315" t="s">
        <v>61</v>
      </c>
      <c r="L24" s="132"/>
      <c r="M24" s="132" t="s">
        <v>112</v>
      </c>
      <c r="N24" s="271" t="s">
        <v>113</v>
      </c>
      <c r="O24" s="276" t="s">
        <v>40</v>
      </c>
      <c r="P24" s="272"/>
      <c r="Q24" s="274"/>
      <c r="R24" s="275">
        <v>180000</v>
      </c>
      <c r="S24" s="162">
        <f t="shared" si="3"/>
        <v>3</v>
      </c>
      <c r="T24" s="259"/>
      <c r="U24" s="270">
        <f t="shared" si="0"/>
        <v>540000</v>
      </c>
      <c r="V24" s="124">
        <f t="shared" si="5"/>
        <v>540000</v>
      </c>
      <c r="W24" s="90"/>
      <c r="X24" s="91"/>
      <c r="Y24" s="90"/>
    </row>
    <row r="25" spans="1:25" s="82" customFormat="1" hidden="1">
      <c r="A25" s="81">
        <f t="shared" si="2"/>
        <v>19</v>
      </c>
      <c r="B25" s="81">
        <v>19</v>
      </c>
      <c r="C25" s="258" t="s">
        <v>114</v>
      </c>
      <c r="D25" s="259" t="s">
        <v>75</v>
      </c>
      <c r="E25" s="258" t="s">
        <v>115</v>
      </c>
      <c r="F25" s="86">
        <v>1030</v>
      </c>
      <c r="G25" s="86">
        <v>1130</v>
      </c>
      <c r="H25" s="261" t="s">
        <v>116</v>
      </c>
      <c r="I25" s="140" t="s">
        <v>35</v>
      </c>
      <c r="J25" s="140" t="s">
        <v>36</v>
      </c>
      <c r="K25" s="315" t="s">
        <v>56</v>
      </c>
      <c r="L25" s="132"/>
      <c r="M25" s="132" t="s">
        <v>72</v>
      </c>
      <c r="N25" s="271" t="s">
        <v>117</v>
      </c>
      <c r="O25" s="276" t="s">
        <v>40</v>
      </c>
      <c r="P25" s="298">
        <v>100</v>
      </c>
      <c r="Q25" s="303"/>
      <c r="R25" s="275">
        <v>500000</v>
      </c>
      <c r="S25" s="162">
        <f t="shared" si="3"/>
        <v>1</v>
      </c>
      <c r="T25" s="94"/>
      <c r="U25" s="270">
        <f t="shared" si="0"/>
        <v>0</v>
      </c>
      <c r="V25" s="165">
        <f t="shared" si="5"/>
        <v>0</v>
      </c>
    </row>
    <row r="26" spans="1:25" s="82" customFormat="1" hidden="1">
      <c r="A26" s="81">
        <f t="shared" si="2"/>
        <v>20</v>
      </c>
      <c r="B26" s="81">
        <v>20</v>
      </c>
      <c r="C26" s="258" t="s">
        <v>118</v>
      </c>
      <c r="D26" s="259" t="s">
        <v>43</v>
      </c>
      <c r="E26" s="258" t="s">
        <v>119</v>
      </c>
      <c r="F26" s="86">
        <v>1400</v>
      </c>
      <c r="G26" s="86">
        <v>1500</v>
      </c>
      <c r="H26" s="261" t="s">
        <v>120</v>
      </c>
      <c r="I26" s="140" t="s">
        <v>87</v>
      </c>
      <c r="J26" s="140" t="s">
        <v>88</v>
      </c>
      <c r="K26" s="315" t="s">
        <v>61</v>
      </c>
      <c r="L26" s="132"/>
      <c r="M26" s="132" t="s">
        <v>89</v>
      </c>
      <c r="N26" s="271" t="s">
        <v>121</v>
      </c>
      <c r="O26" s="276" t="s">
        <v>40</v>
      </c>
      <c r="P26" s="298"/>
      <c r="Q26" s="274"/>
      <c r="R26" s="275">
        <v>500000</v>
      </c>
      <c r="S26" s="162">
        <f t="shared" si="3"/>
        <v>1</v>
      </c>
      <c r="T26" s="259"/>
      <c r="U26" s="270">
        <f t="shared" si="0"/>
        <v>500000</v>
      </c>
      <c r="V26" s="165">
        <f t="shared" si="4"/>
        <v>-3500000</v>
      </c>
      <c r="W26" s="90"/>
      <c r="X26" s="91"/>
      <c r="Y26" s="90"/>
    </row>
    <row r="27" spans="1:25" s="82" customFormat="1">
      <c r="A27" s="81">
        <f t="shared" si="2"/>
        <v>21</v>
      </c>
      <c r="B27" s="81">
        <v>21</v>
      </c>
      <c r="C27" s="258" t="s">
        <v>122</v>
      </c>
      <c r="D27" s="259" t="s">
        <v>43</v>
      </c>
      <c r="E27" s="258" t="s">
        <v>115</v>
      </c>
      <c r="F27" s="86">
        <v>900</v>
      </c>
      <c r="G27" s="86">
        <v>1000</v>
      </c>
      <c r="H27" s="261" t="s">
        <v>123</v>
      </c>
      <c r="I27" s="140" t="s">
        <v>87</v>
      </c>
      <c r="J27" s="140" t="s">
        <v>88</v>
      </c>
      <c r="K27" s="315" t="s">
        <v>76</v>
      </c>
      <c r="L27" s="132"/>
      <c r="M27" s="132" t="s">
        <v>124</v>
      </c>
      <c r="N27" s="271" t="s">
        <v>125</v>
      </c>
      <c r="O27" s="276" t="s">
        <v>40</v>
      </c>
      <c r="P27" s="298"/>
      <c r="Q27" s="298"/>
      <c r="R27" s="275">
        <v>500000</v>
      </c>
      <c r="S27" s="162">
        <f t="shared" si="3"/>
        <v>1</v>
      </c>
      <c r="T27" s="94"/>
      <c r="U27" s="270">
        <f t="shared" si="0"/>
        <v>500000</v>
      </c>
      <c r="V27" s="124">
        <f>U27</f>
        <v>500000</v>
      </c>
    </row>
    <row r="28" spans="1:25" s="82" customFormat="1" hidden="1">
      <c r="A28" s="81">
        <f t="shared" si="2"/>
        <v>22</v>
      </c>
      <c r="B28" s="81">
        <v>22</v>
      </c>
      <c r="C28" s="87" t="s">
        <v>126</v>
      </c>
      <c r="D28" s="88" t="s">
        <v>32</v>
      </c>
      <c r="E28" s="87" t="s">
        <v>110</v>
      </c>
      <c r="F28" s="86">
        <v>800</v>
      </c>
      <c r="G28" s="86">
        <v>1230</v>
      </c>
      <c r="H28" s="89" t="s">
        <v>127</v>
      </c>
      <c r="I28" s="140" t="s">
        <v>36</v>
      </c>
      <c r="J28" s="140" t="s">
        <v>36</v>
      </c>
      <c r="K28" s="318" t="s">
        <v>100</v>
      </c>
      <c r="L28" s="304"/>
      <c r="M28" s="132" t="s">
        <v>89</v>
      </c>
      <c r="N28" s="305" t="s">
        <v>128</v>
      </c>
      <c r="O28" s="306" t="s">
        <v>40</v>
      </c>
      <c r="P28" s="304"/>
      <c r="Q28" s="298"/>
      <c r="R28" s="275">
        <v>950000</v>
      </c>
      <c r="S28" s="162">
        <f>(1250-F28)/100</f>
        <v>4.5</v>
      </c>
      <c r="T28" s="88"/>
      <c r="U28" s="122">
        <f t="shared" si="0"/>
        <v>4275000</v>
      </c>
      <c r="V28" s="165">
        <f t="shared" si="4"/>
        <v>-3325000</v>
      </c>
      <c r="W28" s="90"/>
      <c r="X28" s="91"/>
      <c r="Y28" s="90"/>
    </row>
    <row r="29" spans="1:25" s="82" customFormat="1">
      <c r="A29" s="81">
        <f t="shared" si="2"/>
        <v>23</v>
      </c>
      <c r="B29" s="81">
        <v>23</v>
      </c>
      <c r="C29" s="258" t="s">
        <v>129</v>
      </c>
      <c r="D29" s="259" t="s">
        <v>43</v>
      </c>
      <c r="E29" s="258" t="s">
        <v>130</v>
      </c>
      <c r="F29" s="86">
        <v>1500</v>
      </c>
      <c r="G29" s="86">
        <v>1600</v>
      </c>
      <c r="H29" s="261" t="s">
        <v>131</v>
      </c>
      <c r="I29" s="140" t="s">
        <v>132</v>
      </c>
      <c r="J29" s="140" t="s">
        <v>88</v>
      </c>
      <c r="K29" s="315" t="s">
        <v>133</v>
      </c>
      <c r="L29" s="132"/>
      <c r="M29" s="132" t="s">
        <v>47</v>
      </c>
      <c r="N29" s="277">
        <v>45202.668530092589</v>
      </c>
      <c r="O29" s="276" t="s">
        <v>40</v>
      </c>
      <c r="P29" s="272"/>
      <c r="Q29" s="303"/>
      <c r="R29" s="275">
        <v>500000</v>
      </c>
      <c r="S29" s="162">
        <f t="shared" si="3"/>
        <v>1</v>
      </c>
      <c r="T29" s="94"/>
      <c r="U29" s="270">
        <f t="shared" si="0"/>
        <v>500000</v>
      </c>
      <c r="V29" s="124">
        <f>U29</f>
        <v>500000</v>
      </c>
    </row>
    <row r="30" spans="1:25" s="82" customFormat="1" ht="13">
      <c r="A30" s="81">
        <f t="shared" si="2"/>
        <v>24</v>
      </c>
      <c r="B30" s="81">
        <v>24</v>
      </c>
      <c r="C30" s="258" t="s">
        <v>134</v>
      </c>
      <c r="D30" s="259" t="s">
        <v>75</v>
      </c>
      <c r="E30" s="258" t="s">
        <v>115</v>
      </c>
      <c r="F30" s="86">
        <v>1530</v>
      </c>
      <c r="G30" s="86">
        <v>1700</v>
      </c>
      <c r="H30" s="261" t="s">
        <v>135</v>
      </c>
      <c r="I30" s="140" t="s">
        <v>87</v>
      </c>
      <c r="J30" s="140" t="s">
        <v>88</v>
      </c>
      <c r="K30" s="315" t="s">
        <v>136</v>
      </c>
      <c r="L30" s="132"/>
      <c r="M30" s="132" t="s">
        <v>47</v>
      </c>
      <c r="N30" s="278">
        <v>45202.468692129631</v>
      </c>
      <c r="O30" s="276" t="s">
        <v>40</v>
      </c>
      <c r="P30" s="298"/>
      <c r="Q30" s="303"/>
      <c r="R30" s="275">
        <v>500000</v>
      </c>
      <c r="S30" s="162">
        <f>(G30-1550)/100</f>
        <v>1.5</v>
      </c>
      <c r="T30" s="259"/>
      <c r="U30" s="270">
        <f t="shared" si="0"/>
        <v>750000</v>
      </c>
      <c r="V30" s="124">
        <f>U30</f>
        <v>750000</v>
      </c>
      <c r="W30" s="90"/>
      <c r="X30" s="91"/>
      <c r="Y30" s="90"/>
    </row>
    <row r="31" spans="1:25" s="82" customFormat="1" ht="13">
      <c r="A31" s="81">
        <f t="shared" si="2"/>
        <v>25</v>
      </c>
      <c r="B31" s="81">
        <v>25</v>
      </c>
      <c r="C31" s="258" t="s">
        <v>137</v>
      </c>
      <c r="D31" s="259" t="s">
        <v>43</v>
      </c>
      <c r="E31" s="258" t="s">
        <v>115</v>
      </c>
      <c r="F31" s="86">
        <v>1400</v>
      </c>
      <c r="G31" s="86">
        <v>1700</v>
      </c>
      <c r="H31" s="261" t="s">
        <v>135</v>
      </c>
      <c r="I31" s="140" t="s">
        <v>87</v>
      </c>
      <c r="J31" s="140" t="s">
        <v>88</v>
      </c>
      <c r="K31" s="315" t="s">
        <v>136</v>
      </c>
      <c r="L31" s="132"/>
      <c r="M31" s="132" t="s">
        <v>47</v>
      </c>
      <c r="N31" s="278">
        <v>45202.467905092592</v>
      </c>
      <c r="O31" s="276" t="s">
        <v>40</v>
      </c>
      <c r="P31" s="298"/>
      <c r="Q31" s="308"/>
      <c r="R31" s="275">
        <v>500000</v>
      </c>
      <c r="S31" s="162">
        <f t="shared" si="3"/>
        <v>3</v>
      </c>
      <c r="T31" s="259"/>
      <c r="U31" s="270">
        <f t="shared" si="0"/>
        <v>1500000</v>
      </c>
      <c r="V31" s="124">
        <f>U31</f>
        <v>1500000</v>
      </c>
      <c r="W31" s="90"/>
      <c r="X31" s="91"/>
      <c r="Y31" s="90"/>
    </row>
    <row r="32" spans="1:25" s="82" customFormat="1">
      <c r="A32" s="81">
        <f t="shared" si="2"/>
        <v>26</v>
      </c>
      <c r="B32" s="81">
        <v>26</v>
      </c>
      <c r="C32" s="258" t="s">
        <v>138</v>
      </c>
      <c r="D32" s="259" t="s">
        <v>32</v>
      </c>
      <c r="E32" s="258" t="s">
        <v>130</v>
      </c>
      <c r="F32" s="86">
        <v>1230</v>
      </c>
      <c r="G32" s="86">
        <v>1500</v>
      </c>
      <c r="H32" s="261" t="s">
        <v>139</v>
      </c>
      <c r="I32" s="140" t="s">
        <v>87</v>
      </c>
      <c r="J32" s="140" t="s">
        <v>140</v>
      </c>
      <c r="K32" s="315" t="s">
        <v>37</v>
      </c>
      <c r="L32" s="132"/>
      <c r="M32" s="132" t="s">
        <v>112</v>
      </c>
      <c r="N32" s="277">
        <v>45172.594456018516</v>
      </c>
      <c r="O32" s="276" t="s">
        <v>40</v>
      </c>
      <c r="P32" s="272"/>
      <c r="Q32" s="274"/>
      <c r="R32" s="275">
        <v>950000</v>
      </c>
      <c r="S32" s="162">
        <f>(G32-1250)/100</f>
        <v>2.5</v>
      </c>
      <c r="T32" s="259"/>
      <c r="U32" s="270">
        <f>S32*R32*(100-P32)/100</f>
        <v>2375000</v>
      </c>
      <c r="V32" s="124">
        <f>U32</f>
        <v>2375000</v>
      </c>
      <c r="W32" s="90"/>
      <c r="X32" s="91"/>
      <c r="Y32" s="90"/>
    </row>
    <row r="33" spans="1:25" s="82" customFormat="1" ht="14">
      <c r="A33" s="81">
        <f t="shared" si="2"/>
        <v>27</v>
      </c>
      <c r="B33" s="81">
        <v>27</v>
      </c>
      <c r="C33" s="258" t="s">
        <v>141</v>
      </c>
      <c r="D33" s="259" t="s">
        <v>32</v>
      </c>
      <c r="E33" s="258" t="s">
        <v>142</v>
      </c>
      <c r="F33" s="86">
        <v>1500</v>
      </c>
      <c r="G33" s="86">
        <v>1615</v>
      </c>
      <c r="H33" s="261" t="s">
        <v>143</v>
      </c>
      <c r="I33" s="140" t="s">
        <v>35</v>
      </c>
      <c r="J33" s="140" t="s">
        <v>36</v>
      </c>
      <c r="K33" s="315" t="s">
        <v>133</v>
      </c>
      <c r="L33" s="132"/>
      <c r="M33" s="132" t="s">
        <v>53</v>
      </c>
      <c r="N33" s="278">
        <v>45110.727002314816</v>
      </c>
      <c r="O33" s="276" t="s">
        <v>40</v>
      </c>
      <c r="P33" s="272"/>
      <c r="Q33" s="298"/>
      <c r="R33" s="275">
        <v>950000</v>
      </c>
      <c r="S33" s="162">
        <f>(1625-F33)/100</f>
        <v>1.25</v>
      </c>
      <c r="T33" s="259"/>
      <c r="U33" s="270">
        <f>S33*R33*(100-P33)/100</f>
        <v>1187500</v>
      </c>
      <c r="V33" s="124">
        <f>U33</f>
        <v>1187500</v>
      </c>
      <c r="W33" s="90"/>
      <c r="X33" s="91"/>
      <c r="Y33" s="90"/>
    </row>
    <row r="34" spans="1:25" s="82" customFormat="1" ht="14">
      <c r="A34" s="81">
        <f t="shared" si="2"/>
        <v>28</v>
      </c>
      <c r="B34" s="81">
        <v>28</v>
      </c>
      <c r="C34" s="258" t="s">
        <v>144</v>
      </c>
      <c r="D34" s="259" t="s">
        <v>32</v>
      </c>
      <c r="E34" s="258" t="s">
        <v>142</v>
      </c>
      <c r="F34" s="86">
        <v>930</v>
      </c>
      <c r="G34" s="86">
        <v>1500</v>
      </c>
      <c r="H34" s="261" t="s">
        <v>143</v>
      </c>
      <c r="I34" s="140" t="s">
        <v>35</v>
      </c>
      <c r="J34" s="140" t="s">
        <v>36</v>
      </c>
      <c r="K34" s="315" t="s">
        <v>133</v>
      </c>
      <c r="L34" s="132"/>
      <c r="M34" s="132" t="s">
        <v>53</v>
      </c>
      <c r="N34" s="278">
        <v>45110.668749999997</v>
      </c>
      <c r="O34" s="276" t="s">
        <v>40</v>
      </c>
      <c r="P34" s="272"/>
      <c r="Q34" s="298">
        <f>R34*3</f>
        <v>2850000</v>
      </c>
      <c r="R34" s="275">
        <v>950000</v>
      </c>
      <c r="S34" s="162">
        <f>(G34-950)/100</f>
        <v>5.5</v>
      </c>
      <c r="T34" s="259"/>
      <c r="U34" s="270">
        <f>S34*R34*(100-P34)/100</f>
        <v>5225000</v>
      </c>
      <c r="V34" s="124">
        <f>Q34+((S34-4)*R34)</f>
        <v>4275000</v>
      </c>
      <c r="W34" s="90"/>
      <c r="X34" s="91"/>
      <c r="Y34" s="90"/>
    </row>
    <row r="35" spans="1:25" s="82" customFormat="1" ht="13" hidden="1">
      <c r="A35" s="81">
        <f t="shared" si="2"/>
        <v>29</v>
      </c>
      <c r="B35" s="81">
        <v>29</v>
      </c>
      <c r="C35" s="258" t="s">
        <v>145</v>
      </c>
      <c r="D35" s="259" t="s">
        <v>65</v>
      </c>
      <c r="E35" s="258" t="s">
        <v>146</v>
      </c>
      <c r="F35" s="86">
        <v>1030</v>
      </c>
      <c r="G35" s="86">
        <v>1230</v>
      </c>
      <c r="H35" s="261" t="s">
        <v>147</v>
      </c>
      <c r="I35" s="140" t="s">
        <v>35</v>
      </c>
      <c r="J35" s="140" t="s">
        <v>36</v>
      </c>
      <c r="K35" s="315" t="s">
        <v>61</v>
      </c>
      <c r="L35" s="132"/>
      <c r="M35" s="132" t="s">
        <v>62</v>
      </c>
      <c r="N35" s="278">
        <v>45110.507696759261</v>
      </c>
      <c r="O35" s="276" t="s">
        <v>40</v>
      </c>
      <c r="P35" s="297">
        <v>100</v>
      </c>
      <c r="Q35" s="298"/>
      <c r="R35" s="275">
        <v>180000</v>
      </c>
      <c r="S35" s="162">
        <f t="shared" si="3"/>
        <v>2</v>
      </c>
      <c r="T35" s="259"/>
      <c r="U35" s="270">
        <f>S35*R35*(100-P35)/100</f>
        <v>0</v>
      </c>
      <c r="V35" s="124">
        <f>U35</f>
        <v>0</v>
      </c>
      <c r="W35" s="90"/>
      <c r="X35" s="91"/>
      <c r="Y35" s="90"/>
    </row>
    <row r="36" spans="1:25" s="82" customFormat="1">
      <c r="A36" s="81">
        <f t="shared" si="2"/>
        <v>30</v>
      </c>
      <c r="B36" s="81">
        <v>30</v>
      </c>
      <c r="C36" s="258" t="s">
        <v>148</v>
      </c>
      <c r="D36" s="259" t="s">
        <v>65</v>
      </c>
      <c r="E36" s="269">
        <v>45141</v>
      </c>
      <c r="F36" s="86">
        <v>1100</v>
      </c>
      <c r="G36" s="86">
        <v>1600</v>
      </c>
      <c r="H36" s="261" t="s">
        <v>149</v>
      </c>
      <c r="I36" s="140" t="s">
        <v>35</v>
      </c>
      <c r="J36" s="140" t="s">
        <v>36</v>
      </c>
      <c r="K36" s="315" t="s">
        <v>61</v>
      </c>
      <c r="L36" s="132"/>
      <c r="M36" s="132" t="s">
        <v>62</v>
      </c>
      <c r="N36" s="277">
        <v>45080.785752314812</v>
      </c>
      <c r="O36" s="276" t="s">
        <v>150</v>
      </c>
      <c r="P36" s="297">
        <v>10</v>
      </c>
      <c r="Q36" s="303"/>
      <c r="R36" s="275">
        <v>180000</v>
      </c>
      <c r="S36" s="162">
        <f t="shared" si="3"/>
        <v>5</v>
      </c>
      <c r="T36" s="259"/>
      <c r="U36" s="270">
        <f>S36*R36*(100-P36)/100</f>
        <v>810000</v>
      </c>
      <c r="V36" s="124">
        <f>U36</f>
        <v>810000</v>
      </c>
      <c r="W36" s="90"/>
      <c r="X36" s="91"/>
      <c r="Y36" s="90"/>
    </row>
    <row r="37" spans="1:25" s="82" customFormat="1">
      <c r="A37" s="81">
        <f t="shared" si="2"/>
        <v>31</v>
      </c>
      <c r="B37" s="81">
        <v>31</v>
      </c>
      <c r="C37" s="258" t="s">
        <v>151</v>
      </c>
      <c r="D37" s="259" t="s">
        <v>32</v>
      </c>
      <c r="E37" s="258" t="s">
        <v>152</v>
      </c>
      <c r="F37" s="86">
        <v>900</v>
      </c>
      <c r="G37" s="86">
        <v>1800</v>
      </c>
      <c r="H37" s="261" t="s">
        <v>153</v>
      </c>
      <c r="I37" s="140" t="s">
        <v>35</v>
      </c>
      <c r="J37" s="140" t="s">
        <v>36</v>
      </c>
      <c r="K37" s="315" t="s">
        <v>37</v>
      </c>
      <c r="L37" s="132"/>
      <c r="M37" s="132" t="s">
        <v>47</v>
      </c>
      <c r="N37" s="277">
        <v>45080.437557870369</v>
      </c>
      <c r="O37" s="276" t="s">
        <v>40</v>
      </c>
      <c r="P37" s="272"/>
      <c r="Q37" s="298">
        <f>R37*6</f>
        <v>5700000</v>
      </c>
      <c r="R37" s="275">
        <v>950000</v>
      </c>
      <c r="S37" s="162">
        <f t="shared" si="3"/>
        <v>9</v>
      </c>
      <c r="T37" s="259"/>
      <c r="U37" s="270">
        <f t="shared" ref="U37:U72" si="6">S37*R37*(100-P37)/100</f>
        <v>8550000</v>
      </c>
      <c r="V37" s="124">
        <f t="shared" si="4"/>
        <v>6650000</v>
      </c>
      <c r="W37" s="90"/>
      <c r="X37" s="91"/>
      <c r="Y37" s="90"/>
    </row>
    <row r="38" spans="1:25" s="82" customFormat="1">
      <c r="A38" s="81">
        <f t="shared" si="2"/>
        <v>32</v>
      </c>
      <c r="B38" s="81">
        <v>32</v>
      </c>
      <c r="C38" s="258" t="s">
        <v>154</v>
      </c>
      <c r="D38" s="259" t="s">
        <v>32</v>
      </c>
      <c r="E38" s="258" t="s">
        <v>81</v>
      </c>
      <c r="F38" s="86">
        <v>900</v>
      </c>
      <c r="G38" s="86">
        <v>1800</v>
      </c>
      <c r="H38" s="261" t="s">
        <v>153</v>
      </c>
      <c r="I38" s="140" t="s">
        <v>35</v>
      </c>
      <c r="J38" s="140" t="s">
        <v>36</v>
      </c>
      <c r="K38" s="315" t="s">
        <v>37</v>
      </c>
      <c r="L38" s="132"/>
      <c r="M38" s="132" t="s">
        <v>47</v>
      </c>
      <c r="N38" s="277">
        <v>45080.43712962963</v>
      </c>
      <c r="O38" s="276" t="s">
        <v>40</v>
      </c>
      <c r="P38" s="272"/>
      <c r="Q38" s="298">
        <f>R38*6</f>
        <v>5700000</v>
      </c>
      <c r="R38" s="275">
        <v>950000</v>
      </c>
      <c r="S38" s="162">
        <f t="shared" si="3"/>
        <v>9</v>
      </c>
      <c r="T38" s="259"/>
      <c r="U38" s="270">
        <f t="shared" si="6"/>
        <v>8550000</v>
      </c>
      <c r="V38" s="124">
        <f t="shared" si="4"/>
        <v>6650000</v>
      </c>
      <c r="W38" s="90"/>
      <c r="X38" s="91"/>
      <c r="Y38" s="90"/>
    </row>
    <row r="39" spans="1:25" s="82" customFormat="1">
      <c r="A39" s="81">
        <f t="shared" si="2"/>
        <v>33</v>
      </c>
      <c r="B39" s="81">
        <v>33</v>
      </c>
      <c r="C39" s="258" t="s">
        <v>155</v>
      </c>
      <c r="D39" s="259" t="s">
        <v>32</v>
      </c>
      <c r="E39" s="258" t="s">
        <v>156</v>
      </c>
      <c r="F39" s="86">
        <v>900</v>
      </c>
      <c r="G39" s="86">
        <v>1800</v>
      </c>
      <c r="H39" s="261" t="s">
        <v>153</v>
      </c>
      <c r="I39" s="140" t="s">
        <v>35</v>
      </c>
      <c r="J39" s="140" t="s">
        <v>36</v>
      </c>
      <c r="K39" s="315" t="s">
        <v>37</v>
      </c>
      <c r="L39" s="132"/>
      <c r="M39" s="132" t="s">
        <v>47</v>
      </c>
      <c r="N39" s="277">
        <v>45080.436782407407</v>
      </c>
      <c r="O39" s="276" t="s">
        <v>40</v>
      </c>
      <c r="P39" s="272"/>
      <c r="Q39" s="298">
        <f t="shared" ref="Q39:Q40" si="7">R39*6</f>
        <v>5700000</v>
      </c>
      <c r="R39" s="275">
        <v>950000</v>
      </c>
      <c r="S39" s="162">
        <f t="shared" si="3"/>
        <v>9</v>
      </c>
      <c r="T39" s="259"/>
      <c r="U39" s="270">
        <f t="shared" si="6"/>
        <v>8550000</v>
      </c>
      <c r="V39" s="124">
        <f t="shared" si="4"/>
        <v>6650000</v>
      </c>
      <c r="W39" s="90"/>
      <c r="X39" s="90"/>
      <c r="Y39" s="90"/>
    </row>
    <row r="40" spans="1:25" s="82" customFormat="1">
      <c r="A40" s="81">
        <f t="shared" si="2"/>
        <v>34</v>
      </c>
      <c r="B40" s="81">
        <v>34</v>
      </c>
      <c r="C40" s="258" t="s">
        <v>157</v>
      </c>
      <c r="D40" s="259" t="s">
        <v>32</v>
      </c>
      <c r="E40" s="258" t="s">
        <v>96</v>
      </c>
      <c r="F40" s="86">
        <v>900</v>
      </c>
      <c r="G40" s="86">
        <v>1800</v>
      </c>
      <c r="H40" s="261" t="s">
        <v>153</v>
      </c>
      <c r="I40" s="140" t="s">
        <v>35</v>
      </c>
      <c r="J40" s="140" t="s">
        <v>36</v>
      </c>
      <c r="K40" s="315" t="s">
        <v>37</v>
      </c>
      <c r="L40" s="132"/>
      <c r="M40" s="132" t="s">
        <v>47</v>
      </c>
      <c r="N40" s="277">
        <v>45080.436377314814</v>
      </c>
      <c r="O40" s="276" t="s">
        <v>40</v>
      </c>
      <c r="P40" s="272"/>
      <c r="Q40" s="298">
        <f t="shared" si="7"/>
        <v>5700000</v>
      </c>
      <c r="R40" s="275">
        <v>950000</v>
      </c>
      <c r="S40" s="162">
        <f t="shared" si="3"/>
        <v>9</v>
      </c>
      <c r="T40" s="94"/>
      <c r="U40" s="270">
        <f t="shared" si="6"/>
        <v>8550000</v>
      </c>
      <c r="V40" s="124">
        <f t="shared" si="4"/>
        <v>6650000</v>
      </c>
    </row>
    <row r="41" spans="1:25" s="82" customFormat="1" ht="14">
      <c r="A41" s="81">
        <f t="shared" si="2"/>
        <v>35</v>
      </c>
      <c r="B41" s="81">
        <v>35</v>
      </c>
      <c r="C41" s="258" t="s">
        <v>158</v>
      </c>
      <c r="D41" s="259" t="s">
        <v>43</v>
      </c>
      <c r="E41" s="258" t="s">
        <v>159</v>
      </c>
      <c r="F41" s="86">
        <v>1300</v>
      </c>
      <c r="G41" s="86">
        <v>1400</v>
      </c>
      <c r="H41" s="261" t="s">
        <v>160</v>
      </c>
      <c r="I41" s="140" t="s">
        <v>35</v>
      </c>
      <c r="J41" s="140" t="s">
        <v>52</v>
      </c>
      <c r="K41" s="315" t="s">
        <v>76</v>
      </c>
      <c r="L41" s="132"/>
      <c r="M41" s="132" t="s">
        <v>53</v>
      </c>
      <c r="N41" s="278">
        <v>44988.576851851853</v>
      </c>
      <c r="O41" s="276" t="s">
        <v>40</v>
      </c>
      <c r="P41" s="272"/>
      <c r="Q41" s="298"/>
      <c r="R41" s="275">
        <v>500000</v>
      </c>
      <c r="S41" s="162">
        <f t="shared" si="3"/>
        <v>1</v>
      </c>
      <c r="T41" s="94"/>
      <c r="U41" s="270">
        <f t="shared" si="6"/>
        <v>500000</v>
      </c>
      <c r="V41" s="124">
        <f t="shared" ref="V41:V48" si="8">U41</f>
        <v>500000</v>
      </c>
    </row>
    <row r="42" spans="1:25" s="82" customFormat="1" ht="14">
      <c r="A42" s="81">
        <f t="shared" si="2"/>
        <v>36</v>
      </c>
      <c r="B42" s="81">
        <v>36</v>
      </c>
      <c r="C42" s="258" t="s">
        <v>161</v>
      </c>
      <c r="D42" s="259" t="s">
        <v>43</v>
      </c>
      <c r="E42" s="258" t="s">
        <v>159</v>
      </c>
      <c r="F42" s="86">
        <v>1045</v>
      </c>
      <c r="G42" s="86">
        <v>1200</v>
      </c>
      <c r="H42" s="261" t="s">
        <v>160</v>
      </c>
      <c r="I42" s="140" t="s">
        <v>35</v>
      </c>
      <c r="J42" s="140" t="s">
        <v>36</v>
      </c>
      <c r="K42" s="315" t="s">
        <v>56</v>
      </c>
      <c r="L42" s="132"/>
      <c r="M42" s="132" t="s">
        <v>53</v>
      </c>
      <c r="N42" s="278">
        <v>44988.487187500003</v>
      </c>
      <c r="O42" s="276" t="s">
        <v>40</v>
      </c>
      <c r="P42" s="272"/>
      <c r="Q42" s="298"/>
      <c r="R42" s="275">
        <v>500000</v>
      </c>
      <c r="S42" s="162">
        <f>(G42-1075)/100</f>
        <v>1.25</v>
      </c>
      <c r="T42" s="94"/>
      <c r="U42" s="270">
        <f t="shared" si="6"/>
        <v>625000</v>
      </c>
      <c r="V42" s="124">
        <f t="shared" si="8"/>
        <v>625000</v>
      </c>
    </row>
    <row r="43" spans="1:25" s="82" customFormat="1">
      <c r="A43" s="81">
        <f t="shared" si="2"/>
        <v>37</v>
      </c>
      <c r="B43" s="81">
        <v>37</v>
      </c>
      <c r="C43" s="258" t="s">
        <v>162</v>
      </c>
      <c r="D43" s="259" t="s">
        <v>43</v>
      </c>
      <c r="E43" s="258" t="s">
        <v>163</v>
      </c>
      <c r="F43" s="86">
        <v>1530</v>
      </c>
      <c r="G43" s="86">
        <v>1600</v>
      </c>
      <c r="H43" s="261" t="s">
        <v>160</v>
      </c>
      <c r="I43" s="140" t="s">
        <v>35</v>
      </c>
      <c r="J43" s="140" t="s">
        <v>52</v>
      </c>
      <c r="K43" s="315" t="s">
        <v>76</v>
      </c>
      <c r="L43" s="132"/>
      <c r="M43" s="132" t="s">
        <v>53</v>
      </c>
      <c r="N43" s="278">
        <v>44960.687511574077</v>
      </c>
      <c r="O43" s="276" t="s">
        <v>40</v>
      </c>
      <c r="P43" s="279"/>
      <c r="Q43" s="298"/>
      <c r="R43" s="275">
        <v>500000</v>
      </c>
      <c r="S43" s="162">
        <f>(G43-1550)/100</f>
        <v>0.5</v>
      </c>
      <c r="T43" s="46"/>
      <c r="U43" s="270">
        <f t="shared" si="6"/>
        <v>250000</v>
      </c>
      <c r="V43" s="124">
        <f t="shared" si="8"/>
        <v>250000</v>
      </c>
    </row>
    <row r="44" spans="1:25" s="82" customFormat="1" ht="13">
      <c r="A44" s="81">
        <f t="shared" si="2"/>
        <v>38</v>
      </c>
      <c r="B44" s="81">
        <v>38</v>
      </c>
      <c r="C44" s="258" t="s">
        <v>164</v>
      </c>
      <c r="D44" s="259" t="s">
        <v>32</v>
      </c>
      <c r="E44" s="258" t="s">
        <v>165</v>
      </c>
      <c r="F44" s="86">
        <v>1400</v>
      </c>
      <c r="G44" s="86">
        <v>1700</v>
      </c>
      <c r="H44" s="261" t="s">
        <v>166</v>
      </c>
      <c r="I44" s="261" t="s">
        <v>35</v>
      </c>
      <c r="J44" s="261" t="s">
        <v>36</v>
      </c>
      <c r="K44" s="315" t="s">
        <v>167</v>
      </c>
      <c r="L44" s="132"/>
      <c r="M44" s="132" t="s">
        <v>47</v>
      </c>
      <c r="N44" s="280" t="s">
        <v>168</v>
      </c>
      <c r="O44" s="276" t="s">
        <v>40</v>
      </c>
      <c r="P44" s="297"/>
      <c r="Q44" s="298"/>
      <c r="R44" s="275">
        <v>950000</v>
      </c>
      <c r="S44" s="162">
        <f t="shared" si="3"/>
        <v>3</v>
      </c>
      <c r="T44" s="259"/>
      <c r="U44" s="270">
        <f t="shared" si="6"/>
        <v>2850000</v>
      </c>
      <c r="V44" s="124">
        <f t="shared" si="8"/>
        <v>2850000</v>
      </c>
      <c r="W44" s="90"/>
      <c r="X44" s="91"/>
      <c r="Y44" s="90"/>
    </row>
    <row r="45" spans="1:25" s="82" customFormat="1" ht="26">
      <c r="A45" s="81">
        <f t="shared" si="2"/>
        <v>39</v>
      </c>
      <c r="B45" s="81">
        <v>39</v>
      </c>
      <c r="C45" s="258" t="s">
        <v>169</v>
      </c>
      <c r="D45" s="259" t="s">
        <v>32</v>
      </c>
      <c r="E45" s="258" t="s">
        <v>50</v>
      </c>
      <c r="F45" s="86">
        <v>900</v>
      </c>
      <c r="G45" s="86">
        <v>1100</v>
      </c>
      <c r="H45" s="261" t="s">
        <v>170</v>
      </c>
      <c r="I45" s="261" t="s">
        <v>35</v>
      </c>
      <c r="J45" s="261" t="s">
        <v>36</v>
      </c>
      <c r="K45" s="315" t="s">
        <v>171</v>
      </c>
      <c r="L45" s="132"/>
      <c r="M45" s="309" t="s">
        <v>172</v>
      </c>
      <c r="N45" s="280" t="s">
        <v>173</v>
      </c>
      <c r="O45" s="276" t="s">
        <v>174</v>
      </c>
      <c r="P45" s="297"/>
      <c r="Q45" s="275"/>
      <c r="R45" s="275">
        <v>950000</v>
      </c>
      <c r="S45" s="162">
        <f t="shared" si="3"/>
        <v>2</v>
      </c>
      <c r="T45" s="259"/>
      <c r="U45" s="122">
        <f t="shared" si="6"/>
        <v>1900000</v>
      </c>
      <c r="V45" s="124">
        <f t="shared" si="8"/>
        <v>1900000</v>
      </c>
      <c r="W45" s="90"/>
      <c r="X45" s="91"/>
      <c r="Y45" s="90"/>
    </row>
    <row r="46" spans="1:25" s="82" customFormat="1" ht="13">
      <c r="A46" s="81">
        <f t="shared" si="2"/>
        <v>40</v>
      </c>
      <c r="B46" s="81">
        <v>40</v>
      </c>
      <c r="C46" s="94">
        <v>4026</v>
      </c>
      <c r="D46" s="94" t="s">
        <v>32</v>
      </c>
      <c r="E46" s="139">
        <v>44960</v>
      </c>
      <c r="F46" s="96">
        <v>1300</v>
      </c>
      <c r="G46" s="96">
        <v>1330</v>
      </c>
      <c r="H46" s="95" t="s">
        <v>175</v>
      </c>
      <c r="I46" s="140" t="s">
        <v>87</v>
      </c>
      <c r="J46" s="140" t="s">
        <v>52</v>
      </c>
      <c r="K46" s="316">
        <v>5</v>
      </c>
      <c r="L46" s="132"/>
      <c r="M46" s="132" t="s">
        <v>53</v>
      </c>
      <c r="N46" s="310">
        <v>44960.574861111112</v>
      </c>
      <c r="O46" s="311" t="s">
        <v>40</v>
      </c>
      <c r="P46" s="311"/>
      <c r="Q46" s="298"/>
      <c r="R46" s="275">
        <v>950000</v>
      </c>
      <c r="S46" s="162">
        <f>(1350-F46)/100</f>
        <v>0.5</v>
      </c>
      <c r="T46" s="95"/>
      <c r="U46" s="270">
        <f t="shared" si="6"/>
        <v>475000</v>
      </c>
      <c r="V46" s="124">
        <f t="shared" si="8"/>
        <v>475000</v>
      </c>
    </row>
    <row r="47" spans="1:25" s="82" customFormat="1" ht="13">
      <c r="A47" s="81">
        <f t="shared" si="2"/>
        <v>41</v>
      </c>
      <c r="B47" s="81">
        <v>41</v>
      </c>
      <c r="C47" s="94">
        <v>4025</v>
      </c>
      <c r="D47" s="94" t="s">
        <v>43</v>
      </c>
      <c r="E47" s="102">
        <v>44960</v>
      </c>
      <c r="F47" s="86">
        <v>1600</v>
      </c>
      <c r="G47" s="86">
        <v>1800</v>
      </c>
      <c r="H47" s="94" t="s">
        <v>160</v>
      </c>
      <c r="I47" s="140" t="s">
        <v>35</v>
      </c>
      <c r="J47" s="140" t="s">
        <v>36</v>
      </c>
      <c r="K47" s="316">
        <v>6</v>
      </c>
      <c r="L47" s="132"/>
      <c r="M47" s="132" t="s">
        <v>53</v>
      </c>
      <c r="N47" s="310">
        <v>44960.43005787037</v>
      </c>
      <c r="O47" s="132" t="s">
        <v>40</v>
      </c>
      <c r="P47" s="132"/>
      <c r="Q47" s="298"/>
      <c r="R47" s="275">
        <v>500000</v>
      </c>
      <c r="S47" s="162">
        <f t="shared" si="3"/>
        <v>2</v>
      </c>
      <c r="T47" s="94"/>
      <c r="U47" s="122">
        <f t="shared" si="6"/>
        <v>1000000</v>
      </c>
      <c r="V47" s="124">
        <f t="shared" si="8"/>
        <v>1000000</v>
      </c>
    </row>
    <row r="48" spans="1:25" s="82" customFormat="1" ht="13">
      <c r="A48" s="81">
        <f t="shared" si="2"/>
        <v>42</v>
      </c>
      <c r="B48" s="81">
        <v>42</v>
      </c>
      <c r="C48" s="258" t="s">
        <v>176</v>
      </c>
      <c r="D48" s="259" t="s">
        <v>32</v>
      </c>
      <c r="E48" s="258" t="s">
        <v>177</v>
      </c>
      <c r="F48" s="86">
        <v>1515</v>
      </c>
      <c r="G48" s="86">
        <v>1630</v>
      </c>
      <c r="H48" s="261" t="s">
        <v>160</v>
      </c>
      <c r="I48" s="261" t="s">
        <v>35</v>
      </c>
      <c r="J48" s="261" t="s">
        <v>52</v>
      </c>
      <c r="K48" s="315" t="s">
        <v>37</v>
      </c>
      <c r="L48" s="132"/>
      <c r="M48" s="132" t="s">
        <v>53</v>
      </c>
      <c r="N48" s="280" t="s">
        <v>178</v>
      </c>
      <c r="O48" s="276" t="s">
        <v>40</v>
      </c>
      <c r="P48" s="297"/>
      <c r="Q48" s="298"/>
      <c r="R48" s="275">
        <v>950000</v>
      </c>
      <c r="S48" s="162">
        <f>(1650-1525)/100</f>
        <v>1.25</v>
      </c>
      <c r="T48" s="259"/>
      <c r="U48" s="270">
        <f t="shared" si="6"/>
        <v>1187500</v>
      </c>
      <c r="V48" s="124">
        <f t="shared" si="8"/>
        <v>1187500</v>
      </c>
      <c r="W48" s="90"/>
      <c r="X48" s="91"/>
      <c r="Y48" s="90"/>
    </row>
    <row r="49" spans="1:25" s="82" customFormat="1" ht="13" hidden="1">
      <c r="A49" s="81">
        <f t="shared" si="2"/>
        <v>43</v>
      </c>
      <c r="B49" s="81">
        <v>43</v>
      </c>
      <c r="C49" s="258" t="s">
        <v>179</v>
      </c>
      <c r="D49" s="259" t="s">
        <v>43</v>
      </c>
      <c r="E49" s="258" t="s">
        <v>142</v>
      </c>
      <c r="F49" s="86">
        <v>1300</v>
      </c>
      <c r="G49" s="86">
        <v>1500</v>
      </c>
      <c r="H49" s="261" t="s">
        <v>160</v>
      </c>
      <c r="I49" s="261" t="s">
        <v>35</v>
      </c>
      <c r="J49" s="261" t="s">
        <v>52</v>
      </c>
      <c r="K49" s="315" t="s">
        <v>76</v>
      </c>
      <c r="L49" s="132"/>
      <c r="M49" s="132" t="s">
        <v>53</v>
      </c>
      <c r="N49" s="280" t="s">
        <v>180</v>
      </c>
      <c r="O49" s="276" t="s">
        <v>174</v>
      </c>
      <c r="P49" s="297"/>
      <c r="Q49" s="298"/>
      <c r="R49" s="275">
        <v>500000</v>
      </c>
      <c r="S49" s="162">
        <f t="shared" si="3"/>
        <v>2</v>
      </c>
      <c r="T49" s="259"/>
      <c r="U49" s="270">
        <f t="shared" si="6"/>
        <v>1000000</v>
      </c>
      <c r="V49" s="165">
        <f t="shared" si="4"/>
        <v>-3000000</v>
      </c>
      <c r="W49" s="90"/>
      <c r="X49" s="91"/>
      <c r="Y49" s="90"/>
    </row>
    <row r="50" spans="1:25" s="82" customFormat="1" ht="13" hidden="1">
      <c r="A50" s="81">
        <f t="shared" si="2"/>
        <v>44</v>
      </c>
      <c r="B50" s="81">
        <v>44</v>
      </c>
      <c r="C50" s="94">
        <v>4022</v>
      </c>
      <c r="D50" s="94" t="s">
        <v>43</v>
      </c>
      <c r="E50" s="102">
        <v>45110</v>
      </c>
      <c r="F50" s="86">
        <v>930</v>
      </c>
      <c r="G50" s="86">
        <v>1200</v>
      </c>
      <c r="H50" s="94" t="s">
        <v>160</v>
      </c>
      <c r="I50" s="140" t="s">
        <v>35</v>
      </c>
      <c r="J50" s="140" t="s">
        <v>52</v>
      </c>
      <c r="K50" s="316">
        <v>8</v>
      </c>
      <c r="L50" s="132" t="s">
        <v>181</v>
      </c>
      <c r="M50" s="132" t="s">
        <v>53</v>
      </c>
      <c r="N50" s="281" t="s">
        <v>182</v>
      </c>
      <c r="O50" s="132" t="s">
        <v>174</v>
      </c>
      <c r="P50" s="132"/>
      <c r="Q50" s="298"/>
      <c r="R50" s="275">
        <v>500000</v>
      </c>
      <c r="S50" s="162">
        <f>(G50-950)/100</f>
        <v>2.5</v>
      </c>
      <c r="T50" s="94"/>
      <c r="U50" s="270">
        <f t="shared" si="6"/>
        <v>1250000</v>
      </c>
      <c r="V50" s="165">
        <f t="shared" si="4"/>
        <v>-2750000</v>
      </c>
    </row>
    <row r="51" spans="1:25" s="82" customFormat="1" ht="13">
      <c r="A51" s="81">
        <f t="shared" si="2"/>
        <v>45</v>
      </c>
      <c r="B51" s="81">
        <v>45</v>
      </c>
      <c r="C51" s="94">
        <v>4021</v>
      </c>
      <c r="D51" s="94" t="s">
        <v>32</v>
      </c>
      <c r="E51" s="102">
        <v>44960</v>
      </c>
      <c r="F51" s="86">
        <v>900</v>
      </c>
      <c r="G51" s="86">
        <v>1200</v>
      </c>
      <c r="H51" s="94" t="s">
        <v>160</v>
      </c>
      <c r="I51" s="140" t="s">
        <v>35</v>
      </c>
      <c r="J51" s="140" t="s">
        <v>52</v>
      </c>
      <c r="K51" s="316">
        <v>12</v>
      </c>
      <c r="L51" s="132"/>
      <c r="M51" s="132" t="s">
        <v>53</v>
      </c>
      <c r="N51" s="281" t="s">
        <v>183</v>
      </c>
      <c r="O51" s="132" t="s">
        <v>40</v>
      </c>
      <c r="P51" s="132"/>
      <c r="Q51" s="298"/>
      <c r="R51" s="275">
        <v>950000</v>
      </c>
      <c r="S51" s="162">
        <f t="shared" si="3"/>
        <v>3</v>
      </c>
      <c r="T51" s="94"/>
      <c r="U51" s="122">
        <f t="shared" si="6"/>
        <v>2850000</v>
      </c>
      <c r="V51" s="124">
        <f>U51</f>
        <v>2850000</v>
      </c>
    </row>
    <row r="52" spans="1:25" s="82" customFormat="1" ht="13">
      <c r="A52" s="81">
        <f t="shared" si="2"/>
        <v>46</v>
      </c>
      <c r="B52" s="81">
        <v>46</v>
      </c>
      <c r="C52" s="94">
        <v>4020</v>
      </c>
      <c r="D52" s="94" t="s">
        <v>32</v>
      </c>
      <c r="E52" s="102">
        <v>44929</v>
      </c>
      <c r="F52" s="86">
        <v>1630</v>
      </c>
      <c r="G52" s="86">
        <v>1730</v>
      </c>
      <c r="H52" s="94" t="s">
        <v>160</v>
      </c>
      <c r="I52" s="140" t="s">
        <v>35</v>
      </c>
      <c r="J52" s="140" t="s">
        <v>52</v>
      </c>
      <c r="K52" s="316">
        <v>12</v>
      </c>
      <c r="L52" s="132"/>
      <c r="M52" s="132" t="s">
        <v>53</v>
      </c>
      <c r="N52" s="281" t="s">
        <v>184</v>
      </c>
      <c r="O52" s="132" t="s">
        <v>40</v>
      </c>
      <c r="P52" s="132"/>
      <c r="Q52" s="298"/>
      <c r="R52" s="275">
        <v>950000</v>
      </c>
      <c r="S52" s="162">
        <f t="shared" si="3"/>
        <v>1</v>
      </c>
      <c r="T52" s="94"/>
      <c r="U52" s="270">
        <f t="shared" si="6"/>
        <v>950000</v>
      </c>
      <c r="V52" s="124">
        <f>U52</f>
        <v>950000</v>
      </c>
    </row>
    <row r="53" spans="1:25" s="82" customFormat="1" ht="13">
      <c r="A53" s="81">
        <f t="shared" si="2"/>
        <v>47</v>
      </c>
      <c r="B53" s="81">
        <v>47</v>
      </c>
      <c r="C53" s="258" t="s">
        <v>185</v>
      </c>
      <c r="D53" s="259" t="s">
        <v>75</v>
      </c>
      <c r="E53" s="258" t="s">
        <v>159</v>
      </c>
      <c r="F53" s="86">
        <v>900</v>
      </c>
      <c r="G53" s="86">
        <v>1800</v>
      </c>
      <c r="H53" s="261" t="s">
        <v>186</v>
      </c>
      <c r="I53" s="261" t="s">
        <v>35</v>
      </c>
      <c r="J53" s="261" t="s">
        <v>140</v>
      </c>
      <c r="K53" s="315" t="s">
        <v>76</v>
      </c>
      <c r="L53" s="132"/>
      <c r="M53" s="132" t="s">
        <v>112</v>
      </c>
      <c r="N53" s="280" t="s">
        <v>187</v>
      </c>
      <c r="O53" s="276" t="s">
        <v>174</v>
      </c>
      <c r="P53" s="295"/>
      <c r="Q53" s="303"/>
      <c r="R53" s="275">
        <v>500000</v>
      </c>
      <c r="S53" s="162">
        <f t="shared" si="3"/>
        <v>9</v>
      </c>
      <c r="T53" s="259"/>
      <c r="U53" s="270">
        <f t="shared" si="6"/>
        <v>4500000</v>
      </c>
      <c r="V53" s="165">
        <f t="shared" si="4"/>
        <v>500000</v>
      </c>
      <c r="W53" s="90"/>
      <c r="X53" s="91"/>
      <c r="Y53" s="90"/>
    </row>
    <row r="54" spans="1:25" s="82" customFormat="1" ht="13">
      <c r="A54" s="81">
        <f t="shared" si="2"/>
        <v>48</v>
      </c>
      <c r="B54" s="81">
        <v>48</v>
      </c>
      <c r="C54" s="94">
        <v>4017</v>
      </c>
      <c r="D54" s="94" t="s">
        <v>75</v>
      </c>
      <c r="E54" s="102">
        <v>44960</v>
      </c>
      <c r="F54" s="86">
        <v>900</v>
      </c>
      <c r="G54" s="86">
        <v>1800</v>
      </c>
      <c r="H54" s="94" t="s">
        <v>186</v>
      </c>
      <c r="I54" s="140" t="s">
        <v>35</v>
      </c>
      <c r="J54" s="140" t="s">
        <v>140</v>
      </c>
      <c r="K54" s="316">
        <v>6</v>
      </c>
      <c r="L54" s="132"/>
      <c r="M54" s="132" t="s">
        <v>112</v>
      </c>
      <c r="N54" s="310" t="s">
        <v>188</v>
      </c>
      <c r="O54" s="132" t="s">
        <v>174</v>
      </c>
      <c r="P54" s="132"/>
      <c r="Q54" s="303"/>
      <c r="R54" s="275">
        <v>500000</v>
      </c>
      <c r="S54" s="162">
        <f t="shared" si="3"/>
        <v>9</v>
      </c>
      <c r="T54" s="94"/>
      <c r="U54" s="270">
        <f t="shared" si="6"/>
        <v>4500000</v>
      </c>
      <c r="V54" s="165">
        <f t="shared" si="4"/>
        <v>500000</v>
      </c>
    </row>
    <row r="55" spans="1:25" s="82" customFormat="1" ht="13">
      <c r="A55" s="81">
        <f t="shared" si="2"/>
        <v>49</v>
      </c>
      <c r="B55" s="81">
        <v>49</v>
      </c>
      <c r="C55" s="94">
        <v>4016</v>
      </c>
      <c r="D55" s="94" t="s">
        <v>75</v>
      </c>
      <c r="E55" s="102">
        <v>44929</v>
      </c>
      <c r="F55" s="86">
        <v>900</v>
      </c>
      <c r="G55" s="86">
        <v>1800</v>
      </c>
      <c r="H55" s="94" t="s">
        <v>186</v>
      </c>
      <c r="I55" s="140" t="s">
        <v>35</v>
      </c>
      <c r="J55" s="140" t="s">
        <v>140</v>
      </c>
      <c r="K55" s="316">
        <v>6</v>
      </c>
      <c r="L55" s="132"/>
      <c r="M55" s="132" t="s">
        <v>112</v>
      </c>
      <c r="N55" s="310" t="s">
        <v>189</v>
      </c>
      <c r="O55" s="132" t="s">
        <v>174</v>
      </c>
      <c r="P55" s="132"/>
      <c r="Q55" s="303"/>
      <c r="R55" s="275">
        <v>500000</v>
      </c>
      <c r="S55" s="162">
        <f t="shared" si="3"/>
        <v>9</v>
      </c>
      <c r="T55" s="94"/>
      <c r="U55" s="122">
        <f t="shared" si="6"/>
        <v>4500000</v>
      </c>
      <c r="V55" s="165">
        <f t="shared" si="4"/>
        <v>500000</v>
      </c>
    </row>
    <row r="56" spans="1:25" s="82" customFormat="1" ht="13">
      <c r="A56" s="81">
        <f t="shared" si="2"/>
        <v>50</v>
      </c>
      <c r="B56" s="81">
        <v>50</v>
      </c>
      <c r="C56" s="94">
        <v>4014</v>
      </c>
      <c r="D56" s="94" t="s">
        <v>43</v>
      </c>
      <c r="E56" s="102">
        <v>44960</v>
      </c>
      <c r="F56" s="86">
        <v>900</v>
      </c>
      <c r="G56" s="86">
        <v>1330</v>
      </c>
      <c r="H56" s="94" t="s">
        <v>186</v>
      </c>
      <c r="I56" s="140" t="s">
        <v>35</v>
      </c>
      <c r="J56" s="140" t="s">
        <v>36</v>
      </c>
      <c r="K56" s="316">
        <v>6</v>
      </c>
      <c r="L56" s="132"/>
      <c r="M56" s="132" t="s">
        <v>112</v>
      </c>
      <c r="N56" s="281" t="s">
        <v>190</v>
      </c>
      <c r="O56" s="132" t="s">
        <v>40</v>
      </c>
      <c r="P56" s="132"/>
      <c r="Q56" s="275">
        <f>R56*3</f>
        <v>1500000</v>
      </c>
      <c r="R56" s="275">
        <v>500000</v>
      </c>
      <c r="S56" s="162">
        <f>(1350-F56)/100</f>
        <v>4.5</v>
      </c>
      <c r="T56" s="94"/>
      <c r="U56" s="122">
        <f t="shared" si="6"/>
        <v>2250000</v>
      </c>
      <c r="V56" s="124">
        <f>Q56+((S56-4)*R56)</f>
        <v>1750000</v>
      </c>
    </row>
    <row r="57" spans="1:25" s="82" customFormat="1" ht="13" hidden="1">
      <c r="A57" s="81">
        <f t="shared" si="2"/>
        <v>51</v>
      </c>
      <c r="B57" s="81">
        <v>51</v>
      </c>
      <c r="C57" s="94">
        <v>4013</v>
      </c>
      <c r="D57" s="94" t="s">
        <v>43</v>
      </c>
      <c r="E57" s="102">
        <v>44929</v>
      </c>
      <c r="F57" s="86">
        <v>900</v>
      </c>
      <c r="G57" s="86">
        <v>1700</v>
      </c>
      <c r="H57" s="94" t="s">
        <v>186</v>
      </c>
      <c r="I57" s="140" t="s">
        <v>35</v>
      </c>
      <c r="J57" s="140" t="s">
        <v>36</v>
      </c>
      <c r="K57" s="316">
        <v>6</v>
      </c>
      <c r="L57" s="132"/>
      <c r="M57" s="132" t="s">
        <v>112</v>
      </c>
      <c r="N57" s="281" t="s">
        <v>191</v>
      </c>
      <c r="O57" s="132" t="s">
        <v>40</v>
      </c>
      <c r="P57" s="312">
        <v>100</v>
      </c>
      <c r="Q57" s="275"/>
      <c r="R57" s="275">
        <v>500000</v>
      </c>
      <c r="S57" s="162">
        <f t="shared" si="3"/>
        <v>8</v>
      </c>
      <c r="T57" s="94"/>
      <c r="U57" s="270">
        <f t="shared" si="6"/>
        <v>0</v>
      </c>
      <c r="V57" s="124">
        <f t="shared" ref="V57:V71" si="9">Q57+((S57-8)*R57)</f>
        <v>0</v>
      </c>
    </row>
    <row r="58" spans="1:25" s="82" customFormat="1" ht="13">
      <c r="A58" s="81">
        <f t="shared" si="2"/>
        <v>52</v>
      </c>
      <c r="B58" s="81">
        <v>52</v>
      </c>
      <c r="C58" s="87" t="s">
        <v>192</v>
      </c>
      <c r="D58" s="88" t="s">
        <v>32</v>
      </c>
      <c r="E58" s="87" t="s">
        <v>115</v>
      </c>
      <c r="F58" s="86">
        <v>1300</v>
      </c>
      <c r="G58" s="86">
        <v>1800</v>
      </c>
      <c r="H58" s="89" t="s">
        <v>153</v>
      </c>
      <c r="I58" s="89" t="s">
        <v>35</v>
      </c>
      <c r="J58" s="89" t="s">
        <v>36</v>
      </c>
      <c r="K58" s="318" t="s">
        <v>37</v>
      </c>
      <c r="L58" s="294"/>
      <c r="M58" s="132" t="s">
        <v>47</v>
      </c>
      <c r="N58" s="313" t="s">
        <v>193</v>
      </c>
      <c r="O58" s="306" t="s">
        <v>40</v>
      </c>
      <c r="P58" s="294"/>
      <c r="Q58" s="298">
        <f>R58*3</f>
        <v>2850000</v>
      </c>
      <c r="R58" s="275">
        <v>950000</v>
      </c>
      <c r="S58" s="162">
        <f t="shared" si="3"/>
        <v>5</v>
      </c>
      <c r="T58" s="88"/>
      <c r="U58" s="122">
        <f t="shared" si="6"/>
        <v>4750000</v>
      </c>
      <c r="V58" s="124">
        <f>Q58+((S58-4)*R58)</f>
        <v>3800000</v>
      </c>
      <c r="W58" s="90"/>
      <c r="X58" s="91"/>
      <c r="Y58" s="90"/>
    </row>
    <row r="59" spans="1:25" s="82" customFormat="1" ht="13">
      <c r="A59" s="81">
        <f t="shared" si="2"/>
        <v>53</v>
      </c>
      <c r="B59" s="81">
        <v>53</v>
      </c>
      <c r="C59" s="94">
        <v>4003</v>
      </c>
      <c r="D59" s="94" t="s">
        <v>32</v>
      </c>
      <c r="E59" s="102" t="s">
        <v>110</v>
      </c>
      <c r="F59" s="86">
        <v>1300</v>
      </c>
      <c r="G59" s="86">
        <v>1800</v>
      </c>
      <c r="H59" s="94" t="s">
        <v>153</v>
      </c>
      <c r="I59" s="140" t="s">
        <v>35</v>
      </c>
      <c r="J59" s="140" t="s">
        <v>36</v>
      </c>
      <c r="K59" s="316">
        <v>12</v>
      </c>
      <c r="L59" s="132"/>
      <c r="M59" s="132" t="s">
        <v>47</v>
      </c>
      <c r="N59" s="310" t="s">
        <v>194</v>
      </c>
      <c r="O59" s="132" t="s">
        <v>40</v>
      </c>
      <c r="P59" s="132"/>
      <c r="Q59" s="298">
        <f>R59*3</f>
        <v>2850000</v>
      </c>
      <c r="R59" s="275">
        <v>950000</v>
      </c>
      <c r="S59" s="162">
        <f t="shared" si="3"/>
        <v>5</v>
      </c>
      <c r="T59" s="94"/>
      <c r="U59" s="122">
        <f t="shared" si="6"/>
        <v>4750000</v>
      </c>
      <c r="V59" s="124">
        <f>Q59+((S59-4)*R59)</f>
        <v>3800000</v>
      </c>
    </row>
    <row r="60" spans="1:25" s="82" customFormat="1" ht="13">
      <c r="A60" s="81">
        <f t="shared" si="2"/>
        <v>54</v>
      </c>
      <c r="B60" s="81">
        <v>54</v>
      </c>
      <c r="C60" s="94">
        <v>3996</v>
      </c>
      <c r="D60" s="94" t="s">
        <v>32</v>
      </c>
      <c r="E60" s="102">
        <v>45141</v>
      </c>
      <c r="F60" s="86">
        <v>1400</v>
      </c>
      <c r="G60" s="86">
        <v>1700</v>
      </c>
      <c r="H60" s="94" t="s">
        <v>195</v>
      </c>
      <c r="I60" s="140" t="s">
        <v>35</v>
      </c>
      <c r="J60" s="140" t="s">
        <v>36</v>
      </c>
      <c r="K60" s="316">
        <v>12</v>
      </c>
      <c r="L60" s="132"/>
      <c r="M60" s="132" t="s">
        <v>112</v>
      </c>
      <c r="N60" s="281" t="s">
        <v>196</v>
      </c>
      <c r="O60" s="132" t="s">
        <v>40</v>
      </c>
      <c r="P60" s="132"/>
      <c r="Q60" s="275"/>
      <c r="R60" s="275">
        <v>950000</v>
      </c>
      <c r="S60" s="162">
        <f t="shared" si="3"/>
        <v>3</v>
      </c>
      <c r="T60" s="94"/>
      <c r="U60" s="270">
        <f t="shared" si="6"/>
        <v>2850000</v>
      </c>
      <c r="V60" s="124">
        <f>U60</f>
        <v>2850000</v>
      </c>
    </row>
    <row r="61" spans="1:25" s="82" customFormat="1" ht="13">
      <c r="A61" s="81">
        <f t="shared" si="2"/>
        <v>55</v>
      </c>
      <c r="B61" s="81"/>
      <c r="C61" s="103" t="s">
        <v>197</v>
      </c>
      <c r="D61" s="94" t="s">
        <v>198</v>
      </c>
      <c r="E61" s="102">
        <v>45172</v>
      </c>
      <c r="F61" s="86">
        <v>830</v>
      </c>
      <c r="G61" s="86">
        <v>1030</v>
      </c>
      <c r="H61" s="94" t="s">
        <v>199</v>
      </c>
      <c r="I61" s="140" t="s">
        <v>88</v>
      </c>
      <c r="J61" s="140" t="s">
        <v>200</v>
      </c>
      <c r="K61" s="316">
        <v>50</v>
      </c>
      <c r="L61" s="132"/>
      <c r="M61" s="132" t="s">
        <v>199</v>
      </c>
      <c r="N61" s="281"/>
      <c r="O61" s="132" t="s">
        <v>40</v>
      </c>
      <c r="P61" s="132"/>
      <c r="Q61" s="308"/>
      <c r="R61" s="275">
        <v>2200000</v>
      </c>
      <c r="S61" s="162">
        <f t="shared" si="3"/>
        <v>2</v>
      </c>
      <c r="T61" s="94"/>
      <c r="U61" s="270">
        <f t="shared" si="6"/>
        <v>4400000</v>
      </c>
      <c r="V61" s="124">
        <f>U61</f>
        <v>4400000</v>
      </c>
    </row>
    <row r="62" spans="1:25" s="82" customFormat="1" ht="13">
      <c r="A62" s="81">
        <f t="shared" si="2"/>
        <v>56</v>
      </c>
      <c r="B62" s="81"/>
      <c r="C62" s="103" t="s">
        <v>197</v>
      </c>
      <c r="D62" s="94" t="s">
        <v>75</v>
      </c>
      <c r="E62" s="102">
        <v>44929</v>
      </c>
      <c r="F62" s="86">
        <v>900</v>
      </c>
      <c r="G62" s="86">
        <v>1800</v>
      </c>
      <c r="H62" s="94" t="s">
        <v>186</v>
      </c>
      <c r="I62" s="140" t="s">
        <v>35</v>
      </c>
      <c r="J62" s="140" t="s">
        <v>201</v>
      </c>
      <c r="K62" s="316"/>
      <c r="L62" s="314" t="s">
        <v>202</v>
      </c>
      <c r="M62" s="132" t="s">
        <v>112</v>
      </c>
      <c r="N62" s="281"/>
      <c r="O62" s="132" t="s">
        <v>40</v>
      </c>
      <c r="P62" s="132"/>
      <c r="Q62" s="275">
        <f>R62*6</f>
        <v>3000000</v>
      </c>
      <c r="R62" s="275">
        <v>500000</v>
      </c>
      <c r="S62" s="162">
        <f t="shared" si="3"/>
        <v>9</v>
      </c>
      <c r="T62" s="94"/>
      <c r="U62" s="270">
        <f t="shared" si="6"/>
        <v>4500000</v>
      </c>
      <c r="V62" s="124">
        <f t="shared" si="9"/>
        <v>3500000</v>
      </c>
    </row>
    <row r="63" spans="1:25" s="82" customFormat="1" ht="13">
      <c r="A63" s="81">
        <f t="shared" si="2"/>
        <v>57</v>
      </c>
      <c r="B63" s="81"/>
      <c r="C63" s="103" t="s">
        <v>197</v>
      </c>
      <c r="D63" s="94" t="s">
        <v>75</v>
      </c>
      <c r="E63" s="102">
        <v>44960</v>
      </c>
      <c r="F63" s="86">
        <v>900</v>
      </c>
      <c r="G63" s="86">
        <v>1800</v>
      </c>
      <c r="H63" s="94" t="s">
        <v>186</v>
      </c>
      <c r="I63" s="140" t="s">
        <v>35</v>
      </c>
      <c r="J63" s="140" t="s">
        <v>201</v>
      </c>
      <c r="K63" s="316"/>
      <c r="L63" s="314" t="s">
        <v>203</v>
      </c>
      <c r="M63" s="132" t="s">
        <v>112</v>
      </c>
      <c r="N63" s="281"/>
      <c r="O63" s="132" t="s">
        <v>40</v>
      </c>
      <c r="P63" s="132">
        <v>50</v>
      </c>
      <c r="Q63" s="275">
        <f>R63*6</f>
        <v>3000000</v>
      </c>
      <c r="R63" s="275">
        <v>500000</v>
      </c>
      <c r="S63" s="162">
        <f t="shared" si="3"/>
        <v>9</v>
      </c>
      <c r="T63" s="94"/>
      <c r="U63" s="270">
        <f t="shared" si="6"/>
        <v>2250000</v>
      </c>
      <c r="V63" s="124">
        <f>(Q63+((S63-8)*R63))*50/100</f>
        <v>1750000</v>
      </c>
    </row>
    <row r="64" spans="1:25" s="82" customFormat="1" ht="13">
      <c r="A64" s="81">
        <f t="shared" si="2"/>
        <v>58</v>
      </c>
      <c r="B64" s="81"/>
      <c r="C64" s="103" t="s">
        <v>197</v>
      </c>
      <c r="D64" s="94" t="s">
        <v>198</v>
      </c>
      <c r="E64" s="102" t="s">
        <v>50</v>
      </c>
      <c r="F64" s="86">
        <v>900</v>
      </c>
      <c r="G64" s="86">
        <v>1700</v>
      </c>
      <c r="H64" s="94" t="s">
        <v>204</v>
      </c>
      <c r="I64" s="140" t="s">
        <v>35</v>
      </c>
      <c r="J64" s="140" t="s">
        <v>205</v>
      </c>
      <c r="K64" s="316">
        <v>25</v>
      </c>
      <c r="L64" s="132" t="s">
        <v>206</v>
      </c>
      <c r="M64" s="132" t="s">
        <v>172</v>
      </c>
      <c r="N64" s="281"/>
      <c r="O64" s="132" t="s">
        <v>40</v>
      </c>
      <c r="P64" s="132"/>
      <c r="Q64" s="275">
        <f>R64*6</f>
        <v>13200000</v>
      </c>
      <c r="R64" s="275">
        <v>2200000</v>
      </c>
      <c r="S64" s="162">
        <f t="shared" si="3"/>
        <v>8</v>
      </c>
      <c r="T64" s="94"/>
      <c r="U64" s="122">
        <f t="shared" si="6"/>
        <v>17600000</v>
      </c>
      <c r="V64" s="124">
        <f t="shared" si="9"/>
        <v>13200000</v>
      </c>
    </row>
    <row r="65" spans="1:22" s="82" customFormat="1" ht="13">
      <c r="A65" s="81">
        <f t="shared" si="2"/>
        <v>59</v>
      </c>
      <c r="B65" s="81"/>
      <c r="C65" s="103" t="s">
        <v>197</v>
      </c>
      <c r="D65" s="94" t="s">
        <v>32</v>
      </c>
      <c r="E65" s="102" t="s">
        <v>50</v>
      </c>
      <c r="F65" s="86">
        <v>900</v>
      </c>
      <c r="G65" s="86">
        <v>1100</v>
      </c>
      <c r="H65" s="94" t="s">
        <v>204</v>
      </c>
      <c r="I65" s="140" t="s">
        <v>35</v>
      </c>
      <c r="J65" s="140" t="s">
        <v>205</v>
      </c>
      <c r="K65" s="316">
        <v>16</v>
      </c>
      <c r="L65" s="132"/>
      <c r="M65" s="132" t="s">
        <v>172</v>
      </c>
      <c r="N65" s="281"/>
      <c r="O65" s="132" t="s">
        <v>40</v>
      </c>
      <c r="P65" s="132"/>
      <c r="Q65" s="275"/>
      <c r="R65" s="275">
        <v>950000</v>
      </c>
      <c r="S65" s="162">
        <f t="shared" si="3"/>
        <v>2</v>
      </c>
      <c r="T65" s="94"/>
      <c r="U65" s="122">
        <f t="shared" si="6"/>
        <v>1900000</v>
      </c>
      <c r="V65" s="124">
        <f>U65</f>
        <v>1900000</v>
      </c>
    </row>
    <row r="66" spans="1:22" s="82" customFormat="1" ht="13">
      <c r="A66" s="81">
        <f t="shared" si="2"/>
        <v>60</v>
      </c>
      <c r="B66" s="81"/>
      <c r="C66" s="103" t="s">
        <v>197</v>
      </c>
      <c r="D66" s="94" t="s">
        <v>198</v>
      </c>
      <c r="E66" s="102" t="s">
        <v>207</v>
      </c>
      <c r="F66" s="86">
        <v>900</v>
      </c>
      <c r="G66" s="86">
        <v>1800</v>
      </c>
      <c r="H66" s="94" t="s">
        <v>204</v>
      </c>
      <c r="I66" s="140" t="s">
        <v>35</v>
      </c>
      <c r="J66" s="140" t="s">
        <v>205</v>
      </c>
      <c r="K66" s="316">
        <v>25</v>
      </c>
      <c r="L66" s="132" t="s">
        <v>206</v>
      </c>
      <c r="M66" s="132" t="s">
        <v>172</v>
      </c>
      <c r="N66" s="281"/>
      <c r="O66" s="132" t="s">
        <v>40</v>
      </c>
      <c r="P66" s="132"/>
      <c r="Q66" s="275">
        <f>R66*6</f>
        <v>13200000</v>
      </c>
      <c r="R66" s="275">
        <v>2200000</v>
      </c>
      <c r="S66" s="162">
        <f t="shared" si="3"/>
        <v>9</v>
      </c>
      <c r="T66" s="94"/>
      <c r="U66" s="122">
        <f t="shared" si="6"/>
        <v>19800000</v>
      </c>
      <c r="V66" s="124">
        <f t="shared" si="9"/>
        <v>15400000</v>
      </c>
    </row>
    <row r="67" spans="1:22" s="82" customFormat="1" ht="13">
      <c r="A67" s="81">
        <f t="shared" si="2"/>
        <v>61</v>
      </c>
      <c r="B67" s="81"/>
      <c r="C67" s="103" t="s">
        <v>197</v>
      </c>
      <c r="D67" s="94" t="s">
        <v>198</v>
      </c>
      <c r="E67" s="102" t="s">
        <v>44</v>
      </c>
      <c r="F67" s="86">
        <v>900</v>
      </c>
      <c r="G67" s="86">
        <v>1800</v>
      </c>
      <c r="H67" s="94" t="s">
        <v>204</v>
      </c>
      <c r="I67" s="140" t="s">
        <v>35</v>
      </c>
      <c r="J67" s="140" t="s">
        <v>205</v>
      </c>
      <c r="K67" s="316">
        <v>25</v>
      </c>
      <c r="L67" s="132" t="s">
        <v>208</v>
      </c>
      <c r="M67" s="132" t="s">
        <v>172</v>
      </c>
      <c r="N67" s="281"/>
      <c r="O67" s="132" t="s">
        <v>40</v>
      </c>
      <c r="P67" s="132"/>
      <c r="Q67" s="275">
        <f t="shared" ref="Q67:Q68" si="10">R67*6</f>
        <v>13200000</v>
      </c>
      <c r="R67" s="275">
        <v>2200000</v>
      </c>
      <c r="S67" s="162">
        <f t="shared" si="3"/>
        <v>9</v>
      </c>
      <c r="T67" s="94"/>
      <c r="U67" s="122">
        <f t="shared" si="6"/>
        <v>19800000</v>
      </c>
      <c r="V67" s="124">
        <f t="shared" si="9"/>
        <v>15400000</v>
      </c>
    </row>
    <row r="68" spans="1:22" s="82" customFormat="1" ht="13">
      <c r="A68" s="81">
        <f t="shared" si="2"/>
        <v>62</v>
      </c>
      <c r="B68" s="81"/>
      <c r="C68" s="103" t="s">
        <v>197</v>
      </c>
      <c r="D68" s="94" t="s">
        <v>198</v>
      </c>
      <c r="E68" s="102" t="s">
        <v>33</v>
      </c>
      <c r="F68" s="86">
        <v>900</v>
      </c>
      <c r="G68" s="86">
        <v>1800</v>
      </c>
      <c r="H68" s="94" t="s">
        <v>204</v>
      </c>
      <c r="I68" s="140" t="s">
        <v>35</v>
      </c>
      <c r="J68" s="140" t="s">
        <v>205</v>
      </c>
      <c r="K68" s="316">
        <v>25</v>
      </c>
      <c r="L68" s="132" t="s">
        <v>208</v>
      </c>
      <c r="M68" s="132" t="s">
        <v>172</v>
      </c>
      <c r="N68" s="281"/>
      <c r="O68" s="132" t="s">
        <v>40</v>
      </c>
      <c r="P68" s="132"/>
      <c r="Q68" s="275">
        <f t="shared" si="10"/>
        <v>13200000</v>
      </c>
      <c r="R68" s="275">
        <v>2200000</v>
      </c>
      <c r="S68" s="162">
        <f t="shared" si="3"/>
        <v>9</v>
      </c>
      <c r="T68" s="94"/>
      <c r="U68" s="122">
        <f t="shared" si="6"/>
        <v>19800000</v>
      </c>
      <c r="V68" s="124">
        <f t="shared" si="9"/>
        <v>15400000</v>
      </c>
    </row>
    <row r="69" spans="1:22" s="82" customFormat="1" ht="13">
      <c r="A69" s="81">
        <f t="shared" si="2"/>
        <v>63</v>
      </c>
      <c r="B69" s="81"/>
      <c r="C69" s="103" t="s">
        <v>197</v>
      </c>
      <c r="D69" s="94" t="s">
        <v>198</v>
      </c>
      <c r="E69" s="102" t="s">
        <v>110</v>
      </c>
      <c r="F69" s="86">
        <v>1300</v>
      </c>
      <c r="G69" s="86">
        <v>1800</v>
      </c>
      <c r="H69" s="94" t="s">
        <v>204</v>
      </c>
      <c r="I69" s="140" t="s">
        <v>35</v>
      </c>
      <c r="J69" s="140" t="s">
        <v>209</v>
      </c>
      <c r="K69" s="316">
        <v>17</v>
      </c>
      <c r="L69" s="132" t="s">
        <v>210</v>
      </c>
      <c r="M69" s="132" t="s">
        <v>172</v>
      </c>
      <c r="N69" s="281"/>
      <c r="O69" s="132" t="s">
        <v>40</v>
      </c>
      <c r="P69" s="132"/>
      <c r="Q69" s="275">
        <f>R69*3</f>
        <v>6600000</v>
      </c>
      <c r="R69" s="275">
        <v>2200000</v>
      </c>
      <c r="S69" s="162">
        <f t="shared" si="3"/>
        <v>5</v>
      </c>
      <c r="T69" s="94"/>
      <c r="U69" s="122">
        <f t="shared" si="6"/>
        <v>11000000</v>
      </c>
      <c r="V69" s="124">
        <f>Q69+((S69-4)*R69)</f>
        <v>8800000</v>
      </c>
    </row>
    <row r="70" spans="1:22" s="82" customFormat="1" ht="13">
      <c r="A70" s="81">
        <f t="shared" si="2"/>
        <v>64</v>
      </c>
      <c r="B70" s="81"/>
      <c r="C70" s="103" t="s">
        <v>197</v>
      </c>
      <c r="D70" s="94" t="s">
        <v>198</v>
      </c>
      <c r="E70" s="102" t="s">
        <v>105</v>
      </c>
      <c r="F70" s="86">
        <v>900</v>
      </c>
      <c r="G70" s="86">
        <v>1800</v>
      </c>
      <c r="H70" s="94" t="s">
        <v>204</v>
      </c>
      <c r="I70" s="140" t="s">
        <v>35</v>
      </c>
      <c r="J70" s="140" t="s">
        <v>209</v>
      </c>
      <c r="K70" s="316">
        <v>17</v>
      </c>
      <c r="L70" s="132" t="s">
        <v>210</v>
      </c>
      <c r="M70" s="132" t="s">
        <v>172</v>
      </c>
      <c r="N70" s="281"/>
      <c r="O70" s="132" t="s">
        <v>40</v>
      </c>
      <c r="P70" s="132"/>
      <c r="Q70" s="275">
        <f>R70*6</f>
        <v>13200000</v>
      </c>
      <c r="R70" s="275">
        <v>2200000</v>
      </c>
      <c r="S70" s="162">
        <f t="shared" si="3"/>
        <v>9</v>
      </c>
      <c r="T70" s="94"/>
      <c r="U70" s="122">
        <f t="shared" si="6"/>
        <v>19800000</v>
      </c>
      <c r="V70" s="124">
        <f t="shared" si="9"/>
        <v>15400000</v>
      </c>
    </row>
    <row r="71" spans="1:22" s="82" customFormat="1" ht="13">
      <c r="A71" s="81">
        <f t="shared" si="2"/>
        <v>65</v>
      </c>
      <c r="B71" s="81"/>
      <c r="C71" s="103" t="s">
        <v>197</v>
      </c>
      <c r="D71" s="94" t="s">
        <v>198</v>
      </c>
      <c r="E71" s="102" t="s">
        <v>115</v>
      </c>
      <c r="F71" s="86">
        <v>900</v>
      </c>
      <c r="G71" s="86">
        <v>1800</v>
      </c>
      <c r="H71" s="94" t="s">
        <v>204</v>
      </c>
      <c r="I71" s="140" t="s">
        <v>35</v>
      </c>
      <c r="J71" s="140" t="s">
        <v>209</v>
      </c>
      <c r="K71" s="316">
        <v>17</v>
      </c>
      <c r="L71" s="132" t="s">
        <v>210</v>
      </c>
      <c r="M71" s="132" t="s">
        <v>172</v>
      </c>
      <c r="N71" s="281"/>
      <c r="O71" s="132" t="s">
        <v>40</v>
      </c>
      <c r="P71" s="132"/>
      <c r="Q71" s="275">
        <f>R71*6</f>
        <v>13200000</v>
      </c>
      <c r="R71" s="275">
        <v>2200000</v>
      </c>
      <c r="S71" s="162">
        <f t="shared" si="3"/>
        <v>9</v>
      </c>
      <c r="T71" s="94"/>
      <c r="U71" s="122">
        <f t="shared" si="6"/>
        <v>19800000</v>
      </c>
      <c r="V71" s="124">
        <f t="shared" si="9"/>
        <v>15400000</v>
      </c>
    </row>
    <row r="72" spans="1:22" s="82" customFormat="1" ht="13">
      <c r="A72" s="81">
        <f t="shared" si="2"/>
        <v>66</v>
      </c>
      <c r="B72" s="81"/>
      <c r="C72" s="103" t="s">
        <v>197</v>
      </c>
      <c r="D72" s="94" t="s">
        <v>198</v>
      </c>
      <c r="E72" s="102" t="s">
        <v>96</v>
      </c>
      <c r="F72" s="86">
        <v>900</v>
      </c>
      <c r="G72" s="86">
        <v>1200</v>
      </c>
      <c r="H72" s="94" t="s">
        <v>204</v>
      </c>
      <c r="I72" s="140" t="s">
        <v>35</v>
      </c>
      <c r="J72" s="140" t="s">
        <v>209</v>
      </c>
      <c r="K72" s="316">
        <v>17</v>
      </c>
      <c r="L72" s="132" t="s">
        <v>210</v>
      </c>
      <c r="M72" s="132" t="s">
        <v>172</v>
      </c>
      <c r="N72" s="292"/>
      <c r="O72" s="132" t="s">
        <v>40</v>
      </c>
      <c r="P72" s="132"/>
      <c r="Q72" s="275"/>
      <c r="R72" s="275">
        <v>2200000</v>
      </c>
      <c r="S72" s="162">
        <f t="shared" ref="S72" si="11">(G72-F72)/100</f>
        <v>3</v>
      </c>
      <c r="T72" s="94"/>
      <c r="U72" s="122">
        <f t="shared" si="6"/>
        <v>6600000</v>
      </c>
      <c r="V72" s="124">
        <f>U72</f>
        <v>6600000</v>
      </c>
    </row>
    <row r="73" spans="1:22" s="82" customFormat="1" ht="13">
      <c r="A73" s="94"/>
      <c r="B73" s="94"/>
      <c r="C73" s="94"/>
      <c r="D73" s="94"/>
      <c r="E73" s="103"/>
      <c r="F73" s="94"/>
      <c r="G73" s="94"/>
      <c r="H73" s="94"/>
      <c r="I73" s="140"/>
      <c r="J73" s="140"/>
      <c r="K73" s="94"/>
      <c r="L73" s="282"/>
      <c r="M73" s="282"/>
      <c r="N73" s="322"/>
      <c r="O73" s="282"/>
      <c r="P73" s="282"/>
      <c r="Q73" s="323"/>
      <c r="R73" s="83"/>
      <c r="S73" s="94"/>
      <c r="T73" s="94"/>
      <c r="U73" s="120">
        <f>SUBTOTAL(109,U7:U72)</f>
        <v>252343000</v>
      </c>
      <c r="V73" s="123">
        <f>SUBTOTAL(109,V7:V72)</f>
        <v>197293000</v>
      </c>
    </row>
    <row r="74" spans="1:22" s="82" customFormat="1" ht="13">
      <c r="E74" s="104"/>
      <c r="I74" s="160"/>
      <c r="J74" s="160"/>
      <c r="N74" s="104"/>
      <c r="Q74" s="99"/>
      <c r="V74" s="99"/>
    </row>
    <row r="75" spans="1:22">
      <c r="N75" s="68"/>
      <c r="V75" s="98" t="e">
        <f>V73-#REF!</f>
        <v>#REF!</v>
      </c>
    </row>
    <row r="76" spans="1:22">
      <c r="N76" s="68"/>
    </row>
    <row r="77" spans="1:22">
      <c r="N77" s="68"/>
    </row>
    <row r="78" spans="1:22">
      <c r="N78" s="68"/>
    </row>
    <row r="79" spans="1:22">
      <c r="N79" s="68"/>
    </row>
    <row r="80" spans="1:22">
      <c r="N80" s="68"/>
    </row>
    <row r="81" spans="14:14">
      <c r="N81" s="68"/>
    </row>
    <row r="82" spans="14:14">
      <c r="N82" s="68"/>
    </row>
    <row r="83" spans="14:14">
      <c r="N83" s="68"/>
    </row>
    <row r="84" spans="14:14">
      <c r="N84" s="68"/>
    </row>
  </sheetData>
  <autoFilter ref="A6:AE72" xr:uid="{1028D278-910A-4D41-890F-0D5DC76C3F25}">
    <filterColumn colId="21">
      <filters>
        <filter val="1,000,000"/>
        <filter val="1,187,500"/>
        <filter val="1,500,000"/>
        <filter val="1,750,000"/>
        <filter val="1,900,000"/>
        <filter val="13,200,000"/>
        <filter val="15,400,000"/>
        <filter val="2,375,000"/>
        <filter val="2,850,000"/>
        <filter val="243,000"/>
        <filter val="250,000"/>
        <filter val="3,500,000"/>
        <filter val="3,800,000"/>
        <filter val="4,275,000"/>
        <filter val="4,400,000"/>
        <filter val="450,000"/>
        <filter val="475,000"/>
        <filter val="500,000"/>
        <filter val="540,000"/>
        <filter val="6,600,000"/>
        <filter val="6,650,000"/>
        <filter val="625,000"/>
        <filter val="750,000"/>
        <filter val="8,800,000"/>
        <filter val="810,000"/>
        <filter val="950,000"/>
      </filters>
    </filterColumn>
  </autoFilter>
  <mergeCells count="3">
    <mergeCell ref="A2:U2"/>
    <mergeCell ref="A3:U3"/>
    <mergeCell ref="A4:U4"/>
  </mergeCells>
  <pageMargins left="0.7" right="0.7" top="0.75" bottom="0.75" header="0.3" footer="0.3"/>
  <pageSetup scale="30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8D278-910A-4D41-890F-0D5DC76C3F25}">
  <sheetPr codeName="Sheet3" filterMode="1">
    <pageSetUpPr fitToPage="1"/>
  </sheetPr>
  <dimension ref="A2:AE74"/>
  <sheetViews>
    <sheetView topLeftCell="C1" workbookViewId="0">
      <selection activeCell="V9" sqref="V9:V71"/>
    </sheetView>
  </sheetViews>
  <sheetFormatPr defaultColWidth="9.1796875" defaultRowHeight="14.5"/>
  <cols>
    <col min="1" max="2" width="8.81640625" style="100" customWidth="1"/>
    <col min="3" max="3" width="8.81640625" style="100" bestFit="1" customWidth="1"/>
    <col min="4" max="4" width="27.26953125" style="100" customWidth="1"/>
    <col min="5" max="5" width="13.81640625" style="68" customWidth="1"/>
    <col min="6" max="6" width="8.81640625" style="100" bestFit="1" customWidth="1"/>
    <col min="7" max="7" width="10" style="100" customWidth="1"/>
    <col min="8" max="8" width="20.7265625" style="100" customWidth="1"/>
    <col min="9" max="9" width="11.26953125" style="59" customWidth="1"/>
    <col min="10" max="10" width="15.26953125" style="59" customWidth="1"/>
    <col min="11" max="11" width="9.26953125" style="100" customWidth="1"/>
    <col min="12" max="12" width="14.1796875" style="100" hidden="1" customWidth="1"/>
    <col min="13" max="13" width="10.1796875" style="100" customWidth="1"/>
    <col min="14" max="14" width="22.26953125" style="157" customWidth="1"/>
    <col min="15" max="15" width="12.54296875" style="100" customWidth="1"/>
    <col min="16" max="16" width="9.1796875" style="100"/>
    <col min="17" max="17" width="13.26953125" style="101" customWidth="1"/>
    <col min="18" max="18" width="11.26953125" style="100" bestFit="1" customWidth="1"/>
    <col min="19" max="20" width="9.1796875" style="100"/>
    <col min="21" max="21" width="12.54296875" style="100" bestFit="1" customWidth="1"/>
    <col min="22" max="22" width="12.54296875" style="101" bestFit="1" customWidth="1"/>
    <col min="23" max="23" width="10.26953125" style="100" bestFit="1" customWidth="1"/>
    <col min="24" max="16384" width="9.1796875" style="100"/>
  </cols>
  <sheetData>
    <row r="2" spans="1:31" s="57" customFormat="1" ht="20.25" customHeight="1">
      <c r="A2" s="2112" t="s">
        <v>0</v>
      </c>
      <c r="B2" s="2112"/>
      <c r="C2" s="2112"/>
      <c r="D2" s="2112"/>
      <c r="E2" s="2113"/>
      <c r="F2" s="2112"/>
      <c r="G2" s="2112"/>
      <c r="H2" s="2112"/>
      <c r="I2" s="2112"/>
      <c r="J2" s="2112"/>
      <c r="K2" s="2114"/>
      <c r="L2" s="2112"/>
      <c r="M2" s="2113"/>
      <c r="N2" s="2115"/>
      <c r="O2" s="2114"/>
      <c r="P2" s="2112"/>
      <c r="Q2" s="2112"/>
      <c r="R2" s="2112"/>
      <c r="S2" s="2112"/>
      <c r="T2" s="2112"/>
      <c r="U2" s="2112"/>
      <c r="V2" s="53"/>
      <c r="W2" s="54"/>
      <c r="X2" s="52"/>
      <c r="Y2" s="55"/>
      <c r="Z2" s="56"/>
      <c r="AD2" s="58"/>
      <c r="AE2" s="59" t="s">
        <v>1</v>
      </c>
    </row>
    <row r="3" spans="1:31" s="57" customFormat="1" ht="20.25" customHeight="1">
      <c r="A3" s="2116" t="s">
        <v>2</v>
      </c>
      <c r="B3" s="2116"/>
      <c r="C3" s="2116"/>
      <c r="D3" s="2116"/>
      <c r="E3" s="2117"/>
      <c r="F3" s="2116"/>
      <c r="G3" s="2116"/>
      <c r="H3" s="2116"/>
      <c r="I3" s="2116"/>
      <c r="J3" s="2116"/>
      <c r="K3" s="2118"/>
      <c r="L3" s="2116"/>
      <c r="M3" s="2117"/>
      <c r="N3" s="2119"/>
      <c r="O3" s="2118"/>
      <c r="P3" s="2116"/>
      <c r="Q3" s="2116"/>
      <c r="R3" s="2116"/>
      <c r="S3" s="2116"/>
      <c r="T3" s="2116"/>
      <c r="U3" s="2116"/>
      <c r="V3" s="61"/>
      <c r="W3" s="62"/>
      <c r="X3" s="60"/>
      <c r="Y3" s="63"/>
      <c r="Z3" s="56"/>
      <c r="AD3" s="64"/>
      <c r="AE3" s="59" t="s">
        <v>3</v>
      </c>
    </row>
    <row r="4" spans="1:31" s="57" customFormat="1" ht="20.25" customHeight="1">
      <c r="A4" s="2116" t="s">
        <v>211</v>
      </c>
      <c r="B4" s="2116"/>
      <c r="C4" s="2116"/>
      <c r="D4" s="2116"/>
      <c r="E4" s="2117"/>
      <c r="F4" s="2116"/>
      <c r="G4" s="2116"/>
      <c r="H4" s="2116"/>
      <c r="I4" s="2116"/>
      <c r="J4" s="2116"/>
      <c r="K4" s="2118"/>
      <c r="L4" s="2116"/>
      <c r="M4" s="2117"/>
      <c r="N4" s="2119"/>
      <c r="O4" s="2118"/>
      <c r="P4" s="2116"/>
      <c r="Q4" s="2116"/>
      <c r="R4" s="2116"/>
      <c r="S4" s="2116"/>
      <c r="T4" s="2116"/>
      <c r="U4" s="2116"/>
      <c r="V4" s="61"/>
      <c r="W4" s="62"/>
      <c r="X4" s="60"/>
      <c r="Y4" s="63"/>
      <c r="Z4" s="56"/>
      <c r="AD4" s="65"/>
      <c r="AE4" s="59" t="s">
        <v>5</v>
      </c>
    </row>
    <row r="5" spans="1:31" s="57" customFormat="1" ht="6" customHeight="1">
      <c r="D5" s="66"/>
      <c r="E5" s="67"/>
      <c r="F5" s="67"/>
      <c r="G5" s="67"/>
      <c r="H5" s="66"/>
      <c r="I5" s="66"/>
      <c r="J5" s="66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</row>
    <row r="6" spans="1:31" s="79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61" t="s">
        <v>13</v>
      </c>
      <c r="J6" s="159" t="s">
        <v>14</v>
      </c>
      <c r="K6" s="225" t="s">
        <v>15</v>
      </c>
      <c r="L6" s="74" t="s">
        <v>16</v>
      </c>
      <c r="M6" s="74" t="s">
        <v>17</v>
      </c>
      <c r="N6" s="75" t="s">
        <v>18</v>
      </c>
      <c r="O6" s="76" t="s">
        <v>19</v>
      </c>
      <c r="P6" s="74" t="s">
        <v>20</v>
      </c>
      <c r="Q6" s="136" t="s">
        <v>21</v>
      </c>
      <c r="R6" s="74" t="s">
        <v>22</v>
      </c>
      <c r="S6" s="74" t="s">
        <v>23</v>
      </c>
      <c r="T6" s="74" t="s">
        <v>24</v>
      </c>
      <c r="U6" s="78" t="s">
        <v>25</v>
      </c>
      <c r="V6" s="134" t="s">
        <v>26</v>
      </c>
      <c r="Z6" s="72" t="s">
        <v>27</v>
      </c>
      <c r="AA6" s="80" t="s">
        <v>28</v>
      </c>
      <c r="AB6" s="74" t="s">
        <v>29</v>
      </c>
      <c r="AC6" s="72" t="s">
        <v>30</v>
      </c>
    </row>
    <row r="7" spans="1:31" s="82" customFormat="1" ht="13" hidden="1">
      <c r="A7" s="166">
        <f>ROW()-6</f>
        <v>1</v>
      </c>
      <c r="B7" s="166"/>
      <c r="C7" s="167"/>
      <c r="D7" s="168" t="s">
        <v>198</v>
      </c>
      <c r="E7" s="169">
        <v>45201</v>
      </c>
      <c r="F7" s="170">
        <v>1100</v>
      </c>
      <c r="G7" s="170">
        <v>1200</v>
      </c>
      <c r="H7" s="171"/>
      <c r="I7" s="171" t="s">
        <v>35</v>
      </c>
      <c r="J7" s="171" t="s">
        <v>212</v>
      </c>
      <c r="K7" s="171">
        <v>20</v>
      </c>
      <c r="L7" s="89"/>
      <c r="M7" s="172" t="s">
        <v>172</v>
      </c>
      <c r="N7" s="219"/>
      <c r="O7" s="168" t="s">
        <v>40</v>
      </c>
      <c r="P7" s="171"/>
      <c r="Q7" s="173"/>
      <c r="R7" s="174">
        <v>2200000</v>
      </c>
      <c r="S7" s="175">
        <f>(G7-F7)/100</f>
        <v>1</v>
      </c>
      <c r="T7" s="168"/>
      <c r="U7" s="176">
        <f t="shared" ref="U7:U31" si="0">S7*R7*(100-P7)/100</f>
        <v>2200000</v>
      </c>
      <c r="V7" s="130">
        <f t="shared" ref="V7:V13" si="1">U7</f>
        <v>2200000</v>
      </c>
      <c r="W7" s="90"/>
      <c r="X7" s="91"/>
      <c r="Y7" s="90"/>
    </row>
    <row r="8" spans="1:31" s="82" customFormat="1" ht="13" hidden="1">
      <c r="A8" s="166">
        <f t="shared" ref="A8:A71" si="2">ROW()-6</f>
        <v>2</v>
      </c>
      <c r="B8" s="166"/>
      <c r="C8" s="167"/>
      <c r="D8" s="168" t="s">
        <v>198</v>
      </c>
      <c r="E8" s="169">
        <v>45201</v>
      </c>
      <c r="F8" s="170">
        <v>1500</v>
      </c>
      <c r="G8" s="170">
        <v>1800</v>
      </c>
      <c r="H8" s="171"/>
      <c r="I8" s="171" t="s">
        <v>35</v>
      </c>
      <c r="J8" s="171" t="s">
        <v>212</v>
      </c>
      <c r="K8" s="171">
        <v>20</v>
      </c>
      <c r="L8" s="89"/>
      <c r="M8" s="172" t="s">
        <v>172</v>
      </c>
      <c r="N8" s="219"/>
      <c r="O8" s="168" t="s">
        <v>40</v>
      </c>
      <c r="P8" s="171"/>
      <c r="Q8" s="173"/>
      <c r="R8" s="174">
        <v>2200000</v>
      </c>
      <c r="S8" s="175">
        <f t="shared" ref="S8:S19" si="3">(G8-F8)/100</f>
        <v>3</v>
      </c>
      <c r="T8" s="168"/>
      <c r="U8" s="176">
        <f t="shared" si="0"/>
        <v>6600000</v>
      </c>
      <c r="V8" s="130">
        <f t="shared" si="1"/>
        <v>6600000</v>
      </c>
      <c r="W8" s="90"/>
      <c r="X8" s="91"/>
      <c r="Y8" s="90"/>
    </row>
    <row r="9" spans="1:31" s="82" customFormat="1" ht="13">
      <c r="A9" s="166">
        <f t="shared" si="2"/>
        <v>3</v>
      </c>
      <c r="B9" s="166"/>
      <c r="C9" s="167"/>
      <c r="D9" s="168" t="s">
        <v>43</v>
      </c>
      <c r="E9" s="169">
        <v>44987</v>
      </c>
      <c r="F9" s="170">
        <v>1400</v>
      </c>
      <c r="G9" s="170">
        <v>1500</v>
      </c>
      <c r="H9" s="144" t="s">
        <v>213</v>
      </c>
      <c r="I9" s="190" t="s">
        <v>35</v>
      </c>
      <c r="J9" s="190" t="s">
        <v>214</v>
      </c>
      <c r="K9" s="171"/>
      <c r="L9" s="89"/>
      <c r="M9" s="172" t="s">
        <v>47</v>
      </c>
      <c r="N9" s="219"/>
      <c r="O9" s="168" t="s">
        <v>40</v>
      </c>
      <c r="P9" s="171" t="s">
        <v>215</v>
      </c>
      <c r="Q9" s="174"/>
      <c r="R9" s="191">
        <v>500000</v>
      </c>
      <c r="S9" s="175">
        <f t="shared" si="3"/>
        <v>1</v>
      </c>
      <c r="T9" s="168"/>
      <c r="U9" s="176">
        <f t="shared" si="0"/>
        <v>250000</v>
      </c>
      <c r="V9" s="130">
        <f>U9</f>
        <v>250000</v>
      </c>
      <c r="W9" s="90"/>
      <c r="X9" s="91"/>
      <c r="Y9" s="90"/>
    </row>
    <row r="10" spans="1:31" s="82" customFormat="1" ht="13">
      <c r="A10" s="166">
        <f t="shared" si="2"/>
        <v>4</v>
      </c>
      <c r="B10" s="166"/>
      <c r="C10" s="167"/>
      <c r="D10" s="168" t="s">
        <v>43</v>
      </c>
      <c r="E10" s="169">
        <v>44987</v>
      </c>
      <c r="F10" s="170">
        <v>930</v>
      </c>
      <c r="G10" s="170">
        <v>1030</v>
      </c>
      <c r="H10" s="144" t="s">
        <v>213</v>
      </c>
      <c r="I10" s="190" t="s">
        <v>35</v>
      </c>
      <c r="J10" s="190" t="s">
        <v>214</v>
      </c>
      <c r="K10" s="171"/>
      <c r="L10" s="89"/>
      <c r="M10" s="172" t="s">
        <v>47</v>
      </c>
      <c r="N10" s="219"/>
      <c r="O10" s="168" t="s">
        <v>40</v>
      </c>
      <c r="P10" s="171" t="s">
        <v>215</v>
      </c>
      <c r="Q10" s="174"/>
      <c r="R10" s="191">
        <v>500000</v>
      </c>
      <c r="S10" s="175">
        <f t="shared" si="3"/>
        <v>1</v>
      </c>
      <c r="T10" s="168"/>
      <c r="U10" s="176">
        <f t="shared" si="0"/>
        <v>250000</v>
      </c>
      <c r="V10" s="130">
        <f>U10</f>
        <v>250000</v>
      </c>
      <c r="W10" s="91"/>
      <c r="X10" s="91"/>
      <c r="Y10" s="90"/>
    </row>
    <row r="11" spans="1:31" s="82" customFormat="1" ht="13" hidden="1">
      <c r="A11" s="166">
        <f t="shared" si="2"/>
        <v>5</v>
      </c>
      <c r="B11" s="166"/>
      <c r="C11" s="177"/>
      <c r="D11" s="168" t="s">
        <v>198</v>
      </c>
      <c r="E11" s="167" t="s">
        <v>216</v>
      </c>
      <c r="F11" s="170">
        <v>830</v>
      </c>
      <c r="G11" s="170">
        <v>1100</v>
      </c>
      <c r="H11" s="177"/>
      <c r="I11" s="178" t="s">
        <v>35</v>
      </c>
      <c r="J11" s="178" t="s">
        <v>217</v>
      </c>
      <c r="K11" s="177"/>
      <c r="L11" s="94"/>
      <c r="M11" s="177" t="s">
        <v>218</v>
      </c>
      <c r="N11" s="243"/>
      <c r="O11" s="168" t="s">
        <v>40</v>
      </c>
      <c r="P11" s="177"/>
      <c r="Q11" s="174"/>
      <c r="R11" s="174">
        <v>2200000</v>
      </c>
      <c r="S11" s="175">
        <f>(G11-850)/100</f>
        <v>2.5</v>
      </c>
      <c r="T11" s="177"/>
      <c r="U11" s="176">
        <f t="shared" si="0"/>
        <v>5500000</v>
      </c>
      <c r="V11" s="124">
        <f>U11</f>
        <v>5500000</v>
      </c>
      <c r="W11" s="83"/>
    </row>
    <row r="12" spans="1:31" s="82" customFormat="1" ht="13" hidden="1">
      <c r="A12" s="166">
        <f t="shared" si="2"/>
        <v>6</v>
      </c>
      <c r="B12" s="166"/>
      <c r="C12" s="167"/>
      <c r="D12" s="168" t="s">
        <v>198</v>
      </c>
      <c r="E12" s="167" t="s">
        <v>216</v>
      </c>
      <c r="F12" s="170">
        <v>1100</v>
      </c>
      <c r="G12" s="170">
        <v>1130</v>
      </c>
      <c r="H12" s="171"/>
      <c r="I12" s="171" t="s">
        <v>35</v>
      </c>
      <c r="J12" s="171" t="s">
        <v>217</v>
      </c>
      <c r="K12" s="171"/>
      <c r="L12" s="94"/>
      <c r="M12" s="172" t="s">
        <v>218</v>
      </c>
      <c r="N12" s="167"/>
      <c r="O12" s="168" t="s">
        <v>40</v>
      </c>
      <c r="P12" s="171"/>
      <c r="Q12" s="174"/>
      <c r="R12" s="174">
        <v>2200000</v>
      </c>
      <c r="S12" s="175">
        <f>(1150-F12)/100</f>
        <v>0.5</v>
      </c>
      <c r="T12" s="168"/>
      <c r="U12" s="176">
        <f t="shared" si="0"/>
        <v>1100000</v>
      </c>
      <c r="V12" s="130">
        <f>U12</f>
        <v>1100000</v>
      </c>
      <c r="W12" s="90"/>
      <c r="X12" s="91"/>
      <c r="Y12" s="90"/>
    </row>
    <row r="13" spans="1:31" s="82" customFormat="1" ht="13" hidden="1">
      <c r="A13" s="166">
        <f t="shared" si="2"/>
        <v>7</v>
      </c>
      <c r="B13" s="166"/>
      <c r="C13" s="177"/>
      <c r="D13" s="168" t="s">
        <v>198</v>
      </c>
      <c r="E13" s="167" t="s">
        <v>219</v>
      </c>
      <c r="F13" s="170">
        <v>1200</v>
      </c>
      <c r="G13" s="170">
        <v>1530</v>
      </c>
      <c r="H13" s="177"/>
      <c r="I13" s="178" t="s">
        <v>35</v>
      </c>
      <c r="J13" s="178" t="s">
        <v>209</v>
      </c>
      <c r="K13" s="171"/>
      <c r="L13" s="94"/>
      <c r="M13" s="177" t="s">
        <v>172</v>
      </c>
      <c r="N13" s="244"/>
      <c r="O13" s="168" t="s">
        <v>40</v>
      </c>
      <c r="P13" s="214"/>
      <c r="Q13" s="174"/>
      <c r="R13" s="174">
        <v>2200000</v>
      </c>
      <c r="S13" s="175">
        <f>(1550-F13)/100</f>
        <v>3.5</v>
      </c>
      <c r="T13" s="177"/>
      <c r="U13" s="176">
        <f t="shared" si="0"/>
        <v>7700000</v>
      </c>
      <c r="V13" s="124">
        <f t="shared" si="1"/>
        <v>7700000</v>
      </c>
    </row>
    <row r="14" spans="1:31" s="82" customFormat="1" hidden="1">
      <c r="A14" s="166">
        <f t="shared" si="2"/>
        <v>8</v>
      </c>
      <c r="B14" s="166">
        <v>1</v>
      </c>
      <c r="C14" s="167">
        <v>4019</v>
      </c>
      <c r="D14" s="168" t="s">
        <v>65</v>
      </c>
      <c r="E14" s="167" t="s">
        <v>220</v>
      </c>
      <c r="F14" s="170">
        <v>1300</v>
      </c>
      <c r="G14" s="170">
        <v>1400</v>
      </c>
      <c r="H14" s="171" t="s">
        <v>147</v>
      </c>
      <c r="I14" s="178" t="s">
        <v>35</v>
      </c>
      <c r="J14" s="178" t="s">
        <v>36</v>
      </c>
      <c r="K14" s="171">
        <v>1</v>
      </c>
      <c r="L14" s="94"/>
      <c r="M14" s="179" t="s">
        <v>62</v>
      </c>
      <c r="N14" s="206" t="s">
        <v>221</v>
      </c>
      <c r="O14" s="198" t="s">
        <v>40</v>
      </c>
      <c r="P14" s="194">
        <v>10</v>
      </c>
      <c r="Q14" s="207"/>
      <c r="R14" s="174">
        <v>180000</v>
      </c>
      <c r="S14" s="175">
        <f t="shared" si="3"/>
        <v>1</v>
      </c>
      <c r="T14" s="168"/>
      <c r="U14" s="176">
        <f t="shared" si="0"/>
        <v>162000</v>
      </c>
      <c r="V14" s="130">
        <f>U14</f>
        <v>162000</v>
      </c>
      <c r="W14" s="90"/>
      <c r="X14" s="91"/>
      <c r="Y14" s="90"/>
    </row>
    <row r="15" spans="1:31" s="82" customFormat="1" ht="14" hidden="1">
      <c r="A15" s="227">
        <f t="shared" si="2"/>
        <v>9</v>
      </c>
      <c r="B15" s="227">
        <v>2</v>
      </c>
      <c r="C15" s="228">
        <v>4015</v>
      </c>
      <c r="D15" s="229" t="s">
        <v>32</v>
      </c>
      <c r="E15" s="228" t="s">
        <v>220</v>
      </c>
      <c r="F15" s="230">
        <v>1100</v>
      </c>
      <c r="G15" s="230">
        <v>1900</v>
      </c>
      <c r="H15" s="231" t="s">
        <v>222</v>
      </c>
      <c r="I15" s="232" t="s">
        <v>35</v>
      </c>
      <c r="J15" s="232" t="s">
        <v>140</v>
      </c>
      <c r="K15" s="231">
        <v>12</v>
      </c>
      <c r="L15" s="94"/>
      <c r="M15" s="233" t="s">
        <v>112</v>
      </c>
      <c r="N15" s="245" t="s">
        <v>223</v>
      </c>
      <c r="O15" s="234" t="s">
        <v>40</v>
      </c>
      <c r="P15" s="235"/>
      <c r="Q15" s="191">
        <f>R15*6</f>
        <v>5700000</v>
      </c>
      <c r="R15" s="191">
        <v>950000</v>
      </c>
      <c r="S15" s="236">
        <f t="shared" si="3"/>
        <v>8</v>
      </c>
      <c r="T15" s="229"/>
      <c r="U15" s="237">
        <f>S15*R15*(100-P15)/100</f>
        <v>7600000</v>
      </c>
      <c r="V15" s="226">
        <f>Q15+((S15-8)*R15)</f>
        <v>5700000</v>
      </c>
      <c r="W15" s="90"/>
      <c r="X15" s="91"/>
      <c r="Y15" s="90"/>
    </row>
    <row r="16" spans="1:31" s="82" customFormat="1">
      <c r="A16" s="166">
        <f t="shared" si="2"/>
        <v>10</v>
      </c>
      <c r="B16" s="166">
        <v>3</v>
      </c>
      <c r="C16" s="167">
        <v>4012</v>
      </c>
      <c r="D16" s="168" t="s">
        <v>43</v>
      </c>
      <c r="E16" s="167" t="s">
        <v>224</v>
      </c>
      <c r="F16" s="170">
        <v>1500</v>
      </c>
      <c r="G16" s="170">
        <v>1600</v>
      </c>
      <c r="H16" s="171" t="s">
        <v>45</v>
      </c>
      <c r="I16" s="178" t="s">
        <v>35</v>
      </c>
      <c r="J16" s="178" t="s">
        <v>36</v>
      </c>
      <c r="K16" s="171">
        <v>2</v>
      </c>
      <c r="L16" s="94"/>
      <c r="M16" s="177" t="s">
        <v>47</v>
      </c>
      <c r="N16" s="192" t="s">
        <v>225</v>
      </c>
      <c r="O16" s="193" t="s">
        <v>40</v>
      </c>
      <c r="P16" s="194"/>
      <c r="Q16" s="195"/>
      <c r="R16" s="174">
        <v>500000</v>
      </c>
      <c r="S16" s="175">
        <f t="shared" si="3"/>
        <v>1</v>
      </c>
      <c r="T16" s="168"/>
      <c r="U16" s="176">
        <f t="shared" si="0"/>
        <v>500000</v>
      </c>
      <c r="V16" s="130">
        <f>U16</f>
        <v>500000</v>
      </c>
      <c r="W16" s="90"/>
      <c r="X16" s="91"/>
      <c r="Y16" s="90"/>
    </row>
    <row r="17" spans="1:25" s="82" customFormat="1">
      <c r="A17" s="166">
        <f t="shared" si="2"/>
        <v>11</v>
      </c>
      <c r="B17" s="166">
        <v>4</v>
      </c>
      <c r="C17" s="167">
        <v>4011</v>
      </c>
      <c r="D17" s="168" t="s">
        <v>43</v>
      </c>
      <c r="E17" s="167" t="s">
        <v>224</v>
      </c>
      <c r="F17" s="170">
        <v>1000</v>
      </c>
      <c r="G17" s="170">
        <v>1100</v>
      </c>
      <c r="H17" s="171" t="s">
        <v>45</v>
      </c>
      <c r="I17" s="178" t="s">
        <v>35</v>
      </c>
      <c r="J17" s="178" t="s">
        <v>36</v>
      </c>
      <c r="K17" s="171">
        <v>2</v>
      </c>
      <c r="L17" s="94"/>
      <c r="M17" s="177" t="s">
        <v>47</v>
      </c>
      <c r="N17" s="209" t="s">
        <v>226</v>
      </c>
      <c r="O17" s="193" t="s">
        <v>40</v>
      </c>
      <c r="P17" s="215"/>
      <c r="Q17" s="196"/>
      <c r="R17" s="197">
        <v>500000</v>
      </c>
      <c r="S17" s="175">
        <f t="shared" si="3"/>
        <v>1</v>
      </c>
      <c r="T17" s="168"/>
      <c r="U17" s="176">
        <f t="shared" si="0"/>
        <v>500000</v>
      </c>
      <c r="V17" s="130">
        <f>U17</f>
        <v>500000</v>
      </c>
      <c r="W17" s="90"/>
      <c r="X17" s="91"/>
      <c r="Y17" s="90"/>
    </row>
    <row r="18" spans="1:25" s="82" customFormat="1" hidden="1">
      <c r="A18" s="166">
        <f t="shared" si="2"/>
        <v>12</v>
      </c>
      <c r="B18" s="166">
        <v>5</v>
      </c>
      <c r="C18" s="167">
        <v>4010</v>
      </c>
      <c r="D18" s="168" t="s">
        <v>65</v>
      </c>
      <c r="E18" s="167" t="s">
        <v>227</v>
      </c>
      <c r="F18" s="170">
        <v>1000</v>
      </c>
      <c r="G18" s="170">
        <v>1100</v>
      </c>
      <c r="H18" s="171" t="s">
        <v>147</v>
      </c>
      <c r="I18" s="178" t="s">
        <v>35</v>
      </c>
      <c r="J18" s="178" t="s">
        <v>228</v>
      </c>
      <c r="K18" s="171">
        <v>1</v>
      </c>
      <c r="L18" s="94"/>
      <c r="M18" s="179" t="s">
        <v>62</v>
      </c>
      <c r="N18" s="206" t="s">
        <v>229</v>
      </c>
      <c r="O18" s="198" t="s">
        <v>40</v>
      </c>
      <c r="P18" s="194">
        <v>10</v>
      </c>
      <c r="Q18" s="218"/>
      <c r="R18" s="174">
        <v>180000</v>
      </c>
      <c r="S18" s="175">
        <f t="shared" si="3"/>
        <v>1</v>
      </c>
      <c r="T18" s="177"/>
      <c r="U18" s="176">
        <f t="shared" si="0"/>
        <v>162000</v>
      </c>
      <c r="V18" s="124">
        <f>U18</f>
        <v>162000</v>
      </c>
    </row>
    <row r="19" spans="1:25" s="82" customFormat="1">
      <c r="A19" s="166">
        <f t="shared" si="2"/>
        <v>13</v>
      </c>
      <c r="B19" s="166">
        <v>6</v>
      </c>
      <c r="C19" s="167">
        <v>4009</v>
      </c>
      <c r="D19" s="168" t="s">
        <v>43</v>
      </c>
      <c r="E19" s="167" t="s">
        <v>227</v>
      </c>
      <c r="F19" s="170">
        <v>1015</v>
      </c>
      <c r="G19" s="170">
        <v>1115</v>
      </c>
      <c r="H19" s="171" t="s">
        <v>230</v>
      </c>
      <c r="I19" s="178" t="s">
        <v>87</v>
      </c>
      <c r="J19" s="178" t="s">
        <v>88</v>
      </c>
      <c r="K19" s="171">
        <v>5</v>
      </c>
      <c r="L19" s="94"/>
      <c r="M19" s="177" t="s">
        <v>124</v>
      </c>
      <c r="N19" s="192" t="s">
        <v>231</v>
      </c>
      <c r="O19" s="168" t="s">
        <v>40</v>
      </c>
      <c r="P19" s="185"/>
      <c r="Q19" s="173"/>
      <c r="R19" s="174">
        <v>500000</v>
      </c>
      <c r="S19" s="175">
        <f t="shared" si="3"/>
        <v>1</v>
      </c>
      <c r="T19" s="168"/>
      <c r="U19" s="176">
        <f t="shared" si="0"/>
        <v>500000</v>
      </c>
      <c r="V19" s="130">
        <f>U19</f>
        <v>500000</v>
      </c>
      <c r="W19" s="90"/>
      <c r="X19" s="91"/>
      <c r="Y19" s="90"/>
    </row>
    <row r="20" spans="1:25" s="82" customFormat="1" hidden="1">
      <c r="A20" s="81">
        <f t="shared" si="2"/>
        <v>14</v>
      </c>
      <c r="B20" s="81">
        <v>7</v>
      </c>
      <c r="C20" s="87">
        <v>4008</v>
      </c>
      <c r="D20" s="88" t="s">
        <v>43</v>
      </c>
      <c r="E20" s="87" t="s">
        <v>227</v>
      </c>
      <c r="F20" s="86">
        <v>1015</v>
      </c>
      <c r="G20" s="86">
        <v>1130</v>
      </c>
      <c r="H20" s="89" t="s">
        <v>230</v>
      </c>
      <c r="I20" s="140" t="s">
        <v>87</v>
      </c>
      <c r="J20" s="140" t="s">
        <v>88</v>
      </c>
      <c r="K20" s="89">
        <v>5</v>
      </c>
      <c r="L20" s="47"/>
      <c r="M20" s="94"/>
      <c r="N20" s="158" t="s">
        <v>232</v>
      </c>
      <c r="O20" s="88" t="s">
        <v>174</v>
      </c>
      <c r="P20" s="47"/>
      <c r="Q20" s="135"/>
      <c r="R20" s="83"/>
      <c r="S20" s="84"/>
      <c r="T20" s="88"/>
      <c r="U20" s="122">
        <f t="shared" si="0"/>
        <v>0</v>
      </c>
      <c r="V20" s="130">
        <f>U20</f>
        <v>0</v>
      </c>
      <c r="W20" s="90"/>
      <c r="X20" s="91"/>
      <c r="Y20" s="90"/>
    </row>
    <row r="21" spans="1:25" s="82" customFormat="1" ht="26" hidden="1">
      <c r="A21" s="81">
        <f t="shared" si="2"/>
        <v>15</v>
      </c>
      <c r="B21" s="81">
        <v>8</v>
      </c>
      <c r="C21" s="87">
        <v>4007</v>
      </c>
      <c r="D21" s="88" t="s">
        <v>32</v>
      </c>
      <c r="E21" s="87" t="s">
        <v>233</v>
      </c>
      <c r="F21" s="86">
        <v>900</v>
      </c>
      <c r="G21" s="86">
        <v>1100</v>
      </c>
      <c r="H21" s="89" t="s">
        <v>234</v>
      </c>
      <c r="I21" s="140" t="s">
        <v>35</v>
      </c>
      <c r="J21" s="140" t="s">
        <v>140</v>
      </c>
      <c r="K21" s="89">
        <v>10</v>
      </c>
      <c r="L21" s="47"/>
      <c r="M21" s="94"/>
      <c r="N21" s="158" t="s">
        <v>235</v>
      </c>
      <c r="O21" s="88" t="s">
        <v>174</v>
      </c>
      <c r="P21" s="47"/>
      <c r="Q21" s="83"/>
      <c r="R21" s="83"/>
      <c r="S21" s="84"/>
      <c r="T21" s="88"/>
      <c r="U21" s="122">
        <f t="shared" si="0"/>
        <v>0</v>
      </c>
      <c r="V21" s="130">
        <f>Q21+((S21-4)*R21)</f>
        <v>0</v>
      </c>
      <c r="W21" s="90"/>
      <c r="X21" s="91"/>
      <c r="Y21" s="90"/>
    </row>
    <row r="22" spans="1:25" s="82" customFormat="1" ht="26" hidden="1">
      <c r="A22" s="81">
        <f t="shared" si="2"/>
        <v>16</v>
      </c>
      <c r="B22" s="81">
        <v>9</v>
      </c>
      <c r="C22" s="87">
        <v>4006</v>
      </c>
      <c r="D22" s="88" t="s">
        <v>75</v>
      </c>
      <c r="E22" s="87" t="s">
        <v>233</v>
      </c>
      <c r="F22" s="86">
        <v>1500</v>
      </c>
      <c r="G22" s="86">
        <v>1600</v>
      </c>
      <c r="H22" s="89" t="s">
        <v>236</v>
      </c>
      <c r="I22" s="140" t="s">
        <v>35</v>
      </c>
      <c r="J22" s="140" t="s">
        <v>36</v>
      </c>
      <c r="K22" s="89">
        <v>10</v>
      </c>
      <c r="L22" s="47"/>
      <c r="M22" s="94"/>
      <c r="N22" s="158" t="s">
        <v>237</v>
      </c>
      <c r="O22" s="88" t="s">
        <v>174</v>
      </c>
      <c r="P22" s="47"/>
      <c r="Q22" s="83"/>
      <c r="R22" s="83"/>
      <c r="S22" s="84"/>
      <c r="T22" s="94"/>
      <c r="U22" s="122">
        <f t="shared" si="0"/>
        <v>0</v>
      </c>
      <c r="V22" s="130">
        <f>Q22+((S22-8)*R22)</f>
        <v>0</v>
      </c>
    </row>
    <row r="23" spans="1:25" s="82" customFormat="1" ht="26" hidden="1">
      <c r="A23" s="81">
        <f t="shared" si="2"/>
        <v>17</v>
      </c>
      <c r="B23" s="81">
        <v>10</v>
      </c>
      <c r="C23" s="87">
        <v>4005</v>
      </c>
      <c r="D23" s="88" t="s">
        <v>43</v>
      </c>
      <c r="E23" s="87" t="s">
        <v>233</v>
      </c>
      <c r="F23" s="86">
        <v>1500</v>
      </c>
      <c r="G23" s="86">
        <v>1600</v>
      </c>
      <c r="H23" s="89" t="s">
        <v>236</v>
      </c>
      <c r="I23" s="140" t="s">
        <v>35</v>
      </c>
      <c r="J23" s="140" t="s">
        <v>36</v>
      </c>
      <c r="K23" s="89">
        <v>10</v>
      </c>
      <c r="L23" s="47"/>
      <c r="M23" s="94"/>
      <c r="N23" s="158" t="s">
        <v>238</v>
      </c>
      <c r="O23" s="88" t="s">
        <v>174</v>
      </c>
      <c r="P23" s="47"/>
      <c r="Q23" s="83"/>
      <c r="R23" s="83"/>
      <c r="S23" s="84"/>
      <c r="T23" s="88"/>
      <c r="U23" s="122">
        <f t="shared" si="0"/>
        <v>0</v>
      </c>
      <c r="V23" s="130">
        <f>Q23+((S23-8)*R23)</f>
        <v>0</v>
      </c>
      <c r="W23" s="90"/>
      <c r="X23" s="91"/>
      <c r="Y23" s="90"/>
    </row>
    <row r="24" spans="1:25" s="82" customFormat="1" hidden="1">
      <c r="A24" s="166">
        <f t="shared" si="2"/>
        <v>18</v>
      </c>
      <c r="B24" s="166">
        <v>11</v>
      </c>
      <c r="C24" s="167">
        <v>4002</v>
      </c>
      <c r="D24" s="168" t="s">
        <v>65</v>
      </c>
      <c r="E24" s="167" t="s">
        <v>239</v>
      </c>
      <c r="F24" s="170">
        <v>930</v>
      </c>
      <c r="G24" s="170">
        <v>1030</v>
      </c>
      <c r="H24" s="171" t="s">
        <v>240</v>
      </c>
      <c r="I24" s="178" t="s">
        <v>35</v>
      </c>
      <c r="J24" s="178" t="s">
        <v>241</v>
      </c>
      <c r="K24" s="171">
        <v>1</v>
      </c>
      <c r="L24" s="94"/>
      <c r="M24" s="177" t="s">
        <v>242</v>
      </c>
      <c r="N24" s="209" t="s">
        <v>243</v>
      </c>
      <c r="O24" s="168" t="s">
        <v>40</v>
      </c>
      <c r="P24" s="211"/>
      <c r="Q24" s="173"/>
      <c r="R24" s="174">
        <v>180000</v>
      </c>
      <c r="S24" s="175">
        <f t="shared" ref="S24:S26" si="4">(G24-F24)/100</f>
        <v>1</v>
      </c>
      <c r="T24" s="168"/>
      <c r="U24" s="176">
        <f t="shared" si="0"/>
        <v>180000</v>
      </c>
      <c r="V24" s="164">
        <f>U24</f>
        <v>180000</v>
      </c>
      <c r="W24" s="90"/>
      <c r="X24" s="91"/>
      <c r="Y24" s="90"/>
    </row>
    <row r="25" spans="1:25" s="82" customFormat="1" hidden="1">
      <c r="A25" s="166">
        <f t="shared" si="2"/>
        <v>19</v>
      </c>
      <c r="B25" s="166">
        <v>12</v>
      </c>
      <c r="C25" s="167">
        <v>4001</v>
      </c>
      <c r="D25" s="168" t="s">
        <v>75</v>
      </c>
      <c r="E25" s="167" t="s">
        <v>239</v>
      </c>
      <c r="F25" s="170">
        <v>1500</v>
      </c>
      <c r="G25" s="170">
        <v>1600</v>
      </c>
      <c r="H25" s="171" t="s">
        <v>244</v>
      </c>
      <c r="I25" s="178" t="s">
        <v>35</v>
      </c>
      <c r="J25" s="178" t="s">
        <v>245</v>
      </c>
      <c r="K25" s="171">
        <v>10</v>
      </c>
      <c r="L25" s="94"/>
      <c r="M25" s="179" t="s">
        <v>246</v>
      </c>
      <c r="N25" s="206" t="s">
        <v>247</v>
      </c>
      <c r="O25" s="198" t="s">
        <v>40</v>
      </c>
      <c r="P25" s="174">
        <v>100</v>
      </c>
      <c r="Q25" s="181"/>
      <c r="R25" s="174">
        <v>500000</v>
      </c>
      <c r="S25" s="175">
        <f t="shared" si="4"/>
        <v>1</v>
      </c>
      <c r="T25" s="177"/>
      <c r="U25" s="176">
        <f t="shared" si="0"/>
        <v>0</v>
      </c>
      <c r="V25" s="124">
        <f>U25</f>
        <v>0</v>
      </c>
    </row>
    <row r="26" spans="1:25" s="82" customFormat="1" hidden="1">
      <c r="A26" s="166">
        <f t="shared" si="2"/>
        <v>20</v>
      </c>
      <c r="B26" s="166">
        <v>13</v>
      </c>
      <c r="C26" s="167">
        <v>4000</v>
      </c>
      <c r="D26" s="168" t="s">
        <v>43</v>
      </c>
      <c r="E26" s="167" t="s">
        <v>239</v>
      </c>
      <c r="F26" s="170">
        <v>1500</v>
      </c>
      <c r="G26" s="170">
        <v>1600</v>
      </c>
      <c r="H26" s="171" t="s">
        <v>244</v>
      </c>
      <c r="I26" s="178" t="s">
        <v>35</v>
      </c>
      <c r="J26" s="178" t="s">
        <v>245</v>
      </c>
      <c r="K26" s="171">
        <v>10</v>
      </c>
      <c r="L26" s="94"/>
      <c r="M26" s="179" t="s">
        <v>246</v>
      </c>
      <c r="N26" s="206" t="s">
        <v>248</v>
      </c>
      <c r="O26" s="198" t="s">
        <v>40</v>
      </c>
      <c r="P26" s="174">
        <v>100</v>
      </c>
      <c r="Q26" s="207"/>
      <c r="R26" s="174">
        <v>500000</v>
      </c>
      <c r="S26" s="175">
        <f t="shared" si="4"/>
        <v>1</v>
      </c>
      <c r="T26" s="168"/>
      <c r="U26" s="176">
        <f t="shared" si="0"/>
        <v>0</v>
      </c>
      <c r="V26" s="130">
        <f>U26</f>
        <v>0</v>
      </c>
      <c r="W26" s="90"/>
      <c r="X26" s="91"/>
      <c r="Y26" s="90"/>
    </row>
    <row r="27" spans="1:25" s="82" customFormat="1">
      <c r="A27" s="166">
        <f t="shared" si="2"/>
        <v>21</v>
      </c>
      <c r="B27" s="166">
        <v>14</v>
      </c>
      <c r="C27" s="167">
        <v>3999</v>
      </c>
      <c r="D27" s="168" t="s">
        <v>75</v>
      </c>
      <c r="E27" s="167" t="s">
        <v>227</v>
      </c>
      <c r="F27" s="170">
        <v>1300</v>
      </c>
      <c r="G27" s="170">
        <v>1430</v>
      </c>
      <c r="H27" s="171" t="s">
        <v>249</v>
      </c>
      <c r="I27" s="178" t="s">
        <v>35</v>
      </c>
      <c r="J27" s="178" t="s">
        <v>36</v>
      </c>
      <c r="K27" s="171">
        <v>6</v>
      </c>
      <c r="L27" s="94" t="s">
        <v>250</v>
      </c>
      <c r="M27" s="177" t="s">
        <v>93</v>
      </c>
      <c r="N27" s="192" t="s">
        <v>251</v>
      </c>
      <c r="O27" s="168" t="s">
        <v>40</v>
      </c>
      <c r="P27" s="205"/>
      <c r="Q27" s="174"/>
      <c r="R27" s="174">
        <f>500000</f>
        <v>500000</v>
      </c>
      <c r="S27" s="175">
        <f>(1450-F27)/100</f>
        <v>1.5</v>
      </c>
      <c r="T27" s="177"/>
      <c r="U27" s="176">
        <f t="shared" si="0"/>
        <v>750000</v>
      </c>
      <c r="V27" s="163">
        <f>U27</f>
        <v>750000</v>
      </c>
    </row>
    <row r="28" spans="1:25" s="82" customFormat="1" hidden="1">
      <c r="A28" s="81">
        <f t="shared" si="2"/>
        <v>22</v>
      </c>
      <c r="B28" s="81">
        <v>15</v>
      </c>
      <c r="C28" s="87">
        <v>3998</v>
      </c>
      <c r="D28" s="88" t="s">
        <v>75</v>
      </c>
      <c r="E28" s="87" t="s">
        <v>227</v>
      </c>
      <c r="F28" s="86">
        <v>1300</v>
      </c>
      <c r="G28" s="86">
        <v>1430</v>
      </c>
      <c r="H28" s="89" t="s">
        <v>252</v>
      </c>
      <c r="I28" s="140" t="s">
        <v>35</v>
      </c>
      <c r="J28" s="140" t="s">
        <v>36</v>
      </c>
      <c r="K28" s="89">
        <v>6</v>
      </c>
      <c r="L28" s="47"/>
      <c r="M28" s="94"/>
      <c r="N28" s="158" t="s">
        <v>253</v>
      </c>
      <c r="O28" s="88" t="s">
        <v>174</v>
      </c>
      <c r="P28" s="47"/>
      <c r="Q28" s="83"/>
      <c r="R28" s="83"/>
      <c r="S28" s="84"/>
      <c r="T28" s="88"/>
      <c r="U28" s="122">
        <f t="shared" si="0"/>
        <v>0</v>
      </c>
      <c r="V28" s="124">
        <f>Q28</f>
        <v>0</v>
      </c>
      <c r="W28" s="90"/>
      <c r="X28" s="91"/>
      <c r="Y28" s="90"/>
    </row>
    <row r="29" spans="1:25" s="82" customFormat="1">
      <c r="A29" s="166">
        <f t="shared" si="2"/>
        <v>23</v>
      </c>
      <c r="B29" s="166">
        <v>16</v>
      </c>
      <c r="C29" s="167">
        <v>3997</v>
      </c>
      <c r="D29" s="168" t="s">
        <v>43</v>
      </c>
      <c r="E29" s="167" t="s">
        <v>227</v>
      </c>
      <c r="F29" s="170">
        <v>1430</v>
      </c>
      <c r="G29" s="170">
        <v>1530</v>
      </c>
      <c r="H29" s="171" t="s">
        <v>254</v>
      </c>
      <c r="I29" s="178" t="s">
        <v>35</v>
      </c>
      <c r="J29" s="178" t="s">
        <v>52</v>
      </c>
      <c r="K29" s="171">
        <v>8</v>
      </c>
      <c r="L29" s="94"/>
      <c r="M29" s="177" t="s">
        <v>255</v>
      </c>
      <c r="N29" s="209" t="s">
        <v>256</v>
      </c>
      <c r="O29" s="210" t="s">
        <v>40</v>
      </c>
      <c r="P29" s="211"/>
      <c r="Q29" s="212"/>
      <c r="R29" s="174">
        <v>500000</v>
      </c>
      <c r="S29" s="175">
        <f t="shared" ref="S29:S46" si="5">(G29-F29)/100</f>
        <v>1</v>
      </c>
      <c r="T29" s="177"/>
      <c r="U29" s="176">
        <f t="shared" si="0"/>
        <v>500000</v>
      </c>
      <c r="V29" s="165">
        <f t="shared" ref="V29:V32" si="6">U29</f>
        <v>500000</v>
      </c>
    </row>
    <row r="30" spans="1:25" s="82" customFormat="1" ht="13" hidden="1">
      <c r="A30" s="166">
        <f t="shared" si="2"/>
        <v>24</v>
      </c>
      <c r="B30" s="166">
        <v>17</v>
      </c>
      <c r="C30" s="167">
        <v>3995</v>
      </c>
      <c r="D30" s="168" t="s">
        <v>75</v>
      </c>
      <c r="E30" s="167" t="s">
        <v>257</v>
      </c>
      <c r="F30" s="170">
        <v>1300</v>
      </c>
      <c r="G30" s="170">
        <v>1400</v>
      </c>
      <c r="H30" s="171" t="s">
        <v>258</v>
      </c>
      <c r="I30" s="178" t="s">
        <v>259</v>
      </c>
      <c r="J30" s="178" t="s">
        <v>36</v>
      </c>
      <c r="K30" s="171">
        <v>17</v>
      </c>
      <c r="L30" s="94" t="s">
        <v>260</v>
      </c>
      <c r="M30" s="179" t="s">
        <v>172</v>
      </c>
      <c r="N30" s="246" t="s">
        <v>261</v>
      </c>
      <c r="O30" s="180" t="s">
        <v>40</v>
      </c>
      <c r="P30" s="174">
        <v>100</v>
      </c>
      <c r="Q30" s="181"/>
      <c r="R30" s="174">
        <v>500000</v>
      </c>
      <c r="S30" s="175">
        <f t="shared" si="5"/>
        <v>1</v>
      </c>
      <c r="T30" s="168"/>
      <c r="U30" s="176">
        <f t="shared" si="0"/>
        <v>0</v>
      </c>
      <c r="V30" s="124">
        <f t="shared" si="6"/>
        <v>0</v>
      </c>
      <c r="W30" s="90"/>
      <c r="X30" s="91"/>
      <c r="Y30" s="90"/>
    </row>
    <row r="31" spans="1:25" s="82" customFormat="1" ht="13" hidden="1">
      <c r="A31" s="166">
        <f t="shared" si="2"/>
        <v>25</v>
      </c>
      <c r="B31" s="166">
        <v>18</v>
      </c>
      <c r="C31" s="167">
        <v>3994</v>
      </c>
      <c r="D31" s="168" t="s">
        <v>43</v>
      </c>
      <c r="E31" s="167" t="s">
        <v>257</v>
      </c>
      <c r="F31" s="170">
        <v>1300</v>
      </c>
      <c r="G31" s="170">
        <v>1400</v>
      </c>
      <c r="H31" s="171" t="s">
        <v>258</v>
      </c>
      <c r="I31" s="178" t="s">
        <v>259</v>
      </c>
      <c r="J31" s="178" t="s">
        <v>36</v>
      </c>
      <c r="K31" s="171">
        <v>17</v>
      </c>
      <c r="L31" s="94" t="s">
        <v>262</v>
      </c>
      <c r="M31" s="179" t="s">
        <v>172</v>
      </c>
      <c r="N31" s="246" t="s">
        <v>263</v>
      </c>
      <c r="O31" s="180" t="s">
        <v>40</v>
      </c>
      <c r="P31" s="174">
        <v>100</v>
      </c>
      <c r="Q31" s="182"/>
      <c r="R31" s="174">
        <v>500000</v>
      </c>
      <c r="S31" s="175">
        <f t="shared" si="5"/>
        <v>1</v>
      </c>
      <c r="T31" s="168"/>
      <c r="U31" s="176">
        <f t="shared" si="0"/>
        <v>0</v>
      </c>
      <c r="V31" s="130">
        <f t="shared" si="6"/>
        <v>0</v>
      </c>
      <c r="W31" s="90"/>
      <c r="X31" s="91"/>
      <c r="Y31" s="90"/>
    </row>
    <row r="32" spans="1:25" s="82" customFormat="1" ht="26">
      <c r="A32" s="166">
        <f t="shared" si="2"/>
        <v>26</v>
      </c>
      <c r="B32" s="166">
        <v>19</v>
      </c>
      <c r="C32" s="167">
        <v>3993</v>
      </c>
      <c r="D32" s="168" t="s">
        <v>43</v>
      </c>
      <c r="E32" s="167" t="s">
        <v>257</v>
      </c>
      <c r="F32" s="170">
        <v>1000</v>
      </c>
      <c r="G32" s="170">
        <v>1100</v>
      </c>
      <c r="H32" s="171" t="s">
        <v>264</v>
      </c>
      <c r="I32" s="178" t="s">
        <v>259</v>
      </c>
      <c r="J32" s="178" t="s">
        <v>36</v>
      </c>
      <c r="K32" s="171">
        <v>8</v>
      </c>
      <c r="L32" s="94" t="s">
        <v>265</v>
      </c>
      <c r="M32" s="177" t="s">
        <v>266</v>
      </c>
      <c r="N32" s="183" t="s">
        <v>267</v>
      </c>
      <c r="O32" s="184" t="s">
        <v>40</v>
      </c>
      <c r="P32" s="187"/>
      <c r="Q32" s="173"/>
      <c r="R32" s="174">
        <v>500000</v>
      </c>
      <c r="S32" s="175">
        <f t="shared" si="5"/>
        <v>1</v>
      </c>
      <c r="T32" s="168"/>
      <c r="U32" s="176">
        <f>S32*R32*(100-P32)/100</f>
        <v>500000</v>
      </c>
      <c r="V32" s="130">
        <f t="shared" si="6"/>
        <v>500000</v>
      </c>
      <c r="W32" s="90"/>
      <c r="X32" s="91"/>
      <c r="Y32" s="90"/>
    </row>
    <row r="33" spans="1:25" s="82" customFormat="1" ht="26" hidden="1">
      <c r="A33" s="166">
        <f t="shared" si="2"/>
        <v>27</v>
      </c>
      <c r="B33" s="166">
        <v>20</v>
      </c>
      <c r="C33" s="167">
        <v>3992</v>
      </c>
      <c r="D33" s="168" t="s">
        <v>32</v>
      </c>
      <c r="E33" s="167" t="s">
        <v>268</v>
      </c>
      <c r="F33" s="170">
        <v>900</v>
      </c>
      <c r="G33" s="170">
        <v>1800</v>
      </c>
      <c r="H33" s="171" t="s">
        <v>269</v>
      </c>
      <c r="I33" s="178" t="s">
        <v>259</v>
      </c>
      <c r="J33" s="178" t="s">
        <v>36</v>
      </c>
      <c r="K33" s="171">
        <v>12</v>
      </c>
      <c r="L33" s="94"/>
      <c r="M33" s="179" t="s">
        <v>47</v>
      </c>
      <c r="N33" s="246" t="s">
        <v>270</v>
      </c>
      <c r="O33" s="198" t="s">
        <v>40</v>
      </c>
      <c r="P33" s="194"/>
      <c r="Q33" s="197">
        <f>R33*6</f>
        <v>5700000</v>
      </c>
      <c r="R33" s="174">
        <v>950000</v>
      </c>
      <c r="S33" s="175">
        <f t="shared" si="5"/>
        <v>9</v>
      </c>
      <c r="T33" s="168"/>
      <c r="U33" s="176">
        <f>S33*R33*(100-P33)/100</f>
        <v>8550000</v>
      </c>
      <c r="V33" s="130">
        <f t="shared" ref="V33:V35" si="7">Q33+(S33-8)*R33</f>
        <v>6650000</v>
      </c>
      <c r="W33" s="90"/>
      <c r="X33" s="91"/>
      <c r="Y33" s="90"/>
    </row>
    <row r="34" spans="1:25" s="82" customFormat="1" ht="26" hidden="1">
      <c r="A34" s="166">
        <f t="shared" si="2"/>
        <v>28</v>
      </c>
      <c r="B34" s="166">
        <v>21</v>
      </c>
      <c r="C34" s="167">
        <v>3991</v>
      </c>
      <c r="D34" s="168" t="s">
        <v>32</v>
      </c>
      <c r="E34" s="167" t="s">
        <v>227</v>
      </c>
      <c r="F34" s="170">
        <v>900</v>
      </c>
      <c r="G34" s="170">
        <v>1800</v>
      </c>
      <c r="H34" s="171" t="s">
        <v>271</v>
      </c>
      <c r="I34" s="178" t="s">
        <v>259</v>
      </c>
      <c r="J34" s="178" t="s">
        <v>36</v>
      </c>
      <c r="K34" s="171">
        <v>12</v>
      </c>
      <c r="L34" s="94"/>
      <c r="M34" s="179" t="s">
        <v>47</v>
      </c>
      <c r="N34" s="246" t="s">
        <v>272</v>
      </c>
      <c r="O34" s="198" t="s">
        <v>40</v>
      </c>
      <c r="P34" s="194"/>
      <c r="Q34" s="197">
        <f t="shared" ref="Q34:Q35" si="8">R34*6</f>
        <v>5700000</v>
      </c>
      <c r="R34" s="174">
        <v>950000</v>
      </c>
      <c r="S34" s="175">
        <f t="shared" si="5"/>
        <v>9</v>
      </c>
      <c r="T34" s="168"/>
      <c r="U34" s="176">
        <f>S34*R34*(100-P34)/100</f>
        <v>8550000</v>
      </c>
      <c r="V34" s="130">
        <f t="shared" si="7"/>
        <v>6650000</v>
      </c>
      <c r="W34" s="90"/>
      <c r="X34" s="91"/>
      <c r="Y34" s="90"/>
    </row>
    <row r="35" spans="1:25" s="82" customFormat="1" ht="26" hidden="1">
      <c r="A35" s="166">
        <f t="shared" si="2"/>
        <v>29</v>
      </c>
      <c r="B35" s="166">
        <v>22</v>
      </c>
      <c r="C35" s="167">
        <v>3990</v>
      </c>
      <c r="D35" s="168" t="s">
        <v>32</v>
      </c>
      <c r="E35" s="167" t="s">
        <v>273</v>
      </c>
      <c r="F35" s="170">
        <v>900</v>
      </c>
      <c r="G35" s="170">
        <v>1800</v>
      </c>
      <c r="H35" s="171" t="s">
        <v>269</v>
      </c>
      <c r="I35" s="178" t="s">
        <v>259</v>
      </c>
      <c r="J35" s="178" t="s">
        <v>36</v>
      </c>
      <c r="K35" s="171">
        <v>12</v>
      </c>
      <c r="L35" s="94"/>
      <c r="M35" s="179" t="s">
        <v>47</v>
      </c>
      <c r="N35" s="247" t="s">
        <v>274</v>
      </c>
      <c r="O35" s="198" t="s">
        <v>40</v>
      </c>
      <c r="P35" s="216"/>
      <c r="Q35" s="197">
        <f t="shared" si="8"/>
        <v>5700000</v>
      </c>
      <c r="R35" s="174">
        <v>950000</v>
      </c>
      <c r="S35" s="175">
        <f t="shared" si="5"/>
        <v>9</v>
      </c>
      <c r="T35" s="168"/>
      <c r="U35" s="176">
        <f>S35*R35*(100-P35)/100</f>
        <v>8550000</v>
      </c>
      <c r="V35" s="130">
        <f t="shared" si="7"/>
        <v>6650000</v>
      </c>
      <c r="W35" s="90"/>
      <c r="X35" s="91"/>
      <c r="Y35" s="90"/>
    </row>
    <row r="36" spans="1:25" s="82" customFormat="1" hidden="1">
      <c r="A36" s="166">
        <f t="shared" si="2"/>
        <v>30</v>
      </c>
      <c r="B36" s="166">
        <v>23</v>
      </c>
      <c r="C36" s="167">
        <v>3989</v>
      </c>
      <c r="D36" s="168" t="s">
        <v>65</v>
      </c>
      <c r="E36" s="219">
        <v>45201</v>
      </c>
      <c r="F36" s="170">
        <v>1300</v>
      </c>
      <c r="G36" s="170">
        <v>1400</v>
      </c>
      <c r="H36" s="171" t="s">
        <v>147</v>
      </c>
      <c r="I36" s="178" t="s">
        <v>35</v>
      </c>
      <c r="J36" s="178" t="s">
        <v>36</v>
      </c>
      <c r="K36" s="171">
        <v>1</v>
      </c>
      <c r="L36" s="94"/>
      <c r="M36" s="179" t="s">
        <v>62</v>
      </c>
      <c r="N36" s="220">
        <v>45201.505567129629</v>
      </c>
      <c r="O36" s="198" t="s">
        <v>40</v>
      </c>
      <c r="P36" s="194">
        <v>10</v>
      </c>
      <c r="Q36" s="181"/>
      <c r="R36" s="174">
        <v>180000</v>
      </c>
      <c r="S36" s="175">
        <f t="shared" si="5"/>
        <v>1</v>
      </c>
      <c r="T36" s="168"/>
      <c r="U36" s="176">
        <f>S36*R36*(100-P36)/100</f>
        <v>162000</v>
      </c>
      <c r="V36" s="124">
        <f>U36</f>
        <v>162000</v>
      </c>
      <c r="W36" s="90"/>
      <c r="X36" s="91"/>
      <c r="Y36" s="90"/>
    </row>
    <row r="37" spans="1:25" s="82" customFormat="1">
      <c r="A37" s="166">
        <f t="shared" si="2"/>
        <v>31</v>
      </c>
      <c r="B37" s="166">
        <v>24</v>
      </c>
      <c r="C37" s="167">
        <v>3988</v>
      </c>
      <c r="D37" s="168" t="s">
        <v>75</v>
      </c>
      <c r="E37" s="167" t="s">
        <v>275</v>
      </c>
      <c r="F37" s="170">
        <v>900</v>
      </c>
      <c r="G37" s="170">
        <v>1800</v>
      </c>
      <c r="H37" s="171" t="s">
        <v>166</v>
      </c>
      <c r="I37" s="178" t="s">
        <v>35</v>
      </c>
      <c r="J37" s="178" t="s">
        <v>36</v>
      </c>
      <c r="K37" s="171">
        <v>6</v>
      </c>
      <c r="L37" s="94"/>
      <c r="M37" s="177" t="s">
        <v>47</v>
      </c>
      <c r="N37" s="213">
        <v>45201.491435185184</v>
      </c>
      <c r="O37" s="193" t="s">
        <v>40</v>
      </c>
      <c r="P37" s="217"/>
      <c r="Q37" s="197">
        <f t="shared" ref="Q37:Q43" si="9">R37*6</f>
        <v>3000000</v>
      </c>
      <c r="R37" s="174">
        <v>500000</v>
      </c>
      <c r="S37" s="175">
        <f t="shared" si="5"/>
        <v>9</v>
      </c>
      <c r="T37" s="168"/>
      <c r="U37" s="176">
        <f t="shared" ref="U37:U70" si="10">S37*R37*(100-P37)/100</f>
        <v>4500000</v>
      </c>
      <c r="V37" s="130">
        <f t="shared" ref="V37:V38" si="11">Q37+(S37-8)*R37</f>
        <v>3500000</v>
      </c>
      <c r="W37" s="90"/>
      <c r="X37" s="91"/>
      <c r="Y37" s="90"/>
    </row>
    <row r="38" spans="1:25" s="82" customFormat="1">
      <c r="A38" s="166">
        <f t="shared" si="2"/>
        <v>32</v>
      </c>
      <c r="B38" s="166">
        <v>25</v>
      </c>
      <c r="C38" s="167">
        <v>3987</v>
      </c>
      <c r="D38" s="168" t="s">
        <v>43</v>
      </c>
      <c r="E38" s="167" t="s">
        <v>275</v>
      </c>
      <c r="F38" s="170">
        <v>900</v>
      </c>
      <c r="G38" s="170">
        <v>1800</v>
      </c>
      <c r="H38" s="171" t="s">
        <v>166</v>
      </c>
      <c r="I38" s="178" t="s">
        <v>35</v>
      </c>
      <c r="J38" s="178" t="s">
        <v>36</v>
      </c>
      <c r="K38" s="171">
        <v>6</v>
      </c>
      <c r="L38" s="94"/>
      <c r="M38" s="177" t="s">
        <v>47</v>
      </c>
      <c r="N38" s="199">
        <v>45201.490856481483</v>
      </c>
      <c r="O38" s="193" t="s">
        <v>40</v>
      </c>
      <c r="P38" s="194"/>
      <c r="Q38" s="197">
        <f t="shared" si="9"/>
        <v>3000000</v>
      </c>
      <c r="R38" s="174">
        <v>500000</v>
      </c>
      <c r="S38" s="175">
        <f t="shared" si="5"/>
        <v>9</v>
      </c>
      <c r="T38" s="168"/>
      <c r="U38" s="176">
        <f t="shared" si="10"/>
        <v>4500000</v>
      </c>
      <c r="V38" s="130">
        <f t="shared" si="11"/>
        <v>3500000</v>
      </c>
      <c r="W38" s="90"/>
      <c r="X38" s="91"/>
      <c r="Y38" s="90"/>
    </row>
    <row r="39" spans="1:25" s="82" customFormat="1">
      <c r="A39" s="166">
        <f t="shared" si="2"/>
        <v>33</v>
      </c>
      <c r="B39" s="166">
        <v>26</v>
      </c>
      <c r="C39" s="167">
        <v>3986</v>
      </c>
      <c r="D39" s="168" t="s">
        <v>75</v>
      </c>
      <c r="E39" s="167" t="s">
        <v>276</v>
      </c>
      <c r="F39" s="170">
        <v>900</v>
      </c>
      <c r="G39" s="170">
        <v>1800</v>
      </c>
      <c r="H39" s="171" t="s">
        <v>166</v>
      </c>
      <c r="I39" s="178" t="s">
        <v>35</v>
      </c>
      <c r="J39" s="178" t="s">
        <v>36</v>
      </c>
      <c r="K39" s="171">
        <v>6</v>
      </c>
      <c r="L39" s="94"/>
      <c r="M39" s="177" t="s">
        <v>47</v>
      </c>
      <c r="N39" s="199">
        <v>45201.490405092591</v>
      </c>
      <c r="O39" s="193" t="s">
        <v>40</v>
      </c>
      <c r="P39" s="194"/>
      <c r="Q39" s="197">
        <f t="shared" si="9"/>
        <v>3000000</v>
      </c>
      <c r="R39" s="174">
        <v>500000</v>
      </c>
      <c r="S39" s="175">
        <f t="shared" si="5"/>
        <v>9</v>
      </c>
      <c r="T39" s="168"/>
      <c r="U39" s="176">
        <f t="shared" si="10"/>
        <v>4500000</v>
      </c>
      <c r="V39" s="130">
        <f>Q39+(S39-8)*R39</f>
        <v>3500000</v>
      </c>
      <c r="W39" s="90"/>
      <c r="X39" s="90"/>
      <c r="Y39" s="90"/>
    </row>
    <row r="40" spans="1:25" s="82" customFormat="1">
      <c r="A40" s="166">
        <f t="shared" si="2"/>
        <v>34</v>
      </c>
      <c r="B40" s="166">
        <v>27</v>
      </c>
      <c r="C40" s="167">
        <v>3985</v>
      </c>
      <c r="D40" s="168" t="s">
        <v>43</v>
      </c>
      <c r="E40" s="167" t="s">
        <v>276</v>
      </c>
      <c r="F40" s="170">
        <v>900</v>
      </c>
      <c r="G40" s="170">
        <v>1800</v>
      </c>
      <c r="H40" s="171" t="s">
        <v>166</v>
      </c>
      <c r="I40" s="178" t="s">
        <v>35</v>
      </c>
      <c r="J40" s="178" t="s">
        <v>36</v>
      </c>
      <c r="K40" s="171">
        <v>6</v>
      </c>
      <c r="L40" s="94"/>
      <c r="M40" s="177" t="s">
        <v>47</v>
      </c>
      <c r="N40" s="200">
        <v>45201.490104166667</v>
      </c>
      <c r="O40" s="193" t="s">
        <v>40</v>
      </c>
      <c r="P40" s="194"/>
      <c r="Q40" s="197">
        <f t="shared" si="9"/>
        <v>3000000</v>
      </c>
      <c r="R40" s="174">
        <v>500000</v>
      </c>
      <c r="S40" s="175">
        <f t="shared" si="5"/>
        <v>9</v>
      </c>
      <c r="T40" s="177"/>
      <c r="U40" s="176">
        <f t="shared" si="10"/>
        <v>4500000</v>
      </c>
      <c r="V40" s="130">
        <f t="shared" ref="V40:V43" si="12">Q40+(S40-8)*R40</f>
        <v>3500000</v>
      </c>
    </row>
    <row r="41" spans="1:25" s="82" customFormat="1" ht="14" hidden="1">
      <c r="A41" s="166">
        <f t="shared" si="2"/>
        <v>35</v>
      </c>
      <c r="B41" s="166">
        <v>28</v>
      </c>
      <c r="C41" s="167">
        <v>3984</v>
      </c>
      <c r="D41" s="168" t="s">
        <v>32</v>
      </c>
      <c r="E41" s="167" t="s">
        <v>239</v>
      </c>
      <c r="F41" s="170">
        <v>900</v>
      </c>
      <c r="G41" s="170">
        <v>1800</v>
      </c>
      <c r="H41" s="171" t="s">
        <v>166</v>
      </c>
      <c r="I41" s="178" t="s">
        <v>35</v>
      </c>
      <c r="J41" s="178" t="s">
        <v>36</v>
      </c>
      <c r="K41" s="171">
        <v>12</v>
      </c>
      <c r="L41" s="94"/>
      <c r="M41" s="179" t="s">
        <v>47</v>
      </c>
      <c r="N41" s="248">
        <v>45201.489074074074</v>
      </c>
      <c r="O41" s="198" t="s">
        <v>40</v>
      </c>
      <c r="P41" s="194"/>
      <c r="Q41" s="197">
        <f t="shared" si="9"/>
        <v>5700000</v>
      </c>
      <c r="R41" s="174">
        <v>950000</v>
      </c>
      <c r="S41" s="175">
        <f t="shared" si="5"/>
        <v>9</v>
      </c>
      <c r="T41" s="177"/>
      <c r="U41" s="176">
        <f t="shared" si="10"/>
        <v>8550000</v>
      </c>
      <c r="V41" s="130">
        <f t="shared" si="12"/>
        <v>6650000</v>
      </c>
    </row>
    <row r="42" spans="1:25" s="82" customFormat="1" ht="14" hidden="1">
      <c r="A42" s="166">
        <f t="shared" si="2"/>
        <v>36</v>
      </c>
      <c r="B42" s="166">
        <v>29</v>
      </c>
      <c r="C42" s="167">
        <v>3983</v>
      </c>
      <c r="D42" s="168" t="s">
        <v>32</v>
      </c>
      <c r="E42" s="167" t="s">
        <v>257</v>
      </c>
      <c r="F42" s="170">
        <v>900</v>
      </c>
      <c r="G42" s="170">
        <v>1800</v>
      </c>
      <c r="H42" s="171" t="s">
        <v>166</v>
      </c>
      <c r="I42" s="178" t="s">
        <v>35</v>
      </c>
      <c r="J42" s="178" t="s">
        <v>36</v>
      </c>
      <c r="K42" s="171">
        <v>12</v>
      </c>
      <c r="L42" s="94"/>
      <c r="M42" s="179" t="s">
        <v>47</v>
      </c>
      <c r="N42" s="248">
        <v>45201.488726851851</v>
      </c>
      <c r="O42" s="198" t="s">
        <v>40</v>
      </c>
      <c r="P42" s="194"/>
      <c r="Q42" s="197">
        <f t="shared" si="9"/>
        <v>5700000</v>
      </c>
      <c r="R42" s="174">
        <v>950000</v>
      </c>
      <c r="S42" s="175">
        <f t="shared" si="5"/>
        <v>9</v>
      </c>
      <c r="T42" s="177"/>
      <c r="U42" s="176">
        <f t="shared" si="10"/>
        <v>8550000</v>
      </c>
      <c r="V42" s="130">
        <f t="shared" si="12"/>
        <v>6650000</v>
      </c>
    </row>
    <row r="43" spans="1:25" s="82" customFormat="1" hidden="1">
      <c r="A43" s="166">
        <f t="shared" si="2"/>
        <v>37</v>
      </c>
      <c r="B43" s="166">
        <v>30</v>
      </c>
      <c r="C43" s="167">
        <v>3982</v>
      </c>
      <c r="D43" s="168" t="s">
        <v>32</v>
      </c>
      <c r="E43" s="167" t="s">
        <v>277</v>
      </c>
      <c r="F43" s="170">
        <v>900</v>
      </c>
      <c r="G43" s="170">
        <v>1800</v>
      </c>
      <c r="H43" s="171" t="s">
        <v>166</v>
      </c>
      <c r="I43" s="178" t="s">
        <v>35</v>
      </c>
      <c r="J43" s="178" t="s">
        <v>36</v>
      </c>
      <c r="K43" s="171">
        <v>12</v>
      </c>
      <c r="L43" s="94"/>
      <c r="M43" s="179" t="s">
        <v>47</v>
      </c>
      <c r="N43" s="248">
        <v>45201.488402777781</v>
      </c>
      <c r="O43" s="198" t="s">
        <v>40</v>
      </c>
      <c r="P43" s="201"/>
      <c r="Q43" s="197">
        <f t="shared" si="9"/>
        <v>5700000</v>
      </c>
      <c r="R43" s="174">
        <v>950000</v>
      </c>
      <c r="S43" s="175">
        <f t="shared" si="5"/>
        <v>9</v>
      </c>
      <c r="T43" s="109"/>
      <c r="U43" s="176">
        <f t="shared" si="10"/>
        <v>8550000</v>
      </c>
      <c r="V43" s="130">
        <f t="shared" si="12"/>
        <v>6650000</v>
      </c>
    </row>
    <row r="44" spans="1:25" s="82" customFormat="1" ht="26" hidden="1">
      <c r="A44" s="166">
        <f t="shared" si="2"/>
        <v>38</v>
      </c>
      <c r="B44" s="166">
        <v>31</v>
      </c>
      <c r="C44" s="167" t="s">
        <v>278</v>
      </c>
      <c r="D44" s="168" t="s">
        <v>32</v>
      </c>
      <c r="E44" s="167" t="s">
        <v>275</v>
      </c>
      <c r="F44" s="170">
        <v>900</v>
      </c>
      <c r="G44" s="170">
        <v>1800</v>
      </c>
      <c r="H44" s="171" t="s">
        <v>279</v>
      </c>
      <c r="I44" s="171" t="s">
        <v>35</v>
      </c>
      <c r="J44" s="171" t="s">
        <v>36</v>
      </c>
      <c r="K44" s="171" t="s">
        <v>100</v>
      </c>
      <c r="L44" s="94"/>
      <c r="M44" s="179" t="s">
        <v>266</v>
      </c>
      <c r="N44" s="249" t="s">
        <v>280</v>
      </c>
      <c r="O44" s="186" t="s">
        <v>40</v>
      </c>
      <c r="P44" s="189"/>
      <c r="Q44" s="174">
        <f>R44*6</f>
        <v>5700000</v>
      </c>
      <c r="R44" s="174">
        <v>950000</v>
      </c>
      <c r="S44" s="175">
        <f t="shared" si="5"/>
        <v>9</v>
      </c>
      <c r="T44" s="168"/>
      <c r="U44" s="176">
        <f t="shared" si="10"/>
        <v>8550000</v>
      </c>
      <c r="V44" s="130">
        <f t="shared" ref="V44:V51" si="13">Q44+((S44-8)*R44)</f>
        <v>6650000</v>
      </c>
      <c r="W44" s="90"/>
      <c r="X44" s="91"/>
      <c r="Y44" s="90"/>
    </row>
    <row r="45" spans="1:25" s="82" customFormat="1" ht="26">
      <c r="A45" s="166">
        <f t="shared" si="2"/>
        <v>39</v>
      </c>
      <c r="B45" s="166">
        <v>32</v>
      </c>
      <c r="C45" s="167" t="s">
        <v>281</v>
      </c>
      <c r="D45" s="168" t="s">
        <v>43</v>
      </c>
      <c r="E45" s="167" t="s">
        <v>282</v>
      </c>
      <c r="F45" s="170">
        <v>1500</v>
      </c>
      <c r="G45" s="170">
        <v>1630</v>
      </c>
      <c r="H45" s="171" t="s">
        <v>283</v>
      </c>
      <c r="I45" s="171" t="s">
        <v>35</v>
      </c>
      <c r="J45" s="171" t="s">
        <v>36</v>
      </c>
      <c r="K45" s="171" t="s">
        <v>133</v>
      </c>
      <c r="L45" s="94"/>
      <c r="M45" s="208" t="s">
        <v>284</v>
      </c>
      <c r="N45" s="250" t="s">
        <v>285</v>
      </c>
      <c r="O45" s="168" t="s">
        <v>40</v>
      </c>
      <c r="P45" s="171"/>
      <c r="Q45" s="174"/>
      <c r="R45" s="174">
        <v>500000</v>
      </c>
      <c r="S45" s="175">
        <f>(1650-F45)/100</f>
        <v>1.5</v>
      </c>
      <c r="T45" s="168"/>
      <c r="U45" s="176">
        <f t="shared" si="10"/>
        <v>750000</v>
      </c>
      <c r="V45" s="130">
        <f>U45</f>
        <v>750000</v>
      </c>
      <c r="W45" s="90"/>
      <c r="X45" s="91"/>
      <c r="Y45" s="90"/>
    </row>
    <row r="46" spans="1:25" s="82" customFormat="1" ht="13">
      <c r="A46" s="166">
        <f t="shared" si="2"/>
        <v>40</v>
      </c>
      <c r="B46" s="166">
        <v>33</v>
      </c>
      <c r="C46" s="177">
        <v>3979</v>
      </c>
      <c r="D46" s="177" t="s">
        <v>75</v>
      </c>
      <c r="E46" s="240">
        <v>45201</v>
      </c>
      <c r="F46" s="241">
        <v>900</v>
      </c>
      <c r="G46" s="241">
        <v>1100</v>
      </c>
      <c r="H46" s="242" t="s">
        <v>286</v>
      </c>
      <c r="I46" s="178" t="s">
        <v>35</v>
      </c>
      <c r="J46" s="178" t="s">
        <v>36</v>
      </c>
      <c r="K46" s="177">
        <v>1</v>
      </c>
      <c r="L46" s="94"/>
      <c r="M46" s="177" t="s">
        <v>287</v>
      </c>
      <c r="N46" s="251">
        <v>45171.455682870372</v>
      </c>
      <c r="O46" s="242" t="s">
        <v>40</v>
      </c>
      <c r="P46" s="242"/>
      <c r="Q46" s="174"/>
      <c r="R46" s="174">
        <v>500000</v>
      </c>
      <c r="S46" s="175">
        <f t="shared" si="5"/>
        <v>2</v>
      </c>
      <c r="T46" s="242"/>
      <c r="U46" s="176">
        <f t="shared" si="10"/>
        <v>1000000</v>
      </c>
      <c r="V46" s="130">
        <f>U46</f>
        <v>1000000</v>
      </c>
    </row>
    <row r="47" spans="1:25" s="82" customFormat="1" ht="13" hidden="1">
      <c r="A47" s="81">
        <f t="shared" si="2"/>
        <v>41</v>
      </c>
      <c r="B47" s="81">
        <v>34</v>
      </c>
      <c r="C47" s="94">
        <v>3978</v>
      </c>
      <c r="D47" s="94" t="s">
        <v>43</v>
      </c>
      <c r="E47" s="102">
        <v>45171</v>
      </c>
      <c r="F47" s="86">
        <v>1400</v>
      </c>
      <c r="G47" s="86">
        <v>1530</v>
      </c>
      <c r="H47" s="94" t="s">
        <v>288</v>
      </c>
      <c r="I47" s="140" t="s">
        <v>35</v>
      </c>
      <c r="J47" s="140" t="s">
        <v>36</v>
      </c>
      <c r="K47" s="94">
        <v>2</v>
      </c>
      <c r="L47" s="94"/>
      <c r="M47" s="94"/>
      <c r="N47" s="97">
        <v>45171.419583333336</v>
      </c>
      <c r="O47" s="94" t="s">
        <v>174</v>
      </c>
      <c r="P47" s="94"/>
      <c r="Q47" s="83"/>
      <c r="R47" s="83"/>
      <c r="S47" s="84"/>
      <c r="T47" s="94"/>
      <c r="U47" s="122">
        <f t="shared" si="10"/>
        <v>0</v>
      </c>
      <c r="V47" s="130">
        <f t="shared" si="13"/>
        <v>0</v>
      </c>
    </row>
    <row r="48" spans="1:25" s="82" customFormat="1" ht="13" hidden="1">
      <c r="A48" s="81">
        <f t="shared" si="2"/>
        <v>42</v>
      </c>
      <c r="B48" s="81">
        <v>35</v>
      </c>
      <c r="C48" s="87" t="s">
        <v>289</v>
      </c>
      <c r="D48" s="88" t="s">
        <v>32</v>
      </c>
      <c r="E48" s="87" t="s">
        <v>276</v>
      </c>
      <c r="F48" s="86">
        <v>1230</v>
      </c>
      <c r="G48" s="86">
        <v>1700</v>
      </c>
      <c r="H48" s="89" t="s">
        <v>290</v>
      </c>
      <c r="I48" s="89" t="s">
        <v>35</v>
      </c>
      <c r="J48" s="89" t="s">
        <v>36</v>
      </c>
      <c r="K48" s="89" t="s">
        <v>37</v>
      </c>
      <c r="L48" s="94"/>
      <c r="M48" s="94" t="s">
        <v>89</v>
      </c>
      <c r="N48" s="87" t="s">
        <v>291</v>
      </c>
      <c r="O48" s="88" t="s">
        <v>40</v>
      </c>
      <c r="P48" s="89"/>
      <c r="Q48" s="83"/>
      <c r="R48" s="83">
        <v>950000</v>
      </c>
      <c r="S48" s="162">
        <f t="shared" ref="S48:S50" si="14">(G48-F48)/100</f>
        <v>4.7</v>
      </c>
      <c r="T48" s="88"/>
      <c r="U48" s="122">
        <f t="shared" si="10"/>
        <v>4465000</v>
      </c>
      <c r="V48" s="164">
        <f t="shared" si="13"/>
        <v>-3135000</v>
      </c>
      <c r="W48" s="90"/>
      <c r="X48" s="91"/>
      <c r="Y48" s="90"/>
    </row>
    <row r="49" spans="1:25" s="82" customFormat="1" ht="26">
      <c r="A49" s="166">
        <f t="shared" si="2"/>
        <v>43</v>
      </c>
      <c r="B49" s="166">
        <v>36</v>
      </c>
      <c r="C49" s="167" t="s">
        <v>292</v>
      </c>
      <c r="D49" s="168" t="s">
        <v>75</v>
      </c>
      <c r="E49" s="167" t="s">
        <v>282</v>
      </c>
      <c r="F49" s="170">
        <v>1500</v>
      </c>
      <c r="G49" s="170">
        <v>1700</v>
      </c>
      <c r="H49" s="171" t="s">
        <v>71</v>
      </c>
      <c r="I49" s="171" t="s">
        <v>35</v>
      </c>
      <c r="J49" s="171" t="s">
        <v>36</v>
      </c>
      <c r="K49" s="171" t="s">
        <v>133</v>
      </c>
      <c r="L49" s="94"/>
      <c r="M49" s="177" t="s">
        <v>72</v>
      </c>
      <c r="N49" s="167" t="s">
        <v>293</v>
      </c>
      <c r="O49" s="168" t="s">
        <v>40</v>
      </c>
      <c r="P49" s="171"/>
      <c r="Q49" s="174"/>
      <c r="R49" s="174">
        <v>500000</v>
      </c>
      <c r="S49" s="175">
        <f t="shared" si="14"/>
        <v>2</v>
      </c>
      <c r="T49" s="168"/>
      <c r="U49" s="176">
        <f t="shared" si="10"/>
        <v>1000000</v>
      </c>
      <c r="V49" s="130">
        <f>U49</f>
        <v>1000000</v>
      </c>
      <c r="W49" s="90"/>
      <c r="X49" s="91"/>
      <c r="Y49" s="90"/>
    </row>
    <row r="50" spans="1:25" s="82" customFormat="1" ht="13">
      <c r="A50" s="166">
        <f t="shared" si="2"/>
        <v>44</v>
      </c>
      <c r="B50" s="166">
        <v>37</v>
      </c>
      <c r="C50" s="177">
        <v>3975</v>
      </c>
      <c r="D50" s="177" t="s">
        <v>75</v>
      </c>
      <c r="E50" s="202">
        <v>45140</v>
      </c>
      <c r="F50" s="170">
        <v>1300</v>
      </c>
      <c r="G50" s="170">
        <v>1700</v>
      </c>
      <c r="H50" s="177" t="s">
        <v>71</v>
      </c>
      <c r="I50" s="178" t="s">
        <v>35</v>
      </c>
      <c r="J50" s="178" t="s">
        <v>36</v>
      </c>
      <c r="K50" s="178">
        <v>2</v>
      </c>
      <c r="L50" s="94"/>
      <c r="M50" s="177" t="s">
        <v>72</v>
      </c>
      <c r="N50" s="243">
        <v>45109.698692129627</v>
      </c>
      <c r="O50" s="177" t="s">
        <v>40</v>
      </c>
      <c r="P50" s="177"/>
      <c r="Q50" s="174">
        <f>R50*3</f>
        <v>1500000</v>
      </c>
      <c r="R50" s="174">
        <v>500000</v>
      </c>
      <c r="S50" s="175">
        <f t="shared" si="14"/>
        <v>4</v>
      </c>
      <c r="T50" s="177"/>
      <c r="U50" s="176">
        <f t="shared" si="10"/>
        <v>2000000</v>
      </c>
      <c r="V50" s="130">
        <f>Q50+((S50-4)*R50)</f>
        <v>1500000</v>
      </c>
    </row>
    <row r="51" spans="1:25" s="82" customFormat="1" ht="13" hidden="1">
      <c r="A51" s="81">
        <f t="shared" si="2"/>
        <v>45</v>
      </c>
      <c r="B51" s="81">
        <v>38</v>
      </c>
      <c r="C51" s="94">
        <v>3974</v>
      </c>
      <c r="D51" s="94" t="s">
        <v>75</v>
      </c>
      <c r="E51" s="102">
        <v>45140</v>
      </c>
      <c r="F51" s="86">
        <v>900</v>
      </c>
      <c r="G51" s="86">
        <v>1700</v>
      </c>
      <c r="H51" s="94" t="s">
        <v>71</v>
      </c>
      <c r="I51" s="140" t="s">
        <v>35</v>
      </c>
      <c r="J51" s="140" t="s">
        <v>36</v>
      </c>
      <c r="K51" s="94">
        <v>6</v>
      </c>
      <c r="L51" s="94"/>
      <c r="M51" s="94"/>
      <c r="N51" s="252">
        <v>45109.69672453704</v>
      </c>
      <c r="O51" s="94" t="s">
        <v>174</v>
      </c>
      <c r="P51" s="188"/>
      <c r="Q51" s="83"/>
      <c r="R51" s="83"/>
      <c r="S51" s="84"/>
      <c r="T51" s="94"/>
      <c r="U51" s="122">
        <f t="shared" si="10"/>
        <v>0</v>
      </c>
      <c r="V51" s="130">
        <f t="shared" si="13"/>
        <v>0</v>
      </c>
    </row>
    <row r="52" spans="1:25" s="82" customFormat="1" ht="13" hidden="1">
      <c r="A52" s="166">
        <f t="shared" si="2"/>
        <v>46</v>
      </c>
      <c r="B52" s="166">
        <v>39</v>
      </c>
      <c r="C52" s="177">
        <v>3973</v>
      </c>
      <c r="D52" s="177" t="s">
        <v>65</v>
      </c>
      <c r="E52" s="202">
        <v>45109</v>
      </c>
      <c r="F52" s="170">
        <v>1400</v>
      </c>
      <c r="G52" s="170">
        <v>1500</v>
      </c>
      <c r="H52" s="177" t="s">
        <v>294</v>
      </c>
      <c r="I52" s="178" t="s">
        <v>35</v>
      </c>
      <c r="J52" s="178" t="s">
        <v>36</v>
      </c>
      <c r="K52" s="178">
        <v>1</v>
      </c>
      <c r="L52" s="94"/>
      <c r="M52" s="179" t="s">
        <v>62</v>
      </c>
      <c r="N52" s="253">
        <v>45109.615706018521</v>
      </c>
      <c r="O52" s="221" t="s">
        <v>40</v>
      </c>
      <c r="P52" s="203">
        <v>100</v>
      </c>
      <c r="Q52" s="197"/>
      <c r="R52" s="174">
        <v>180000</v>
      </c>
      <c r="S52" s="175">
        <f t="shared" ref="S52:S54" si="15">(G52-F52)/100</f>
        <v>1</v>
      </c>
      <c r="T52" s="177"/>
      <c r="U52" s="176">
        <f t="shared" si="10"/>
        <v>0</v>
      </c>
      <c r="V52" s="164">
        <f>U52</f>
        <v>0</v>
      </c>
    </row>
    <row r="53" spans="1:25" s="82" customFormat="1" ht="26">
      <c r="A53" s="166">
        <f t="shared" si="2"/>
        <v>47</v>
      </c>
      <c r="B53" s="166">
        <v>40</v>
      </c>
      <c r="C53" s="167" t="s">
        <v>295</v>
      </c>
      <c r="D53" s="168" t="s">
        <v>43</v>
      </c>
      <c r="E53" s="167" t="s">
        <v>296</v>
      </c>
      <c r="F53" s="170">
        <v>1400</v>
      </c>
      <c r="G53" s="170">
        <v>1800</v>
      </c>
      <c r="H53" s="171" t="s">
        <v>116</v>
      </c>
      <c r="I53" s="171" t="s">
        <v>35</v>
      </c>
      <c r="J53" s="171" t="s">
        <v>36</v>
      </c>
      <c r="K53" s="171" t="s">
        <v>133</v>
      </c>
      <c r="L53" s="94"/>
      <c r="M53" s="177" t="s">
        <v>72</v>
      </c>
      <c r="N53" s="250" t="s">
        <v>297</v>
      </c>
      <c r="O53" s="168" t="s">
        <v>40</v>
      </c>
      <c r="P53" s="224">
        <f>1/4*100</f>
        <v>25</v>
      </c>
      <c r="Q53" s="212"/>
      <c r="R53" s="174">
        <v>500000</v>
      </c>
      <c r="S53" s="175">
        <f t="shared" si="15"/>
        <v>4</v>
      </c>
      <c r="T53" s="168"/>
      <c r="U53" s="176">
        <f t="shared" si="10"/>
        <v>1500000</v>
      </c>
      <c r="V53" s="124">
        <f>U53</f>
        <v>1500000</v>
      </c>
      <c r="W53" s="90" t="s">
        <v>298</v>
      </c>
      <c r="X53" s="91"/>
      <c r="Y53" s="90"/>
    </row>
    <row r="54" spans="1:25" s="82" customFormat="1" ht="13">
      <c r="A54" s="166">
        <f t="shared" si="2"/>
        <v>48</v>
      </c>
      <c r="B54" s="166">
        <v>41</v>
      </c>
      <c r="C54" s="177">
        <v>3971</v>
      </c>
      <c r="D54" s="177" t="s">
        <v>75</v>
      </c>
      <c r="E54" s="202">
        <v>45079</v>
      </c>
      <c r="F54" s="170">
        <v>1330</v>
      </c>
      <c r="G54" s="170">
        <v>1430</v>
      </c>
      <c r="H54" s="177" t="s">
        <v>240</v>
      </c>
      <c r="I54" s="178" t="s">
        <v>35</v>
      </c>
      <c r="J54" s="178" t="s">
        <v>36</v>
      </c>
      <c r="K54" s="178">
        <v>2</v>
      </c>
      <c r="L54" s="94"/>
      <c r="M54" s="177" t="s">
        <v>242</v>
      </c>
      <c r="N54" s="251">
        <v>44987.494363425925</v>
      </c>
      <c r="O54" s="177" t="s">
        <v>40</v>
      </c>
      <c r="P54" s="177"/>
      <c r="Q54" s="212"/>
      <c r="R54" s="174">
        <v>500000</v>
      </c>
      <c r="S54" s="175">
        <f t="shared" si="15"/>
        <v>1</v>
      </c>
      <c r="T54" s="177"/>
      <c r="U54" s="176">
        <f t="shared" si="10"/>
        <v>500000</v>
      </c>
      <c r="V54" s="165">
        <f>U54</f>
        <v>500000</v>
      </c>
    </row>
    <row r="55" spans="1:25" s="82" customFormat="1" ht="13" hidden="1">
      <c r="A55" s="81">
        <f t="shared" si="2"/>
        <v>49</v>
      </c>
      <c r="B55" s="81">
        <v>42</v>
      </c>
      <c r="C55" s="94">
        <v>3970</v>
      </c>
      <c r="D55" s="94" t="s">
        <v>75</v>
      </c>
      <c r="E55" s="102">
        <v>45171</v>
      </c>
      <c r="F55" s="86">
        <v>900</v>
      </c>
      <c r="G55" s="86">
        <v>1700</v>
      </c>
      <c r="H55" s="94" t="s">
        <v>166</v>
      </c>
      <c r="I55" s="140" t="s">
        <v>35</v>
      </c>
      <c r="J55" s="140" t="s">
        <v>36</v>
      </c>
      <c r="K55" s="94">
        <v>6</v>
      </c>
      <c r="L55" s="94"/>
      <c r="M55" s="94"/>
      <c r="N55" s="97">
        <v>44987.454259259262</v>
      </c>
      <c r="O55" s="94" t="s">
        <v>174</v>
      </c>
      <c r="P55" s="94"/>
      <c r="Q55" s="137"/>
      <c r="R55" s="83"/>
      <c r="S55" s="84"/>
      <c r="T55" s="94"/>
      <c r="U55" s="122">
        <f t="shared" si="10"/>
        <v>0</v>
      </c>
      <c r="V55" s="131">
        <f>U55</f>
        <v>0</v>
      </c>
    </row>
    <row r="56" spans="1:25" s="82" customFormat="1" ht="13" hidden="1">
      <c r="A56" s="81">
        <f t="shared" si="2"/>
        <v>50</v>
      </c>
      <c r="B56" s="81">
        <v>43</v>
      </c>
      <c r="C56" s="94">
        <v>3969</v>
      </c>
      <c r="D56" s="94" t="s">
        <v>43</v>
      </c>
      <c r="E56" s="102">
        <v>45171</v>
      </c>
      <c r="F56" s="86">
        <v>900</v>
      </c>
      <c r="G56" s="86">
        <v>1700</v>
      </c>
      <c r="H56" s="94" t="s">
        <v>166</v>
      </c>
      <c r="I56" s="140" t="s">
        <v>35</v>
      </c>
      <c r="J56" s="140" t="s">
        <v>36</v>
      </c>
      <c r="K56" s="94">
        <v>6</v>
      </c>
      <c r="L56" s="94"/>
      <c r="M56" s="94"/>
      <c r="N56" s="119">
        <v>44987.453912037039</v>
      </c>
      <c r="O56" s="94" t="s">
        <v>174</v>
      </c>
      <c r="P56" s="94"/>
      <c r="Q56" s="137"/>
      <c r="R56" s="83"/>
      <c r="S56" s="84"/>
      <c r="T56" s="94"/>
      <c r="U56" s="122">
        <f t="shared" si="10"/>
        <v>0</v>
      </c>
      <c r="V56" s="124">
        <f>Q56+((S56-8)*R56)</f>
        <v>0</v>
      </c>
    </row>
    <row r="57" spans="1:25" s="82" customFormat="1" ht="13" hidden="1">
      <c r="A57" s="166">
        <f t="shared" si="2"/>
        <v>51</v>
      </c>
      <c r="B57" s="166">
        <v>44</v>
      </c>
      <c r="C57" s="177">
        <v>3968</v>
      </c>
      <c r="D57" s="177" t="s">
        <v>43</v>
      </c>
      <c r="E57" s="202">
        <v>44987</v>
      </c>
      <c r="F57" s="170">
        <v>1300</v>
      </c>
      <c r="G57" s="170">
        <v>1400</v>
      </c>
      <c r="H57" s="177" t="s">
        <v>97</v>
      </c>
      <c r="I57" s="178" t="s">
        <v>35</v>
      </c>
      <c r="J57" s="178" t="s">
        <v>36</v>
      </c>
      <c r="K57" s="178">
        <v>6</v>
      </c>
      <c r="L57" s="94"/>
      <c r="M57" s="177" t="s">
        <v>72</v>
      </c>
      <c r="N57" s="243">
        <v>44959.686678240738</v>
      </c>
      <c r="O57" s="177" t="s">
        <v>40</v>
      </c>
      <c r="P57" s="178">
        <v>100</v>
      </c>
      <c r="Q57" s="212"/>
      <c r="R57" s="174">
        <v>500000</v>
      </c>
      <c r="S57" s="175">
        <f>(G57-F57)/100</f>
        <v>1</v>
      </c>
      <c r="T57" s="177"/>
      <c r="U57" s="176">
        <f t="shared" si="10"/>
        <v>0</v>
      </c>
      <c r="V57" s="165">
        <f>U57</f>
        <v>0</v>
      </c>
      <c r="W57" s="82" t="s">
        <v>298</v>
      </c>
    </row>
    <row r="58" spans="1:25" s="82" customFormat="1" ht="13" hidden="1">
      <c r="A58" s="81">
        <f t="shared" si="2"/>
        <v>52</v>
      </c>
      <c r="B58" s="81">
        <v>45</v>
      </c>
      <c r="C58" s="87" t="s">
        <v>299</v>
      </c>
      <c r="D58" s="88" t="s">
        <v>43</v>
      </c>
      <c r="E58" s="87" t="s">
        <v>296</v>
      </c>
      <c r="F58" s="86">
        <v>1400</v>
      </c>
      <c r="G58" s="86">
        <v>1500</v>
      </c>
      <c r="H58" s="89" t="s">
        <v>166</v>
      </c>
      <c r="I58" s="89" t="s">
        <v>35</v>
      </c>
      <c r="J58" s="89" t="s">
        <v>36</v>
      </c>
      <c r="K58" s="89" t="s">
        <v>76</v>
      </c>
      <c r="L58" s="89"/>
      <c r="M58" s="94"/>
      <c r="N58" s="87" t="s">
        <v>300</v>
      </c>
      <c r="O58" s="88" t="s">
        <v>174</v>
      </c>
      <c r="P58" s="89"/>
      <c r="Q58" s="137"/>
      <c r="R58" s="83"/>
      <c r="S58" s="84"/>
      <c r="T58" s="88"/>
      <c r="U58" s="122">
        <f t="shared" si="10"/>
        <v>0</v>
      </c>
      <c r="V58" s="124">
        <f>U58</f>
        <v>0</v>
      </c>
      <c r="W58" s="90"/>
      <c r="X58" s="91"/>
      <c r="Y58" s="90"/>
    </row>
    <row r="59" spans="1:25" s="82" customFormat="1" ht="13">
      <c r="A59" s="81">
        <f t="shared" si="2"/>
        <v>53</v>
      </c>
      <c r="B59" s="81">
        <v>46</v>
      </c>
      <c r="C59" s="94">
        <v>3966</v>
      </c>
      <c r="D59" s="94" t="s">
        <v>43</v>
      </c>
      <c r="E59" s="102">
        <v>44987</v>
      </c>
      <c r="F59" s="86">
        <v>930</v>
      </c>
      <c r="G59" s="86">
        <v>1030</v>
      </c>
      <c r="H59" s="94" t="s">
        <v>166</v>
      </c>
      <c r="I59" s="140" t="s">
        <v>35</v>
      </c>
      <c r="J59" s="140" t="s">
        <v>36</v>
      </c>
      <c r="K59" s="94">
        <v>6</v>
      </c>
      <c r="L59" s="94"/>
      <c r="M59" s="94"/>
      <c r="N59" s="254">
        <v>44928.644594907404</v>
      </c>
      <c r="O59" s="94" t="s">
        <v>174</v>
      </c>
      <c r="P59" s="94"/>
      <c r="Q59" s="137"/>
      <c r="R59" s="83"/>
      <c r="S59" s="94"/>
      <c r="T59" s="94"/>
      <c r="U59" s="122">
        <f t="shared" si="10"/>
        <v>0</v>
      </c>
      <c r="V59" s="132"/>
    </row>
    <row r="60" spans="1:25" s="82" customFormat="1" ht="13" hidden="1">
      <c r="A60" s="166">
        <f t="shared" si="2"/>
        <v>54</v>
      </c>
      <c r="B60" s="166">
        <v>47</v>
      </c>
      <c r="C60" s="177">
        <v>3965</v>
      </c>
      <c r="D60" s="177" t="s">
        <v>43</v>
      </c>
      <c r="E60" s="202">
        <v>44928</v>
      </c>
      <c r="F60" s="170">
        <v>1200</v>
      </c>
      <c r="G60" s="170">
        <v>1300</v>
      </c>
      <c r="H60" s="177" t="s">
        <v>301</v>
      </c>
      <c r="I60" s="178" t="s">
        <v>35</v>
      </c>
      <c r="J60" s="178" t="s">
        <v>36</v>
      </c>
      <c r="K60" s="178">
        <v>1</v>
      </c>
      <c r="L60" s="94"/>
      <c r="M60" s="179" t="s">
        <v>62</v>
      </c>
      <c r="N60" s="253">
        <v>44928.46365740741</v>
      </c>
      <c r="O60" s="222" t="s">
        <v>40</v>
      </c>
      <c r="P60" s="177">
        <v>100</v>
      </c>
      <c r="Q60" s="223"/>
      <c r="R60" s="174">
        <v>500000</v>
      </c>
      <c r="S60" s="175">
        <f>(G60-F60)/100</f>
        <v>1</v>
      </c>
      <c r="T60" s="177"/>
      <c r="U60" s="176">
        <f t="shared" si="10"/>
        <v>0</v>
      </c>
      <c r="V60" s="165">
        <f>U60</f>
        <v>0</v>
      </c>
    </row>
    <row r="61" spans="1:25" s="82" customFormat="1" ht="13" hidden="1">
      <c r="A61" s="81">
        <f t="shared" si="2"/>
        <v>55</v>
      </c>
      <c r="B61" s="81">
        <v>48</v>
      </c>
      <c r="C61" s="94">
        <v>3964</v>
      </c>
      <c r="D61" s="94" t="s">
        <v>65</v>
      </c>
      <c r="E61" s="102">
        <v>44928</v>
      </c>
      <c r="F61" s="86">
        <v>1200</v>
      </c>
      <c r="G61" s="86">
        <v>1300</v>
      </c>
      <c r="H61" s="94" t="s">
        <v>301</v>
      </c>
      <c r="I61" s="140" t="s">
        <v>35</v>
      </c>
      <c r="J61" s="140" t="s">
        <v>36</v>
      </c>
      <c r="K61" s="94">
        <v>1</v>
      </c>
      <c r="L61" s="94"/>
      <c r="M61" s="94"/>
      <c r="N61" s="255">
        <v>44928.461782407408</v>
      </c>
      <c r="O61" s="94" t="s">
        <v>174</v>
      </c>
      <c r="P61" s="94"/>
      <c r="Q61" s="138"/>
      <c r="R61" s="83"/>
      <c r="S61" s="84"/>
      <c r="T61" s="94"/>
      <c r="U61" s="122">
        <f t="shared" si="10"/>
        <v>0</v>
      </c>
      <c r="V61" s="124">
        <f>U61</f>
        <v>0</v>
      </c>
    </row>
    <row r="62" spans="1:25" s="82" customFormat="1" ht="13" hidden="1">
      <c r="A62" s="81">
        <f t="shared" si="2"/>
        <v>56</v>
      </c>
      <c r="B62" s="81">
        <v>49</v>
      </c>
      <c r="C62" s="94">
        <v>3963</v>
      </c>
      <c r="D62" s="94" t="s">
        <v>32</v>
      </c>
      <c r="E62" s="102" t="s">
        <v>268</v>
      </c>
      <c r="F62" s="86">
        <v>900</v>
      </c>
      <c r="G62" s="86">
        <v>1800</v>
      </c>
      <c r="H62" s="94" t="s">
        <v>302</v>
      </c>
      <c r="I62" s="140" t="s">
        <v>35</v>
      </c>
      <c r="J62" s="140" t="s">
        <v>36</v>
      </c>
      <c r="K62" s="94">
        <v>12</v>
      </c>
      <c r="L62" s="94"/>
      <c r="M62" s="94"/>
      <c r="N62" s="103" t="s">
        <v>303</v>
      </c>
      <c r="O62" s="94" t="s">
        <v>174</v>
      </c>
      <c r="P62" s="94"/>
      <c r="Q62" s="138"/>
      <c r="R62" s="83"/>
      <c r="S62" s="84"/>
      <c r="T62" s="94"/>
      <c r="U62" s="122">
        <f t="shared" si="10"/>
        <v>0</v>
      </c>
      <c r="V62" s="124">
        <f>U62</f>
        <v>0</v>
      </c>
    </row>
    <row r="63" spans="1:25" s="82" customFormat="1" ht="13" hidden="1">
      <c r="A63" s="81">
        <f t="shared" si="2"/>
        <v>57</v>
      </c>
      <c r="B63" s="81">
        <v>50</v>
      </c>
      <c r="C63" s="94">
        <v>3962</v>
      </c>
      <c r="D63" s="94" t="s">
        <v>32</v>
      </c>
      <c r="E63" s="103" t="s">
        <v>233</v>
      </c>
      <c r="F63" s="86">
        <v>900</v>
      </c>
      <c r="G63" s="86">
        <v>1800</v>
      </c>
      <c r="H63" s="94" t="s">
        <v>302</v>
      </c>
      <c r="I63" s="140" t="s">
        <v>35</v>
      </c>
      <c r="J63" s="140" t="s">
        <v>36</v>
      </c>
      <c r="K63" s="94">
        <v>12</v>
      </c>
      <c r="L63" s="94"/>
      <c r="M63" s="94"/>
      <c r="N63" s="119" t="s">
        <v>304</v>
      </c>
      <c r="O63" s="94" t="s">
        <v>174</v>
      </c>
      <c r="P63" s="94"/>
      <c r="Q63" s="137"/>
      <c r="R63" s="83"/>
      <c r="S63" s="84"/>
      <c r="T63" s="94"/>
      <c r="U63" s="122">
        <f t="shared" si="10"/>
        <v>0</v>
      </c>
      <c r="V63" s="124">
        <f>Q63+((S63-8)*R63)</f>
        <v>0</v>
      </c>
    </row>
    <row r="64" spans="1:25" s="82" customFormat="1" ht="13" hidden="1">
      <c r="A64" s="81">
        <f t="shared" si="2"/>
        <v>58</v>
      </c>
      <c r="B64" s="81">
        <v>51</v>
      </c>
      <c r="C64" s="94">
        <v>3961</v>
      </c>
      <c r="D64" s="94" t="s">
        <v>32</v>
      </c>
      <c r="E64" s="102" t="s">
        <v>268</v>
      </c>
      <c r="F64" s="86">
        <v>900</v>
      </c>
      <c r="G64" s="86">
        <v>1700</v>
      </c>
      <c r="H64" s="94" t="s">
        <v>302</v>
      </c>
      <c r="I64" s="140" t="s">
        <v>35</v>
      </c>
      <c r="J64" s="140" t="s">
        <v>36</v>
      </c>
      <c r="K64" s="94">
        <v>12</v>
      </c>
      <c r="L64" s="94"/>
      <c r="M64" s="94"/>
      <c r="N64" s="94" t="s">
        <v>305</v>
      </c>
      <c r="O64" s="94" t="s">
        <v>174</v>
      </c>
      <c r="P64" s="188"/>
      <c r="Q64" s="137"/>
      <c r="R64" s="83"/>
      <c r="S64" s="84"/>
      <c r="T64" s="94"/>
      <c r="U64" s="122">
        <f t="shared" si="10"/>
        <v>0</v>
      </c>
      <c r="V64" s="131"/>
    </row>
    <row r="65" spans="1:25" s="82" customFormat="1" ht="13" hidden="1">
      <c r="A65" s="166">
        <f t="shared" si="2"/>
        <v>59</v>
      </c>
      <c r="B65" s="166">
        <v>52</v>
      </c>
      <c r="C65" s="177">
        <v>3960</v>
      </c>
      <c r="D65" s="177" t="s">
        <v>32</v>
      </c>
      <c r="E65" s="202">
        <v>45201</v>
      </c>
      <c r="F65" s="170">
        <v>900</v>
      </c>
      <c r="G65" s="170">
        <v>1800</v>
      </c>
      <c r="H65" s="177" t="s">
        <v>302</v>
      </c>
      <c r="I65" s="178" t="s">
        <v>35</v>
      </c>
      <c r="J65" s="178" t="s">
        <v>36</v>
      </c>
      <c r="K65" s="178">
        <v>12</v>
      </c>
      <c r="L65" s="94"/>
      <c r="M65" s="177" t="s">
        <v>47</v>
      </c>
      <c r="N65" s="177" t="s">
        <v>306</v>
      </c>
      <c r="O65" s="179" t="s">
        <v>40</v>
      </c>
      <c r="P65" s="203"/>
      <c r="Q65" s="197">
        <f t="shared" ref="Q65:Q68" si="16">R65*6</f>
        <v>5700000</v>
      </c>
      <c r="R65" s="174">
        <v>950000</v>
      </c>
      <c r="S65" s="175">
        <f t="shared" ref="S65:S71" si="17">(G65-F65)/100</f>
        <v>9</v>
      </c>
      <c r="T65" s="177"/>
      <c r="U65" s="176">
        <f t="shared" si="10"/>
        <v>8550000</v>
      </c>
      <c r="V65" s="130">
        <f t="shared" ref="V65:V68" si="18">Q65+(S65-8)*R65</f>
        <v>6650000</v>
      </c>
    </row>
    <row r="66" spans="1:25" s="82" customFormat="1" ht="13" hidden="1">
      <c r="A66" s="166">
        <f t="shared" si="2"/>
        <v>60</v>
      </c>
      <c r="B66" s="166">
        <v>53</v>
      </c>
      <c r="C66" s="177">
        <v>3959</v>
      </c>
      <c r="D66" s="177" t="s">
        <v>32</v>
      </c>
      <c r="E66" s="202">
        <v>45171</v>
      </c>
      <c r="F66" s="170">
        <v>900</v>
      </c>
      <c r="G66" s="170">
        <v>1800</v>
      </c>
      <c r="H66" s="177" t="s">
        <v>302</v>
      </c>
      <c r="I66" s="178" t="s">
        <v>35</v>
      </c>
      <c r="J66" s="178" t="s">
        <v>36</v>
      </c>
      <c r="K66" s="178">
        <v>12</v>
      </c>
      <c r="L66" s="94"/>
      <c r="M66" s="177" t="s">
        <v>47</v>
      </c>
      <c r="N66" s="256" t="s">
        <v>307</v>
      </c>
      <c r="O66" s="179" t="s">
        <v>40</v>
      </c>
      <c r="P66" s="203"/>
      <c r="Q66" s="197">
        <f t="shared" si="16"/>
        <v>5700000</v>
      </c>
      <c r="R66" s="174">
        <v>950000</v>
      </c>
      <c r="S66" s="175">
        <f t="shared" si="17"/>
        <v>9</v>
      </c>
      <c r="T66" s="177"/>
      <c r="U66" s="176">
        <f t="shared" si="10"/>
        <v>8550000</v>
      </c>
      <c r="V66" s="130">
        <f t="shared" si="18"/>
        <v>6650000</v>
      </c>
    </row>
    <row r="67" spans="1:25" s="82" customFormat="1" ht="13" hidden="1">
      <c r="A67" s="166">
        <f t="shared" si="2"/>
        <v>61</v>
      </c>
      <c r="B67" s="166">
        <v>54</v>
      </c>
      <c r="C67" s="177">
        <v>3958</v>
      </c>
      <c r="D67" s="177" t="s">
        <v>32</v>
      </c>
      <c r="E67" s="202">
        <v>45140</v>
      </c>
      <c r="F67" s="170">
        <v>900</v>
      </c>
      <c r="G67" s="170">
        <v>1800</v>
      </c>
      <c r="H67" s="177" t="s">
        <v>302</v>
      </c>
      <c r="I67" s="178" t="s">
        <v>35</v>
      </c>
      <c r="J67" s="178" t="s">
        <v>36</v>
      </c>
      <c r="K67" s="178">
        <v>12</v>
      </c>
      <c r="L67" s="94"/>
      <c r="M67" s="177" t="s">
        <v>47</v>
      </c>
      <c r="N67" s="256" t="s">
        <v>308</v>
      </c>
      <c r="O67" s="177" t="s">
        <v>40</v>
      </c>
      <c r="P67" s="204"/>
      <c r="Q67" s="174">
        <f t="shared" si="16"/>
        <v>5700000</v>
      </c>
      <c r="R67" s="174">
        <v>950000</v>
      </c>
      <c r="S67" s="175">
        <f t="shared" si="17"/>
        <v>9</v>
      </c>
      <c r="T67" s="177"/>
      <c r="U67" s="176">
        <f t="shared" si="10"/>
        <v>8550000</v>
      </c>
      <c r="V67" s="130">
        <f t="shared" si="18"/>
        <v>6650000</v>
      </c>
    </row>
    <row r="68" spans="1:25" s="82" customFormat="1" ht="26" hidden="1">
      <c r="A68" s="166">
        <f t="shared" si="2"/>
        <v>62</v>
      </c>
      <c r="B68" s="166">
        <v>55</v>
      </c>
      <c r="C68" s="167" t="s">
        <v>309</v>
      </c>
      <c r="D68" s="168" t="s">
        <v>32</v>
      </c>
      <c r="E68" s="167" t="s">
        <v>310</v>
      </c>
      <c r="F68" s="170">
        <v>900</v>
      </c>
      <c r="G68" s="170">
        <v>1800</v>
      </c>
      <c r="H68" s="171" t="s">
        <v>302</v>
      </c>
      <c r="I68" s="171" t="s">
        <v>35</v>
      </c>
      <c r="J68" s="171" t="s">
        <v>36</v>
      </c>
      <c r="K68" s="171" t="s">
        <v>37</v>
      </c>
      <c r="L68" s="94"/>
      <c r="M68" s="177" t="s">
        <v>47</v>
      </c>
      <c r="N68" s="167" t="s">
        <v>311</v>
      </c>
      <c r="O68" s="168" t="s">
        <v>40</v>
      </c>
      <c r="P68" s="171"/>
      <c r="Q68" s="174">
        <f t="shared" si="16"/>
        <v>5700000</v>
      </c>
      <c r="R68" s="174">
        <v>950000</v>
      </c>
      <c r="S68" s="175">
        <f t="shared" si="17"/>
        <v>9</v>
      </c>
      <c r="T68" s="168"/>
      <c r="U68" s="176">
        <f t="shared" si="10"/>
        <v>8550000</v>
      </c>
      <c r="V68" s="130">
        <f t="shared" si="18"/>
        <v>6650000</v>
      </c>
      <c r="W68" s="90"/>
      <c r="X68" s="91"/>
      <c r="Y68" s="90"/>
    </row>
    <row r="69" spans="1:25" s="82" customFormat="1" ht="13">
      <c r="A69" s="166">
        <f t="shared" si="2"/>
        <v>63</v>
      </c>
      <c r="B69" s="166">
        <v>56</v>
      </c>
      <c r="C69" s="177">
        <v>3956</v>
      </c>
      <c r="D69" s="177" t="s">
        <v>43</v>
      </c>
      <c r="E69" s="202">
        <v>45079</v>
      </c>
      <c r="F69" s="170">
        <v>1400</v>
      </c>
      <c r="G69" s="170">
        <v>1530</v>
      </c>
      <c r="H69" s="177" t="s">
        <v>312</v>
      </c>
      <c r="I69" s="178" t="s">
        <v>35</v>
      </c>
      <c r="J69" s="178" t="s">
        <v>52</v>
      </c>
      <c r="K69" s="178">
        <v>3</v>
      </c>
      <c r="L69" s="94"/>
      <c r="M69" s="177" t="s">
        <v>255</v>
      </c>
      <c r="N69" s="243" t="s">
        <v>313</v>
      </c>
      <c r="O69" s="177" t="s">
        <v>40</v>
      </c>
      <c r="P69" s="177"/>
      <c r="Q69" s="212"/>
      <c r="R69" s="174">
        <v>500000</v>
      </c>
      <c r="S69" s="175">
        <f>(1550-F69)/100</f>
        <v>1.5</v>
      </c>
      <c r="T69" s="177"/>
      <c r="U69" s="176">
        <f t="shared" si="10"/>
        <v>750000</v>
      </c>
      <c r="V69" s="165">
        <f t="shared" ref="V69" si="19">U69</f>
        <v>750000</v>
      </c>
    </row>
    <row r="70" spans="1:25" s="82" customFormat="1" ht="13">
      <c r="A70" s="227">
        <f t="shared" si="2"/>
        <v>64</v>
      </c>
      <c r="B70" s="227">
        <v>57</v>
      </c>
      <c r="C70" s="238">
        <v>3955</v>
      </c>
      <c r="D70" s="238" t="s">
        <v>43</v>
      </c>
      <c r="E70" s="239">
        <v>45140</v>
      </c>
      <c r="F70" s="230">
        <v>800</v>
      </c>
      <c r="G70" s="230">
        <v>1800</v>
      </c>
      <c r="H70" s="238" t="s">
        <v>314</v>
      </c>
      <c r="I70" s="232" t="s">
        <v>35</v>
      </c>
      <c r="J70" s="232" t="s">
        <v>140</v>
      </c>
      <c r="K70" s="232">
        <v>6</v>
      </c>
      <c r="L70" s="94"/>
      <c r="M70" s="238" t="s">
        <v>112</v>
      </c>
      <c r="N70" s="257" t="s">
        <v>315</v>
      </c>
      <c r="O70" s="238" t="s">
        <v>40</v>
      </c>
      <c r="P70" s="238">
        <f>8/10*100</f>
        <v>80</v>
      </c>
      <c r="Q70" s="191"/>
      <c r="R70" s="191">
        <v>500000</v>
      </c>
      <c r="S70" s="236">
        <f t="shared" si="17"/>
        <v>10</v>
      </c>
      <c r="T70" s="238"/>
      <c r="U70" s="237">
        <f t="shared" si="10"/>
        <v>1000000</v>
      </c>
      <c r="V70" s="124">
        <f>U70</f>
        <v>1000000</v>
      </c>
      <c r="W70" s="82" t="s">
        <v>316</v>
      </c>
    </row>
    <row r="71" spans="1:25" s="82" customFormat="1" ht="13">
      <c r="A71" s="166">
        <f t="shared" si="2"/>
        <v>65</v>
      </c>
      <c r="B71" s="166">
        <v>58</v>
      </c>
      <c r="C71" s="177">
        <v>3954</v>
      </c>
      <c r="D71" s="177" t="s">
        <v>43</v>
      </c>
      <c r="E71" s="202">
        <v>45201</v>
      </c>
      <c r="F71" s="170">
        <v>930</v>
      </c>
      <c r="G71" s="170">
        <v>1330</v>
      </c>
      <c r="H71" s="177" t="s">
        <v>317</v>
      </c>
      <c r="I71" s="178" t="s">
        <v>35</v>
      </c>
      <c r="J71" s="178" t="s">
        <v>36</v>
      </c>
      <c r="K71" s="178">
        <v>6</v>
      </c>
      <c r="L71" s="94"/>
      <c r="M71" s="177" t="s">
        <v>47</v>
      </c>
      <c r="N71" s="243" t="s">
        <v>318</v>
      </c>
      <c r="O71" s="177" t="s">
        <v>40</v>
      </c>
      <c r="P71" s="177"/>
      <c r="Q71" s="174">
        <f>R71*3</f>
        <v>1500000</v>
      </c>
      <c r="R71" s="174">
        <v>500000</v>
      </c>
      <c r="S71" s="175">
        <f t="shared" si="17"/>
        <v>4</v>
      </c>
      <c r="T71" s="177"/>
      <c r="U71" s="176">
        <f>Q71</f>
        <v>1500000</v>
      </c>
      <c r="V71" s="124">
        <f>Q71+((S71-4)*R71)</f>
        <v>1500000</v>
      </c>
    </row>
    <row r="72" spans="1:25" s="82" customFormat="1" ht="13">
      <c r="A72" s="94"/>
      <c r="B72" s="94"/>
      <c r="C72" s="94"/>
      <c r="D72" s="94"/>
      <c r="E72" s="103"/>
      <c r="F72" s="94"/>
      <c r="G72" s="94"/>
      <c r="H72" s="94"/>
      <c r="I72" s="140"/>
      <c r="J72" s="140"/>
      <c r="K72" s="94"/>
      <c r="L72" s="94"/>
      <c r="M72" s="94"/>
      <c r="N72" s="103"/>
      <c r="O72" s="94"/>
      <c r="P72" s="94"/>
      <c r="Q72" s="137"/>
      <c r="R72" s="83"/>
      <c r="S72" s="94"/>
      <c r="T72" s="94"/>
      <c r="U72" s="120">
        <f>SUBTOTAL(109,U7:U71)</f>
        <v>31750000</v>
      </c>
      <c r="V72" s="123">
        <f>SUBTOTAL(109,V7:V71)</f>
        <v>27250000</v>
      </c>
    </row>
    <row r="73" spans="1:25" s="82" customFormat="1" ht="13">
      <c r="E73" s="104"/>
      <c r="I73" s="160"/>
      <c r="J73" s="160"/>
      <c r="N73" s="104"/>
      <c r="Q73" s="99"/>
      <c r="V73" s="99"/>
    </row>
    <row r="74" spans="1:25">
      <c r="N74" s="68"/>
      <c r="V74" s="98" t="e">
        <f>V72-#REF!</f>
        <v>#REF!</v>
      </c>
    </row>
  </sheetData>
  <autoFilter ref="A6:AE71" xr:uid="{1028D278-910A-4D41-890F-0D5DC76C3F25}">
    <filterColumn colId="3">
      <filters>
        <filter val="VN Thư Viện 1 - The Library 1"/>
        <filter val="VN Thư Viện 2 - The Library 2"/>
      </filters>
    </filterColumn>
    <filterColumn colId="21">
      <filters blank="1">
        <filter val="1,000,000"/>
        <filter val="1,100,000"/>
        <filter val="1,500,000"/>
        <filter val="162,000"/>
        <filter val="180,000"/>
        <filter val="2,200,000"/>
        <filter val="250,000"/>
        <filter val="3,500,000"/>
        <filter val="5,500,000"/>
        <filter val="5,700,000"/>
        <filter val="500,000"/>
        <filter val="6,600,000"/>
        <filter val="6,650,000"/>
        <filter val="7,700,000"/>
        <filter val="750,000"/>
      </filters>
    </filterColumn>
  </autoFilter>
  <mergeCells count="3">
    <mergeCell ref="A2:U2"/>
    <mergeCell ref="A3:U3"/>
    <mergeCell ref="A4:U4"/>
  </mergeCells>
  <pageMargins left="0.7" right="0.7" top="0.75" bottom="0.75" header="0.3" footer="0.3"/>
  <pageSetup scale="31" fitToHeight="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E053B-1A38-46A1-9070-B559143EFD9B}">
  <sheetPr codeName="Sheet4" filterMode="1">
    <tabColor rgb="FFFFFF00"/>
    <pageSetUpPr fitToPage="1"/>
  </sheetPr>
  <dimension ref="A2:AE74"/>
  <sheetViews>
    <sheetView zoomScale="90" zoomScaleNormal="90" workbookViewId="0">
      <selection activeCell="V13" sqref="V13:V37"/>
    </sheetView>
  </sheetViews>
  <sheetFormatPr defaultColWidth="9.1796875" defaultRowHeight="14.5"/>
  <cols>
    <col min="1" max="2" width="8.81640625" style="100" customWidth="1"/>
    <col min="3" max="3" width="8.81640625" style="100" bestFit="1" customWidth="1"/>
    <col min="4" max="4" width="22.7265625" style="100" customWidth="1"/>
    <col min="5" max="5" width="12" style="68" customWidth="1"/>
    <col min="6" max="6" width="8.81640625" style="100" bestFit="1" customWidth="1"/>
    <col min="7" max="7" width="10" style="100" customWidth="1"/>
    <col min="8" max="8" width="20.7265625" style="100" customWidth="1"/>
    <col min="9" max="9" width="11.26953125" style="100" customWidth="1"/>
    <col min="10" max="10" width="15.26953125" style="100" customWidth="1"/>
    <col min="11" max="11" width="13" style="100" hidden="1" customWidth="1"/>
    <col min="12" max="12" width="14.1796875" style="100" hidden="1" customWidth="1"/>
    <col min="13" max="13" width="11.7265625" style="100" customWidth="1"/>
    <col min="14" max="14" width="15.1796875" style="68" customWidth="1"/>
    <col min="15" max="15" width="12.54296875" style="100" customWidth="1"/>
    <col min="16" max="16" width="9.1796875" style="100"/>
    <col min="17" max="17" width="13.26953125" style="101" customWidth="1"/>
    <col min="18" max="18" width="11.26953125" style="100" bestFit="1" customWidth="1"/>
    <col min="19" max="20" width="9.1796875" style="100"/>
    <col min="21" max="21" width="12.54296875" style="100" bestFit="1" customWidth="1"/>
    <col min="22" max="22" width="12.54296875" style="101" bestFit="1" customWidth="1"/>
    <col min="23" max="16384" width="9.1796875" style="100"/>
  </cols>
  <sheetData>
    <row r="2" spans="1:31" s="57" customFormat="1" ht="20.25" customHeight="1">
      <c r="A2" s="2112" t="s">
        <v>0</v>
      </c>
      <c r="B2" s="2112"/>
      <c r="C2" s="2112"/>
      <c r="D2" s="2112"/>
      <c r="E2" s="2113"/>
      <c r="F2" s="2112"/>
      <c r="G2" s="2112"/>
      <c r="H2" s="2112"/>
      <c r="I2" s="2112"/>
      <c r="J2" s="2112"/>
      <c r="K2" s="2112"/>
      <c r="L2" s="2112"/>
      <c r="M2" s="2113"/>
      <c r="N2" s="2115"/>
      <c r="O2" s="2114"/>
      <c r="P2" s="2112"/>
      <c r="Q2" s="2112"/>
      <c r="R2" s="2112"/>
      <c r="S2" s="2112"/>
      <c r="T2" s="2112"/>
      <c r="U2" s="2112"/>
      <c r="V2" s="53"/>
      <c r="W2" s="54"/>
      <c r="X2" s="52"/>
      <c r="Y2" s="55"/>
      <c r="Z2" s="56"/>
      <c r="AD2" s="58"/>
      <c r="AE2" s="59" t="s">
        <v>1</v>
      </c>
    </row>
    <row r="3" spans="1:31" s="57" customFormat="1" ht="20.25" customHeight="1">
      <c r="A3" s="2116" t="s">
        <v>2</v>
      </c>
      <c r="B3" s="2116"/>
      <c r="C3" s="2116"/>
      <c r="D3" s="2116"/>
      <c r="E3" s="2117"/>
      <c r="F3" s="2116"/>
      <c r="G3" s="2116"/>
      <c r="H3" s="2116"/>
      <c r="I3" s="2116"/>
      <c r="J3" s="2116"/>
      <c r="K3" s="2116"/>
      <c r="L3" s="2116"/>
      <c r="M3" s="2117"/>
      <c r="N3" s="2119"/>
      <c r="O3" s="2118"/>
      <c r="P3" s="2116"/>
      <c r="Q3" s="2116"/>
      <c r="R3" s="2116"/>
      <c r="S3" s="2116"/>
      <c r="T3" s="2116"/>
      <c r="U3" s="2116"/>
      <c r="V3" s="61"/>
      <c r="W3" s="62"/>
      <c r="X3" s="60"/>
      <c r="Y3" s="63"/>
      <c r="Z3" s="56"/>
      <c r="AD3" s="64"/>
      <c r="AE3" s="59" t="s">
        <v>3</v>
      </c>
    </row>
    <row r="4" spans="1:31" s="57" customFormat="1" ht="20.25" customHeight="1">
      <c r="A4" s="2116" t="s">
        <v>319</v>
      </c>
      <c r="B4" s="2116"/>
      <c r="C4" s="2116"/>
      <c r="D4" s="2116"/>
      <c r="E4" s="2117"/>
      <c r="F4" s="2116"/>
      <c r="G4" s="2116"/>
      <c r="H4" s="2116"/>
      <c r="I4" s="2116"/>
      <c r="J4" s="2116"/>
      <c r="K4" s="2116"/>
      <c r="L4" s="2116"/>
      <c r="M4" s="2117"/>
      <c r="N4" s="2119"/>
      <c r="O4" s="2118"/>
      <c r="P4" s="2116"/>
      <c r="Q4" s="2116"/>
      <c r="R4" s="2116"/>
      <c r="S4" s="2116"/>
      <c r="T4" s="2116"/>
      <c r="U4" s="2116"/>
      <c r="V4" s="61"/>
      <c r="W4" s="62"/>
      <c r="X4" s="60"/>
      <c r="Y4" s="63"/>
      <c r="Z4" s="56"/>
      <c r="AD4" s="65"/>
      <c r="AE4" s="59" t="s">
        <v>5</v>
      </c>
    </row>
    <row r="5" spans="1:31" s="57" customFormat="1" ht="6" customHeight="1">
      <c r="D5" s="66"/>
      <c r="E5" s="67"/>
      <c r="F5" s="67"/>
      <c r="G5" s="67"/>
      <c r="H5" s="66"/>
      <c r="I5" s="66"/>
      <c r="J5" s="66"/>
      <c r="K5" s="66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</row>
    <row r="6" spans="1:31" s="79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72" t="s">
        <v>13</v>
      </c>
      <c r="J6" s="74" t="s">
        <v>14</v>
      </c>
      <c r="K6" s="74" t="s">
        <v>15</v>
      </c>
      <c r="L6" s="74" t="s">
        <v>16</v>
      </c>
      <c r="M6" s="74" t="s">
        <v>17</v>
      </c>
      <c r="N6" s="75" t="s">
        <v>18</v>
      </c>
      <c r="O6" s="76" t="s">
        <v>19</v>
      </c>
      <c r="P6" s="74" t="s">
        <v>20</v>
      </c>
      <c r="Q6" s="136" t="s">
        <v>21</v>
      </c>
      <c r="R6" s="74" t="s">
        <v>22</v>
      </c>
      <c r="S6" s="77" t="s">
        <v>23</v>
      </c>
      <c r="T6" s="74" t="s">
        <v>24</v>
      </c>
      <c r="U6" s="78" t="s">
        <v>25</v>
      </c>
      <c r="V6" s="134" t="s">
        <v>26</v>
      </c>
      <c r="Z6" s="72" t="s">
        <v>27</v>
      </c>
      <c r="AA6" s="80" t="s">
        <v>28</v>
      </c>
      <c r="AB6" s="74" t="s">
        <v>29</v>
      </c>
      <c r="AC6" s="72" t="s">
        <v>30</v>
      </c>
    </row>
    <row r="7" spans="1:31" s="82" customFormat="1" ht="13" hidden="1">
      <c r="A7" s="81">
        <f>ROW()-6</f>
        <v>1</v>
      </c>
      <c r="B7" s="81"/>
      <c r="C7" s="87"/>
      <c r="D7" s="88" t="s">
        <v>198</v>
      </c>
      <c r="E7" s="121">
        <v>44942</v>
      </c>
      <c r="F7" s="86">
        <v>1000</v>
      </c>
      <c r="G7" s="86">
        <v>1200</v>
      </c>
      <c r="H7" s="89" t="s">
        <v>320</v>
      </c>
      <c r="I7" s="89" t="s">
        <v>36</v>
      </c>
      <c r="J7" s="89" t="s">
        <v>321</v>
      </c>
      <c r="K7" s="89">
        <v>18</v>
      </c>
      <c r="L7" s="89"/>
      <c r="M7" s="85" t="s">
        <v>172</v>
      </c>
      <c r="N7" s="121">
        <v>44929</v>
      </c>
      <c r="O7" s="88" t="s">
        <v>174</v>
      </c>
      <c r="P7" s="89" t="s">
        <v>41</v>
      </c>
      <c r="Q7" s="135"/>
      <c r="R7" s="83">
        <v>2200000</v>
      </c>
      <c r="S7" s="84">
        <f>(G7-F7)/100</f>
        <v>2</v>
      </c>
      <c r="T7" s="88"/>
      <c r="U7" s="122">
        <f t="shared" ref="U7:U17" si="0">S7*R7*(100-P7)/100</f>
        <v>0</v>
      </c>
      <c r="V7" s="130">
        <f t="shared" ref="V7:V17" si="1">U7</f>
        <v>0</v>
      </c>
      <c r="W7" s="90"/>
      <c r="X7" s="91"/>
      <c r="Y7" s="90"/>
    </row>
    <row r="8" spans="1:31" s="82" customFormat="1" ht="13" hidden="1">
      <c r="A8" s="81">
        <f t="shared" ref="A8:A68" si="2">ROW()-6</f>
        <v>2</v>
      </c>
      <c r="B8" s="81"/>
      <c r="C8" s="87"/>
      <c r="D8" s="88" t="s">
        <v>198</v>
      </c>
      <c r="E8" s="121">
        <v>44939</v>
      </c>
      <c r="F8" s="86">
        <v>1000</v>
      </c>
      <c r="G8" s="86">
        <v>1200</v>
      </c>
      <c r="H8" s="89" t="s">
        <v>320</v>
      </c>
      <c r="I8" s="89" t="s">
        <v>35</v>
      </c>
      <c r="J8" s="89" t="s">
        <v>321</v>
      </c>
      <c r="K8" s="89">
        <v>18</v>
      </c>
      <c r="L8" s="89"/>
      <c r="M8" s="85" t="s">
        <v>172</v>
      </c>
      <c r="N8" s="121">
        <v>44939</v>
      </c>
      <c r="O8" s="88" t="s">
        <v>40</v>
      </c>
      <c r="P8" s="89"/>
      <c r="Q8" s="135"/>
      <c r="R8" s="83">
        <v>2200000</v>
      </c>
      <c r="S8" s="84">
        <f t="shared" ref="S8:S13" si="3">(G8-F8)/100</f>
        <v>2</v>
      </c>
      <c r="T8" s="88"/>
      <c r="U8" s="122">
        <f t="shared" si="0"/>
        <v>4400000</v>
      </c>
      <c r="V8" s="130">
        <f t="shared" si="1"/>
        <v>4400000</v>
      </c>
      <c r="W8" s="90"/>
      <c r="X8" s="91"/>
      <c r="Y8" s="90"/>
    </row>
    <row r="9" spans="1:31" s="82" customFormat="1" ht="13" hidden="1">
      <c r="A9" s="81">
        <f t="shared" si="2"/>
        <v>3</v>
      </c>
      <c r="B9" s="81"/>
      <c r="C9" s="87"/>
      <c r="D9" s="88" t="s">
        <v>198</v>
      </c>
      <c r="E9" s="121">
        <v>44939</v>
      </c>
      <c r="F9" s="86">
        <v>1600</v>
      </c>
      <c r="G9" s="86">
        <v>1700</v>
      </c>
      <c r="H9" s="89" t="s">
        <v>320</v>
      </c>
      <c r="I9" s="89" t="s">
        <v>35</v>
      </c>
      <c r="J9" s="89" t="s">
        <v>321</v>
      </c>
      <c r="K9" s="89">
        <v>18</v>
      </c>
      <c r="L9" s="89"/>
      <c r="M9" s="85" t="s">
        <v>172</v>
      </c>
      <c r="N9" s="121">
        <v>44939</v>
      </c>
      <c r="O9" s="88" t="s">
        <v>40</v>
      </c>
      <c r="P9" s="89"/>
      <c r="Q9" s="83"/>
      <c r="R9" s="83">
        <v>2200000</v>
      </c>
      <c r="S9" s="84">
        <f t="shared" si="3"/>
        <v>1</v>
      </c>
      <c r="T9" s="88"/>
      <c r="U9" s="122">
        <f t="shared" si="0"/>
        <v>2200000</v>
      </c>
      <c r="V9" s="130">
        <f t="shared" si="1"/>
        <v>2200000</v>
      </c>
      <c r="W9" s="90"/>
      <c r="X9" s="91"/>
      <c r="Y9" s="90"/>
    </row>
    <row r="10" spans="1:31" s="82" customFormat="1" ht="26" hidden="1">
      <c r="A10" s="81">
        <f t="shared" si="2"/>
        <v>4</v>
      </c>
      <c r="B10" s="81"/>
      <c r="C10" s="87"/>
      <c r="D10" s="88" t="s">
        <v>32</v>
      </c>
      <c r="E10" s="121">
        <v>44944</v>
      </c>
      <c r="F10" s="86">
        <v>900</v>
      </c>
      <c r="G10" s="86">
        <v>1700</v>
      </c>
      <c r="H10" s="89" t="s">
        <v>322</v>
      </c>
      <c r="I10" s="89" t="s">
        <v>35</v>
      </c>
      <c r="J10" s="89" t="s">
        <v>140</v>
      </c>
      <c r="K10" s="89">
        <v>12</v>
      </c>
      <c r="L10" s="89"/>
      <c r="M10" s="85" t="s">
        <v>112</v>
      </c>
      <c r="N10" s="121">
        <v>44573.54546296296</v>
      </c>
      <c r="O10" s="88" t="s">
        <v>40</v>
      </c>
      <c r="P10" s="89"/>
      <c r="Q10" s="83">
        <f>R10*6</f>
        <v>5700000</v>
      </c>
      <c r="R10" s="83">
        <v>950000</v>
      </c>
      <c r="S10" s="84">
        <f t="shared" si="3"/>
        <v>8</v>
      </c>
      <c r="T10" s="88"/>
      <c r="U10" s="122">
        <f t="shared" si="0"/>
        <v>7600000</v>
      </c>
      <c r="V10" s="130">
        <f>Q10</f>
        <v>5700000</v>
      </c>
      <c r="W10" s="83" t="s">
        <v>323</v>
      </c>
      <c r="X10" s="91"/>
      <c r="Y10" s="90"/>
    </row>
    <row r="11" spans="1:31" s="82" customFormat="1" ht="26" hidden="1">
      <c r="A11" s="81">
        <f t="shared" si="2"/>
        <v>5</v>
      </c>
      <c r="B11" s="81"/>
      <c r="C11" s="94"/>
      <c r="D11" s="94" t="s">
        <v>32</v>
      </c>
      <c r="E11" s="121">
        <v>44943</v>
      </c>
      <c r="F11" s="86">
        <v>900</v>
      </c>
      <c r="G11" s="86">
        <v>1700</v>
      </c>
      <c r="H11" s="94" t="s">
        <v>322</v>
      </c>
      <c r="I11" s="94" t="s">
        <v>35</v>
      </c>
      <c r="J11" s="94" t="s">
        <v>140</v>
      </c>
      <c r="K11" s="94">
        <v>12</v>
      </c>
      <c r="L11" s="94"/>
      <c r="M11" s="94" t="s">
        <v>112</v>
      </c>
      <c r="N11" s="119">
        <v>44573.543287037035</v>
      </c>
      <c r="O11" s="94" t="s">
        <v>40</v>
      </c>
      <c r="P11" s="94">
        <v>50</v>
      </c>
      <c r="Q11" s="83">
        <f>R11*6</f>
        <v>5700000</v>
      </c>
      <c r="R11" s="83">
        <v>950000</v>
      </c>
      <c r="S11" s="84">
        <f t="shared" si="3"/>
        <v>8</v>
      </c>
      <c r="T11" s="94"/>
      <c r="U11" s="122">
        <f t="shared" si="0"/>
        <v>3800000</v>
      </c>
      <c r="V11" s="124">
        <f>Q11*P11/100</f>
        <v>2850000</v>
      </c>
      <c r="W11" s="83" t="s">
        <v>324</v>
      </c>
    </row>
    <row r="12" spans="1:31" s="82" customFormat="1" ht="26" hidden="1">
      <c r="A12" s="81">
        <f t="shared" si="2"/>
        <v>6</v>
      </c>
      <c r="B12" s="81">
        <v>1</v>
      </c>
      <c r="C12" s="87" t="s">
        <v>325</v>
      </c>
      <c r="D12" s="88" t="s">
        <v>65</v>
      </c>
      <c r="E12" s="87" t="s">
        <v>326</v>
      </c>
      <c r="F12" s="86">
        <v>1015</v>
      </c>
      <c r="G12" s="86">
        <v>1800</v>
      </c>
      <c r="H12" s="89" t="s">
        <v>327</v>
      </c>
      <c r="I12" s="89" t="s">
        <v>35</v>
      </c>
      <c r="J12" s="89" t="s">
        <v>140</v>
      </c>
      <c r="K12" s="89" t="s">
        <v>61</v>
      </c>
      <c r="L12" s="89"/>
      <c r="M12" s="85" t="s">
        <v>112</v>
      </c>
      <c r="N12" s="87" t="s">
        <v>328</v>
      </c>
      <c r="O12" s="88" t="s">
        <v>40</v>
      </c>
      <c r="P12" s="89"/>
      <c r="Q12" s="83">
        <f>R12*3</f>
        <v>540000</v>
      </c>
      <c r="R12" s="83">
        <v>180000</v>
      </c>
      <c r="S12" s="84">
        <f>(G12-1025)/100</f>
        <v>7.75</v>
      </c>
      <c r="T12" s="88"/>
      <c r="U12" s="122">
        <f t="shared" si="0"/>
        <v>1395000</v>
      </c>
      <c r="V12" s="130">
        <f t="shared" si="1"/>
        <v>1395000</v>
      </c>
      <c r="W12" s="90"/>
      <c r="X12" s="91"/>
      <c r="Y12" s="90"/>
    </row>
    <row r="13" spans="1:31" s="82" customFormat="1" ht="13">
      <c r="A13" s="81">
        <f t="shared" si="2"/>
        <v>7</v>
      </c>
      <c r="B13" s="81">
        <v>2</v>
      </c>
      <c r="C13" s="94">
        <v>3952</v>
      </c>
      <c r="D13" s="94" t="s">
        <v>43</v>
      </c>
      <c r="E13" s="102">
        <v>45261</v>
      </c>
      <c r="F13" s="86">
        <v>1600</v>
      </c>
      <c r="G13" s="86">
        <v>1900</v>
      </c>
      <c r="H13" s="94" t="s">
        <v>329</v>
      </c>
      <c r="I13" s="94" t="s">
        <v>259</v>
      </c>
      <c r="J13" s="94" t="s">
        <v>330</v>
      </c>
      <c r="K13" s="94">
        <v>6</v>
      </c>
      <c r="L13" s="94"/>
      <c r="M13" s="94" t="s">
        <v>112</v>
      </c>
      <c r="N13" s="119">
        <v>45261.70988425926</v>
      </c>
      <c r="O13" s="94" t="s">
        <v>40</v>
      </c>
      <c r="P13" s="94"/>
      <c r="Q13" s="83"/>
      <c r="R13" s="83">
        <v>500000</v>
      </c>
      <c r="S13" s="84">
        <f t="shared" si="3"/>
        <v>3</v>
      </c>
      <c r="T13" s="94"/>
      <c r="U13" s="122">
        <f t="shared" si="0"/>
        <v>1500000</v>
      </c>
      <c r="V13" s="124">
        <f t="shared" si="1"/>
        <v>1500000</v>
      </c>
    </row>
    <row r="14" spans="1:31" s="82" customFormat="1" ht="26" hidden="1">
      <c r="A14" s="81">
        <f t="shared" si="2"/>
        <v>8</v>
      </c>
      <c r="B14" s="81">
        <v>3</v>
      </c>
      <c r="C14" s="87" t="s">
        <v>331</v>
      </c>
      <c r="D14" s="88" t="s">
        <v>75</v>
      </c>
      <c r="E14" s="87" t="s">
        <v>332</v>
      </c>
      <c r="F14" s="86">
        <v>1530</v>
      </c>
      <c r="G14" s="86">
        <v>1700</v>
      </c>
      <c r="H14" s="89" t="s">
        <v>333</v>
      </c>
      <c r="I14" s="89" t="s">
        <v>35</v>
      </c>
      <c r="J14" s="89" t="s">
        <v>245</v>
      </c>
      <c r="K14" s="89" t="s">
        <v>76</v>
      </c>
      <c r="L14" s="89"/>
      <c r="M14" s="85" t="s">
        <v>246</v>
      </c>
      <c r="N14" s="87" t="s">
        <v>334</v>
      </c>
      <c r="O14" s="88" t="s">
        <v>40</v>
      </c>
      <c r="P14" s="89" t="s">
        <v>41</v>
      </c>
      <c r="Q14" s="135"/>
      <c r="R14" s="83">
        <v>500000</v>
      </c>
      <c r="S14" s="84">
        <f>(G14-1550)/100</f>
        <v>1.5</v>
      </c>
      <c r="T14" s="88"/>
      <c r="U14" s="122">
        <f t="shared" si="0"/>
        <v>0</v>
      </c>
      <c r="V14" s="130">
        <f t="shared" si="1"/>
        <v>0</v>
      </c>
      <c r="W14" s="90"/>
      <c r="X14" s="91"/>
      <c r="Y14" s="90"/>
    </row>
    <row r="15" spans="1:31" s="82" customFormat="1" ht="26">
      <c r="A15" s="81">
        <f t="shared" si="2"/>
        <v>9</v>
      </c>
      <c r="B15" s="81">
        <v>4</v>
      </c>
      <c r="C15" s="87" t="s">
        <v>335</v>
      </c>
      <c r="D15" s="88" t="s">
        <v>43</v>
      </c>
      <c r="E15" s="87" t="s">
        <v>336</v>
      </c>
      <c r="F15" s="86">
        <v>1500</v>
      </c>
      <c r="G15" s="86">
        <v>1745</v>
      </c>
      <c r="H15" s="89" t="s">
        <v>337</v>
      </c>
      <c r="I15" s="89" t="s">
        <v>35</v>
      </c>
      <c r="J15" s="89" t="s">
        <v>36</v>
      </c>
      <c r="K15" s="89" t="s">
        <v>100</v>
      </c>
      <c r="L15" s="89"/>
      <c r="M15" s="85" t="s">
        <v>72</v>
      </c>
      <c r="N15" s="87" t="s">
        <v>338</v>
      </c>
      <c r="O15" s="88" t="s">
        <v>40</v>
      </c>
      <c r="P15" s="89"/>
      <c r="Q15" s="135"/>
      <c r="R15" s="83">
        <v>500000</v>
      </c>
      <c r="S15" s="84">
        <f>(1775-F15)/100</f>
        <v>2.75</v>
      </c>
      <c r="T15" s="88"/>
      <c r="U15" s="122">
        <f t="shared" si="0"/>
        <v>1375000</v>
      </c>
      <c r="V15" s="130">
        <f t="shared" si="1"/>
        <v>1375000</v>
      </c>
      <c r="W15" s="90"/>
      <c r="X15" s="91"/>
      <c r="Y15" s="90"/>
    </row>
    <row r="16" spans="1:31" s="82" customFormat="1" ht="26" hidden="1">
      <c r="A16" s="81">
        <f t="shared" si="2"/>
        <v>10</v>
      </c>
      <c r="B16" s="81">
        <v>5</v>
      </c>
      <c r="C16" s="87" t="s">
        <v>339</v>
      </c>
      <c r="D16" s="88" t="s">
        <v>65</v>
      </c>
      <c r="E16" s="87" t="s">
        <v>332</v>
      </c>
      <c r="F16" s="86">
        <v>1130</v>
      </c>
      <c r="G16" s="86">
        <v>2000</v>
      </c>
      <c r="H16" s="89" t="s">
        <v>340</v>
      </c>
      <c r="I16" s="89" t="s">
        <v>35</v>
      </c>
      <c r="J16" s="89" t="s">
        <v>140</v>
      </c>
      <c r="K16" s="89" t="s">
        <v>61</v>
      </c>
      <c r="L16" s="89"/>
      <c r="M16" s="85" t="s">
        <v>112</v>
      </c>
      <c r="N16" s="87" t="s">
        <v>341</v>
      </c>
      <c r="O16" s="88" t="s">
        <v>40</v>
      </c>
      <c r="P16" s="89"/>
      <c r="Q16" s="83">
        <f>R16*6</f>
        <v>1080000</v>
      </c>
      <c r="R16" s="83">
        <v>180000</v>
      </c>
      <c r="S16" s="84">
        <f>(G16-1150)/100</f>
        <v>8.5</v>
      </c>
      <c r="T16" s="88"/>
      <c r="U16" s="122">
        <f t="shared" si="0"/>
        <v>1530000</v>
      </c>
      <c r="V16" s="130">
        <f>Q16+((S16-8)*R16)</f>
        <v>1170000</v>
      </c>
      <c r="W16" s="90"/>
      <c r="X16" s="91"/>
      <c r="Y16" s="90"/>
    </row>
    <row r="17" spans="1:25" s="82" customFormat="1" ht="26" hidden="1">
      <c r="A17" s="81">
        <f t="shared" si="2"/>
        <v>11</v>
      </c>
      <c r="B17" s="81">
        <v>6</v>
      </c>
      <c r="C17" s="87" t="s">
        <v>342</v>
      </c>
      <c r="D17" s="88" t="s">
        <v>65</v>
      </c>
      <c r="E17" s="87" t="s">
        <v>336</v>
      </c>
      <c r="F17" s="86">
        <v>1400</v>
      </c>
      <c r="G17" s="86">
        <v>2000</v>
      </c>
      <c r="H17" s="89" t="s">
        <v>340</v>
      </c>
      <c r="I17" s="89" t="s">
        <v>35</v>
      </c>
      <c r="J17" s="89" t="s">
        <v>140</v>
      </c>
      <c r="K17" s="89" t="s">
        <v>61</v>
      </c>
      <c r="L17" s="89"/>
      <c r="M17" s="85" t="s">
        <v>112</v>
      </c>
      <c r="N17" s="87" t="s">
        <v>343</v>
      </c>
      <c r="O17" s="88" t="s">
        <v>174</v>
      </c>
      <c r="P17" s="89"/>
      <c r="Q17" s="135"/>
      <c r="R17" s="83"/>
      <c r="S17" s="84"/>
      <c r="T17" s="88"/>
      <c r="U17" s="122">
        <f t="shared" si="0"/>
        <v>0</v>
      </c>
      <c r="V17" s="130">
        <f t="shared" si="1"/>
        <v>0</v>
      </c>
      <c r="W17" s="90"/>
      <c r="X17" s="91"/>
      <c r="Y17" s="90"/>
    </row>
    <row r="18" spans="1:25" s="82" customFormat="1" ht="13" hidden="1">
      <c r="A18" s="81">
        <f t="shared" si="2"/>
        <v>12</v>
      </c>
      <c r="B18" s="81">
        <v>7</v>
      </c>
      <c r="C18" s="94">
        <v>3947</v>
      </c>
      <c r="D18" s="94" t="s">
        <v>65</v>
      </c>
      <c r="E18" s="102">
        <v>45261</v>
      </c>
      <c r="F18" s="86">
        <v>1130</v>
      </c>
      <c r="G18" s="86">
        <v>1400</v>
      </c>
      <c r="H18" s="94" t="s">
        <v>340</v>
      </c>
      <c r="I18" s="94" t="s">
        <v>35</v>
      </c>
      <c r="J18" s="94" t="s">
        <v>140</v>
      </c>
      <c r="K18" s="94">
        <v>1</v>
      </c>
      <c r="L18" s="94"/>
      <c r="M18" s="94" t="s">
        <v>112</v>
      </c>
      <c r="N18" s="119">
        <v>45231.627013888887</v>
      </c>
      <c r="O18" s="94" t="s">
        <v>174</v>
      </c>
      <c r="P18" s="94"/>
      <c r="Q18" s="137"/>
      <c r="R18" s="83"/>
      <c r="S18" s="84"/>
      <c r="T18" s="94"/>
      <c r="U18" s="122">
        <f t="shared" ref="U18:U31" si="4">S18*R18*(100-P18)/100</f>
        <v>0</v>
      </c>
      <c r="V18" s="124">
        <f>Q18+((S18-4)*R18)</f>
        <v>0</v>
      </c>
    </row>
    <row r="19" spans="1:25" s="82" customFormat="1" ht="26" hidden="1">
      <c r="A19" s="81">
        <f t="shared" si="2"/>
        <v>13</v>
      </c>
      <c r="B19" s="81">
        <v>8</v>
      </c>
      <c r="C19" s="87" t="s">
        <v>344</v>
      </c>
      <c r="D19" s="88" t="s">
        <v>65</v>
      </c>
      <c r="E19" s="87" t="s">
        <v>332</v>
      </c>
      <c r="F19" s="86">
        <v>1030</v>
      </c>
      <c r="G19" s="86">
        <v>2000</v>
      </c>
      <c r="H19" s="89" t="s">
        <v>340</v>
      </c>
      <c r="I19" s="89" t="s">
        <v>35</v>
      </c>
      <c r="J19" s="89" t="s">
        <v>140</v>
      </c>
      <c r="K19" s="89" t="s">
        <v>61</v>
      </c>
      <c r="L19" s="89"/>
      <c r="M19" s="85" t="s">
        <v>112</v>
      </c>
      <c r="N19" s="87" t="s">
        <v>345</v>
      </c>
      <c r="O19" s="88" t="s">
        <v>174</v>
      </c>
      <c r="P19" s="89"/>
      <c r="Q19" s="135"/>
      <c r="R19" s="83"/>
      <c r="S19" s="84"/>
      <c r="T19" s="88"/>
      <c r="U19" s="122">
        <f t="shared" si="4"/>
        <v>0</v>
      </c>
      <c r="V19" s="130">
        <f>U19</f>
        <v>0</v>
      </c>
      <c r="W19" s="90"/>
      <c r="X19" s="91"/>
      <c r="Y19" s="90"/>
    </row>
    <row r="20" spans="1:25" s="82" customFormat="1" ht="26" hidden="1">
      <c r="A20" s="81">
        <f t="shared" si="2"/>
        <v>14</v>
      </c>
      <c r="B20" s="81">
        <v>9</v>
      </c>
      <c r="C20" s="87" t="s">
        <v>346</v>
      </c>
      <c r="D20" s="88" t="s">
        <v>65</v>
      </c>
      <c r="E20" s="87" t="s">
        <v>332</v>
      </c>
      <c r="F20" s="86">
        <v>1130</v>
      </c>
      <c r="G20" s="86">
        <v>2000</v>
      </c>
      <c r="H20" s="89" t="s">
        <v>340</v>
      </c>
      <c r="I20" s="89" t="s">
        <v>35</v>
      </c>
      <c r="J20" s="89" t="s">
        <v>140</v>
      </c>
      <c r="K20" s="89" t="s">
        <v>61</v>
      </c>
      <c r="L20" s="89"/>
      <c r="M20" s="85" t="s">
        <v>112</v>
      </c>
      <c r="N20" s="87" t="s">
        <v>347</v>
      </c>
      <c r="O20" s="88" t="s">
        <v>174</v>
      </c>
      <c r="P20" s="89"/>
      <c r="Q20" s="135"/>
      <c r="R20" s="83"/>
      <c r="S20" s="84"/>
      <c r="T20" s="88"/>
      <c r="U20" s="122">
        <f t="shared" si="4"/>
        <v>0</v>
      </c>
      <c r="V20" s="130">
        <f>U20</f>
        <v>0</v>
      </c>
      <c r="W20" s="90"/>
      <c r="X20" s="91"/>
      <c r="Y20" s="90"/>
    </row>
    <row r="21" spans="1:25" s="82" customFormat="1" ht="26">
      <c r="A21" s="81">
        <f t="shared" si="2"/>
        <v>15</v>
      </c>
      <c r="B21" s="81">
        <v>10</v>
      </c>
      <c r="C21" s="87" t="s">
        <v>348</v>
      </c>
      <c r="D21" s="88" t="s">
        <v>43</v>
      </c>
      <c r="E21" s="87" t="s">
        <v>349</v>
      </c>
      <c r="F21" s="86">
        <v>1000</v>
      </c>
      <c r="G21" s="86">
        <v>1700</v>
      </c>
      <c r="H21" s="89" t="s">
        <v>350</v>
      </c>
      <c r="I21" s="89" t="s">
        <v>35</v>
      </c>
      <c r="J21" s="89" t="s">
        <v>52</v>
      </c>
      <c r="K21" s="89" t="s">
        <v>76</v>
      </c>
      <c r="L21" s="89"/>
      <c r="M21" s="85" t="s">
        <v>255</v>
      </c>
      <c r="N21" s="87" t="s">
        <v>351</v>
      </c>
      <c r="O21" s="88" t="s">
        <v>40</v>
      </c>
      <c r="P21" s="89"/>
      <c r="Q21" s="83">
        <f>R21*3</f>
        <v>1500000</v>
      </c>
      <c r="R21" s="83">
        <v>500000</v>
      </c>
      <c r="S21" s="84">
        <f t="shared" ref="S21" si="5">(G21-F21)/100</f>
        <v>7</v>
      </c>
      <c r="T21" s="88"/>
      <c r="U21" s="122">
        <f t="shared" si="4"/>
        <v>3500000</v>
      </c>
      <c r="V21" s="130">
        <f>Q21+((S21-4)*R21)</f>
        <v>3000000</v>
      </c>
      <c r="W21" s="90"/>
      <c r="X21" s="91"/>
      <c r="Y21" s="90"/>
    </row>
    <row r="22" spans="1:25" s="82" customFormat="1" ht="13">
      <c r="A22" s="81">
        <f t="shared" si="2"/>
        <v>16</v>
      </c>
      <c r="B22" s="81">
        <v>11</v>
      </c>
      <c r="C22" s="94">
        <v>3943</v>
      </c>
      <c r="D22" s="94" t="s">
        <v>43</v>
      </c>
      <c r="E22" s="102" t="s">
        <v>352</v>
      </c>
      <c r="F22" s="86">
        <v>1000</v>
      </c>
      <c r="G22" s="86">
        <v>1930</v>
      </c>
      <c r="H22" s="94" t="s">
        <v>350</v>
      </c>
      <c r="I22" s="94" t="s">
        <v>35</v>
      </c>
      <c r="J22" s="94" t="s">
        <v>52</v>
      </c>
      <c r="K22" s="94">
        <v>6</v>
      </c>
      <c r="L22" s="94"/>
      <c r="M22" s="94" t="s">
        <v>255</v>
      </c>
      <c r="N22" s="119">
        <v>45200.641655092593</v>
      </c>
      <c r="O22" s="94" t="s">
        <v>40</v>
      </c>
      <c r="P22" s="94"/>
      <c r="Q22" s="83">
        <f>R22*6</f>
        <v>3000000</v>
      </c>
      <c r="R22" s="83">
        <v>500000</v>
      </c>
      <c r="S22" s="84">
        <f>(1950-F22)/100</f>
        <v>9.5</v>
      </c>
      <c r="T22" s="94"/>
      <c r="U22" s="122">
        <f t="shared" si="4"/>
        <v>4750000</v>
      </c>
      <c r="V22" s="130">
        <f>Q22+((S22-8)*R22)</f>
        <v>3750000</v>
      </c>
    </row>
    <row r="23" spans="1:25" s="82" customFormat="1" ht="26">
      <c r="A23" s="81">
        <f t="shared" si="2"/>
        <v>17</v>
      </c>
      <c r="B23" s="81">
        <v>12</v>
      </c>
      <c r="C23" s="87" t="s">
        <v>353</v>
      </c>
      <c r="D23" s="88" t="s">
        <v>43</v>
      </c>
      <c r="E23" s="121" t="s">
        <v>354</v>
      </c>
      <c r="F23" s="86">
        <v>1000</v>
      </c>
      <c r="G23" s="86">
        <v>1930</v>
      </c>
      <c r="H23" s="89" t="s">
        <v>350</v>
      </c>
      <c r="I23" s="89" t="s">
        <v>35</v>
      </c>
      <c r="J23" s="89" t="s">
        <v>52</v>
      </c>
      <c r="K23" s="89" t="s">
        <v>76</v>
      </c>
      <c r="L23" s="89"/>
      <c r="M23" s="85" t="s">
        <v>255</v>
      </c>
      <c r="N23" s="119">
        <v>45200.641250000001</v>
      </c>
      <c r="O23" s="88" t="s">
        <v>40</v>
      </c>
      <c r="P23" s="89"/>
      <c r="Q23" s="83">
        <f>R23*6</f>
        <v>3000000</v>
      </c>
      <c r="R23" s="83">
        <v>500000</v>
      </c>
      <c r="S23" s="84">
        <f>(1950-F23)/100</f>
        <v>9.5</v>
      </c>
      <c r="T23" s="88"/>
      <c r="U23" s="122">
        <f t="shared" si="4"/>
        <v>4750000</v>
      </c>
      <c r="V23" s="130">
        <f>Q23+((S23-8)*R23)</f>
        <v>3750000</v>
      </c>
      <c r="W23" s="90"/>
      <c r="X23" s="91"/>
      <c r="Y23" s="90"/>
    </row>
    <row r="24" spans="1:25" s="82" customFormat="1" ht="26" hidden="1">
      <c r="A24" s="81">
        <f t="shared" si="2"/>
        <v>18</v>
      </c>
      <c r="B24" s="81">
        <v>13</v>
      </c>
      <c r="C24" s="87" t="s">
        <v>355</v>
      </c>
      <c r="D24" s="88" t="s">
        <v>43</v>
      </c>
      <c r="E24" s="87" t="s">
        <v>349</v>
      </c>
      <c r="F24" s="86">
        <v>1000</v>
      </c>
      <c r="G24" s="86">
        <v>1930</v>
      </c>
      <c r="H24" s="89" t="s">
        <v>350</v>
      </c>
      <c r="I24" s="89" t="s">
        <v>35</v>
      </c>
      <c r="J24" s="89" t="s">
        <v>52</v>
      </c>
      <c r="K24" s="89" t="s">
        <v>76</v>
      </c>
      <c r="L24" s="89"/>
      <c r="M24" s="85" t="s">
        <v>255</v>
      </c>
      <c r="N24" s="87" t="s">
        <v>356</v>
      </c>
      <c r="O24" s="88" t="s">
        <v>174</v>
      </c>
      <c r="P24" s="89"/>
      <c r="Q24" s="135"/>
      <c r="R24" s="83"/>
      <c r="S24" s="84"/>
      <c r="T24" s="88"/>
      <c r="U24" s="122">
        <f t="shared" si="4"/>
        <v>0</v>
      </c>
      <c r="V24" s="130">
        <f>U24</f>
        <v>0</v>
      </c>
      <c r="W24" s="90"/>
      <c r="X24" s="91"/>
      <c r="Y24" s="90"/>
    </row>
    <row r="25" spans="1:25" s="82" customFormat="1" ht="13" hidden="1">
      <c r="A25" s="81">
        <f t="shared" si="2"/>
        <v>19</v>
      </c>
      <c r="B25" s="81">
        <v>14</v>
      </c>
      <c r="C25" s="94">
        <v>3940</v>
      </c>
      <c r="D25" s="94" t="s">
        <v>43</v>
      </c>
      <c r="E25" s="102">
        <v>45200</v>
      </c>
      <c r="F25" s="86">
        <v>1400</v>
      </c>
      <c r="G25" s="86">
        <v>1600</v>
      </c>
      <c r="H25" s="94" t="s">
        <v>337</v>
      </c>
      <c r="I25" s="94" t="s">
        <v>35</v>
      </c>
      <c r="J25" s="94" t="s">
        <v>36</v>
      </c>
      <c r="K25" s="94">
        <v>4</v>
      </c>
      <c r="L25" s="94"/>
      <c r="M25" s="94" t="s">
        <v>72</v>
      </c>
      <c r="N25" s="119">
        <v>45200.63140046296</v>
      </c>
      <c r="O25" s="94" t="s">
        <v>40</v>
      </c>
      <c r="P25" s="94">
        <v>100</v>
      </c>
      <c r="Q25" s="137"/>
      <c r="R25" s="83">
        <v>500000</v>
      </c>
      <c r="S25" s="84">
        <f t="shared" ref="S25:S32" si="6">(G25-F25)/100</f>
        <v>2</v>
      </c>
      <c r="T25" s="94"/>
      <c r="U25" s="122">
        <f t="shared" si="4"/>
        <v>0</v>
      </c>
      <c r="V25" s="124">
        <f>U25</f>
        <v>0</v>
      </c>
    </row>
    <row r="26" spans="1:25" s="82" customFormat="1" ht="26">
      <c r="A26" s="81">
        <f t="shared" si="2"/>
        <v>20</v>
      </c>
      <c r="B26" s="81">
        <v>15</v>
      </c>
      <c r="C26" s="87" t="s">
        <v>357</v>
      </c>
      <c r="D26" s="88" t="s">
        <v>43</v>
      </c>
      <c r="E26" s="87" t="s">
        <v>336</v>
      </c>
      <c r="F26" s="86">
        <v>1400</v>
      </c>
      <c r="G26" s="86">
        <v>1500</v>
      </c>
      <c r="H26" s="89" t="s">
        <v>337</v>
      </c>
      <c r="I26" s="89" t="s">
        <v>35</v>
      </c>
      <c r="J26" s="89" t="s">
        <v>36</v>
      </c>
      <c r="K26" s="89" t="s">
        <v>76</v>
      </c>
      <c r="L26" s="89"/>
      <c r="M26" s="85" t="s">
        <v>72</v>
      </c>
      <c r="N26" s="87" t="s">
        <v>358</v>
      </c>
      <c r="O26" s="88" t="s">
        <v>40</v>
      </c>
      <c r="P26" s="89"/>
      <c r="Q26" s="135"/>
      <c r="R26" s="83">
        <v>500000</v>
      </c>
      <c r="S26" s="84">
        <f t="shared" si="6"/>
        <v>1</v>
      </c>
      <c r="T26" s="88"/>
      <c r="U26" s="122">
        <f t="shared" si="4"/>
        <v>500000</v>
      </c>
      <c r="V26" s="130">
        <f>U26</f>
        <v>500000</v>
      </c>
      <c r="W26" s="90"/>
      <c r="X26" s="91"/>
      <c r="Y26" s="90"/>
    </row>
    <row r="27" spans="1:25" s="82" customFormat="1" ht="13">
      <c r="A27" s="81">
        <f t="shared" si="2"/>
        <v>21</v>
      </c>
      <c r="B27" s="81">
        <v>16</v>
      </c>
      <c r="C27" s="94">
        <v>3938</v>
      </c>
      <c r="D27" s="94" t="s">
        <v>75</v>
      </c>
      <c r="E27" s="102">
        <v>45170</v>
      </c>
      <c r="F27" s="86">
        <v>830</v>
      </c>
      <c r="G27" s="86">
        <v>1230</v>
      </c>
      <c r="H27" s="94" t="s">
        <v>359</v>
      </c>
      <c r="I27" s="94" t="s">
        <v>35</v>
      </c>
      <c r="J27" s="94" t="s">
        <v>36</v>
      </c>
      <c r="K27" s="94">
        <v>10</v>
      </c>
      <c r="L27" s="94"/>
      <c r="M27" s="94" t="s">
        <v>360</v>
      </c>
      <c r="N27" s="119">
        <v>45170.387002314812</v>
      </c>
      <c r="O27" s="94" t="s">
        <v>40</v>
      </c>
      <c r="P27" s="94"/>
      <c r="Q27" s="83">
        <f>R27*3</f>
        <v>1500000</v>
      </c>
      <c r="R27" s="83">
        <v>500000</v>
      </c>
      <c r="S27" s="84">
        <f t="shared" si="6"/>
        <v>4</v>
      </c>
      <c r="T27" s="94"/>
      <c r="U27" s="122">
        <f t="shared" si="4"/>
        <v>2000000</v>
      </c>
      <c r="V27" s="124">
        <f>Q27</f>
        <v>1500000</v>
      </c>
    </row>
    <row r="28" spans="1:25" s="82" customFormat="1" ht="26">
      <c r="A28" s="81">
        <f t="shared" si="2"/>
        <v>22</v>
      </c>
      <c r="B28" s="81">
        <v>17</v>
      </c>
      <c r="C28" s="87" t="s">
        <v>361</v>
      </c>
      <c r="D28" s="88" t="s">
        <v>43</v>
      </c>
      <c r="E28" s="121">
        <v>45170</v>
      </c>
      <c r="F28" s="86">
        <v>830</v>
      </c>
      <c r="G28" s="86">
        <v>1230</v>
      </c>
      <c r="H28" s="89" t="s">
        <v>359</v>
      </c>
      <c r="I28" s="89" t="s">
        <v>35</v>
      </c>
      <c r="J28" s="89" t="s">
        <v>36</v>
      </c>
      <c r="K28" s="89" t="s">
        <v>64</v>
      </c>
      <c r="L28" s="89"/>
      <c r="M28" s="85" t="s">
        <v>360</v>
      </c>
      <c r="N28" s="119">
        <v>45170.386678240742</v>
      </c>
      <c r="O28" s="88" t="s">
        <v>40</v>
      </c>
      <c r="P28" s="85"/>
      <c r="Q28" s="83">
        <f>R28*3</f>
        <v>1500000</v>
      </c>
      <c r="R28" s="83">
        <v>500000</v>
      </c>
      <c r="S28" s="84">
        <f t="shared" si="6"/>
        <v>4</v>
      </c>
      <c r="T28" s="88"/>
      <c r="U28" s="122">
        <f t="shared" si="4"/>
        <v>2000000</v>
      </c>
      <c r="V28" s="124">
        <f>Q28</f>
        <v>1500000</v>
      </c>
      <c r="W28" s="90"/>
      <c r="X28" s="91"/>
      <c r="Y28" s="90"/>
    </row>
    <row r="29" spans="1:25" s="82" customFormat="1" ht="13" hidden="1">
      <c r="A29" s="81">
        <f t="shared" si="2"/>
        <v>23</v>
      </c>
      <c r="B29" s="81">
        <v>18</v>
      </c>
      <c r="C29" s="94">
        <v>3936</v>
      </c>
      <c r="D29" s="94" t="s">
        <v>65</v>
      </c>
      <c r="E29" s="102">
        <v>45078</v>
      </c>
      <c r="F29" s="86">
        <v>1500</v>
      </c>
      <c r="G29" s="86">
        <v>1600</v>
      </c>
      <c r="H29" s="94" t="s">
        <v>362</v>
      </c>
      <c r="I29" s="94" t="s">
        <v>35</v>
      </c>
      <c r="J29" s="94" t="s">
        <v>228</v>
      </c>
      <c r="K29" s="94">
        <v>1</v>
      </c>
      <c r="L29" s="94"/>
      <c r="M29" s="94" t="s">
        <v>62</v>
      </c>
      <c r="N29" s="119">
        <v>45047.750636574077</v>
      </c>
      <c r="O29" s="94" t="s">
        <v>40</v>
      </c>
      <c r="P29" s="140">
        <v>10</v>
      </c>
      <c r="Q29" s="137"/>
      <c r="R29" s="83">
        <v>180000</v>
      </c>
      <c r="S29" s="84">
        <f t="shared" si="6"/>
        <v>1</v>
      </c>
      <c r="T29" s="94"/>
      <c r="U29" s="122">
        <f t="shared" si="4"/>
        <v>162000</v>
      </c>
      <c r="V29" s="124">
        <f t="shared" ref="V29:V38" si="7">U29</f>
        <v>162000</v>
      </c>
    </row>
    <row r="30" spans="1:25" s="82" customFormat="1" ht="26" hidden="1">
      <c r="A30" s="81">
        <f t="shared" si="2"/>
        <v>24</v>
      </c>
      <c r="B30" s="81">
        <v>19</v>
      </c>
      <c r="C30" s="87" t="s">
        <v>363</v>
      </c>
      <c r="D30" s="88" t="s">
        <v>65</v>
      </c>
      <c r="E30" s="121">
        <v>45078</v>
      </c>
      <c r="F30" s="86">
        <v>1100</v>
      </c>
      <c r="G30" s="86">
        <v>1200</v>
      </c>
      <c r="H30" s="89" t="s">
        <v>362</v>
      </c>
      <c r="I30" s="89" t="s">
        <v>35</v>
      </c>
      <c r="J30" s="89" t="s">
        <v>228</v>
      </c>
      <c r="K30" s="89" t="s">
        <v>61</v>
      </c>
      <c r="L30" s="89"/>
      <c r="M30" s="85" t="s">
        <v>62</v>
      </c>
      <c r="N30" s="119">
        <v>45047.750324074077</v>
      </c>
      <c r="O30" s="88" t="s">
        <v>40</v>
      </c>
      <c r="P30" s="89" t="s">
        <v>41</v>
      </c>
      <c r="Q30" s="137"/>
      <c r="R30" s="83">
        <v>180000</v>
      </c>
      <c r="S30" s="84">
        <f t="shared" si="6"/>
        <v>1</v>
      </c>
      <c r="T30" s="88"/>
      <c r="U30" s="122">
        <f t="shared" si="4"/>
        <v>0</v>
      </c>
      <c r="V30" s="124">
        <f t="shared" si="7"/>
        <v>0</v>
      </c>
      <c r="W30" s="90"/>
      <c r="X30" s="91"/>
      <c r="Y30" s="90"/>
    </row>
    <row r="31" spans="1:25" s="82" customFormat="1" ht="26" hidden="1">
      <c r="A31" s="81">
        <f t="shared" si="2"/>
        <v>25</v>
      </c>
      <c r="B31" s="81">
        <v>20</v>
      </c>
      <c r="C31" s="87" t="s">
        <v>364</v>
      </c>
      <c r="D31" s="88" t="s">
        <v>75</v>
      </c>
      <c r="E31" s="87" t="s">
        <v>354</v>
      </c>
      <c r="F31" s="86">
        <v>1400</v>
      </c>
      <c r="G31" s="86">
        <v>1600</v>
      </c>
      <c r="H31" s="89" t="s">
        <v>365</v>
      </c>
      <c r="I31" s="89" t="s">
        <v>35</v>
      </c>
      <c r="J31" s="89" t="s">
        <v>36</v>
      </c>
      <c r="K31" s="89" t="s">
        <v>366</v>
      </c>
      <c r="L31" s="89"/>
      <c r="M31" s="85" t="s">
        <v>38</v>
      </c>
      <c r="N31" s="87" t="s">
        <v>367</v>
      </c>
      <c r="O31" s="88" t="s">
        <v>40</v>
      </c>
      <c r="P31" s="89" t="s">
        <v>41</v>
      </c>
      <c r="Q31" s="138"/>
      <c r="R31" s="83">
        <v>500000</v>
      </c>
      <c r="S31" s="84">
        <f t="shared" si="6"/>
        <v>2</v>
      </c>
      <c r="T31" s="88"/>
      <c r="U31" s="122">
        <f t="shared" si="4"/>
        <v>0</v>
      </c>
      <c r="V31" s="130">
        <f t="shared" si="7"/>
        <v>0</v>
      </c>
      <c r="W31" s="90"/>
      <c r="X31" s="91"/>
      <c r="Y31" s="90"/>
    </row>
    <row r="32" spans="1:25" s="82" customFormat="1" ht="26" hidden="1">
      <c r="A32" s="81">
        <f t="shared" si="2"/>
        <v>26</v>
      </c>
      <c r="B32" s="81">
        <v>21</v>
      </c>
      <c r="C32" s="87" t="s">
        <v>368</v>
      </c>
      <c r="D32" s="88" t="s">
        <v>75</v>
      </c>
      <c r="E32" s="87" t="s">
        <v>332</v>
      </c>
      <c r="F32" s="86">
        <v>1000</v>
      </c>
      <c r="G32" s="86">
        <v>1100</v>
      </c>
      <c r="H32" s="89" t="s">
        <v>365</v>
      </c>
      <c r="I32" s="89" t="s">
        <v>35</v>
      </c>
      <c r="J32" s="89" t="s">
        <v>36</v>
      </c>
      <c r="K32" s="89" t="s">
        <v>366</v>
      </c>
      <c r="L32" s="89"/>
      <c r="M32" s="85" t="s">
        <v>38</v>
      </c>
      <c r="N32" s="87" t="s">
        <v>369</v>
      </c>
      <c r="O32" s="88" t="s">
        <v>40</v>
      </c>
      <c r="P32" s="89" t="s">
        <v>41</v>
      </c>
      <c r="Q32" s="135"/>
      <c r="R32" s="83">
        <v>500000</v>
      </c>
      <c r="S32" s="84">
        <f t="shared" si="6"/>
        <v>1</v>
      </c>
      <c r="T32" s="88"/>
      <c r="U32" s="122">
        <f>S32*R32*(100-P32)/100</f>
        <v>0</v>
      </c>
      <c r="V32" s="130">
        <f t="shared" si="7"/>
        <v>0</v>
      </c>
      <c r="W32" s="90"/>
      <c r="X32" s="91"/>
      <c r="Y32" s="90"/>
    </row>
    <row r="33" spans="1:25" s="82" customFormat="1" ht="26">
      <c r="A33" s="81">
        <f t="shared" si="2"/>
        <v>27</v>
      </c>
      <c r="B33" s="81">
        <v>22</v>
      </c>
      <c r="C33" s="87" t="s">
        <v>370</v>
      </c>
      <c r="D33" s="88" t="s">
        <v>43</v>
      </c>
      <c r="E33" s="121">
        <v>45261</v>
      </c>
      <c r="F33" s="86">
        <v>830</v>
      </c>
      <c r="G33" s="86">
        <v>1100</v>
      </c>
      <c r="H33" s="89" t="s">
        <v>371</v>
      </c>
      <c r="I33" s="89" t="s">
        <v>35</v>
      </c>
      <c r="J33" s="89" t="s">
        <v>36</v>
      </c>
      <c r="K33" s="89" t="s">
        <v>76</v>
      </c>
      <c r="L33" s="89"/>
      <c r="M33" s="85" t="s">
        <v>372</v>
      </c>
      <c r="N33" s="87" t="s">
        <v>373</v>
      </c>
      <c r="O33" s="88" t="s">
        <v>40</v>
      </c>
      <c r="P33" s="89"/>
      <c r="Q33" s="137"/>
      <c r="R33" s="83">
        <v>625000</v>
      </c>
      <c r="S33" s="84">
        <f>(G33-850)/100</f>
        <v>2.5</v>
      </c>
      <c r="T33" s="88"/>
      <c r="U33" s="122">
        <f>S33*R33*(100-P33)/100</f>
        <v>1562500</v>
      </c>
      <c r="V33" s="124">
        <f t="shared" si="7"/>
        <v>1562500</v>
      </c>
      <c r="W33" s="90"/>
      <c r="X33" s="91"/>
      <c r="Y33" s="90"/>
    </row>
    <row r="34" spans="1:25" s="82" customFormat="1" ht="26" hidden="1">
      <c r="A34" s="81">
        <f t="shared" si="2"/>
        <v>28</v>
      </c>
      <c r="B34" s="81">
        <v>23</v>
      </c>
      <c r="C34" s="87" t="s">
        <v>374</v>
      </c>
      <c r="D34" s="88" t="s">
        <v>375</v>
      </c>
      <c r="E34" s="121">
        <v>45261</v>
      </c>
      <c r="F34" s="86">
        <v>830</v>
      </c>
      <c r="G34" s="86">
        <v>1100</v>
      </c>
      <c r="H34" s="89" t="s">
        <v>371</v>
      </c>
      <c r="I34" s="89" t="s">
        <v>35</v>
      </c>
      <c r="J34" s="89" t="s">
        <v>36</v>
      </c>
      <c r="K34" s="89" t="s">
        <v>56</v>
      </c>
      <c r="L34" s="89"/>
      <c r="M34" s="85" t="s">
        <v>372</v>
      </c>
      <c r="N34" s="87" t="s">
        <v>376</v>
      </c>
      <c r="O34" s="88" t="s">
        <v>174</v>
      </c>
      <c r="P34" s="89"/>
      <c r="Q34" s="137"/>
      <c r="R34" s="83"/>
      <c r="S34" s="84"/>
      <c r="T34" s="88"/>
      <c r="U34" s="122">
        <f>S34*R34*(100-P34)/100</f>
        <v>0</v>
      </c>
      <c r="V34" s="124">
        <f t="shared" si="7"/>
        <v>0</v>
      </c>
      <c r="W34" s="90"/>
      <c r="X34" s="91"/>
      <c r="Y34" s="90"/>
    </row>
    <row r="35" spans="1:25" s="82" customFormat="1" ht="26" hidden="1">
      <c r="A35" s="81">
        <f t="shared" si="2"/>
        <v>29</v>
      </c>
      <c r="B35" s="81">
        <v>24</v>
      </c>
      <c r="C35" s="87" t="s">
        <v>377</v>
      </c>
      <c r="D35" s="88" t="s">
        <v>65</v>
      </c>
      <c r="E35" s="87" t="s">
        <v>378</v>
      </c>
      <c r="F35" s="86">
        <v>1230</v>
      </c>
      <c r="G35" s="86">
        <v>1330</v>
      </c>
      <c r="H35" s="89" t="s">
        <v>362</v>
      </c>
      <c r="I35" s="89" t="s">
        <v>35</v>
      </c>
      <c r="J35" s="89" t="s">
        <v>228</v>
      </c>
      <c r="K35" s="89" t="s">
        <v>61</v>
      </c>
      <c r="L35" s="89"/>
      <c r="M35" s="85" t="s">
        <v>62</v>
      </c>
      <c r="N35" s="87" t="s">
        <v>379</v>
      </c>
      <c r="O35" s="88" t="s">
        <v>40</v>
      </c>
      <c r="P35" s="89" t="s">
        <v>41</v>
      </c>
      <c r="Q35" s="138"/>
      <c r="R35" s="83">
        <v>180000</v>
      </c>
      <c r="S35" s="84">
        <f t="shared" ref="S35:S37" si="8">(G35-F35)/100</f>
        <v>1</v>
      </c>
      <c r="T35" s="88"/>
      <c r="U35" s="122">
        <f>S35*R35*(100-P35)/100</f>
        <v>0</v>
      </c>
      <c r="V35" s="124">
        <f t="shared" si="7"/>
        <v>0</v>
      </c>
      <c r="W35" s="90"/>
      <c r="X35" s="91"/>
      <c r="Y35" s="90"/>
    </row>
    <row r="36" spans="1:25" s="82" customFormat="1" ht="26">
      <c r="A36" s="81">
        <f t="shared" si="2"/>
        <v>30</v>
      </c>
      <c r="B36" s="81">
        <v>25</v>
      </c>
      <c r="C36" s="87" t="s">
        <v>380</v>
      </c>
      <c r="D36" s="88" t="s">
        <v>75</v>
      </c>
      <c r="E36" s="121">
        <v>44986</v>
      </c>
      <c r="F36" s="86">
        <v>1600</v>
      </c>
      <c r="G36" s="86">
        <v>1700</v>
      </c>
      <c r="H36" s="89" t="s">
        <v>381</v>
      </c>
      <c r="I36" s="89" t="s">
        <v>36</v>
      </c>
      <c r="J36" s="89" t="s">
        <v>36</v>
      </c>
      <c r="K36" s="89" t="s">
        <v>37</v>
      </c>
      <c r="L36" s="89"/>
      <c r="M36" s="85" t="s">
        <v>47</v>
      </c>
      <c r="N36" s="87" t="s">
        <v>382</v>
      </c>
      <c r="O36" s="88" t="s">
        <v>40</v>
      </c>
      <c r="P36" s="89"/>
      <c r="Q36" s="137"/>
      <c r="R36" s="83">
        <v>500000</v>
      </c>
      <c r="S36" s="84">
        <f t="shared" si="8"/>
        <v>1</v>
      </c>
      <c r="T36" s="88"/>
      <c r="U36" s="122">
        <f>S36*R36*(100-P36)/100</f>
        <v>500000</v>
      </c>
      <c r="V36" s="124">
        <f t="shared" si="7"/>
        <v>500000</v>
      </c>
      <c r="W36" s="90"/>
      <c r="X36" s="91"/>
      <c r="Y36" s="90"/>
    </row>
    <row r="37" spans="1:25" s="82" customFormat="1" ht="26">
      <c r="A37" s="81">
        <f t="shared" si="2"/>
        <v>31</v>
      </c>
      <c r="B37" s="81">
        <v>26</v>
      </c>
      <c r="C37" s="87" t="s">
        <v>383</v>
      </c>
      <c r="D37" s="88" t="s">
        <v>43</v>
      </c>
      <c r="E37" s="121">
        <v>44986</v>
      </c>
      <c r="F37" s="86">
        <v>1600</v>
      </c>
      <c r="G37" s="86">
        <v>1700</v>
      </c>
      <c r="H37" s="89" t="s">
        <v>381</v>
      </c>
      <c r="I37" s="89" t="s">
        <v>36</v>
      </c>
      <c r="J37" s="89" t="s">
        <v>36</v>
      </c>
      <c r="K37" s="89" t="s">
        <v>37</v>
      </c>
      <c r="L37" s="89"/>
      <c r="M37" s="85" t="s">
        <v>47</v>
      </c>
      <c r="N37" s="87" t="s">
        <v>384</v>
      </c>
      <c r="O37" s="88" t="s">
        <v>40</v>
      </c>
      <c r="P37" s="89"/>
      <c r="Q37" s="137"/>
      <c r="R37" s="83">
        <v>500000</v>
      </c>
      <c r="S37" s="84">
        <f t="shared" si="8"/>
        <v>1</v>
      </c>
      <c r="T37" s="88"/>
      <c r="U37" s="122">
        <f t="shared" ref="U37:U71" si="9">S37*R37*(100-P37)/100</f>
        <v>500000</v>
      </c>
      <c r="V37" s="124">
        <f t="shared" si="7"/>
        <v>500000</v>
      </c>
      <c r="W37" s="90"/>
      <c r="X37" s="91"/>
      <c r="Y37" s="90"/>
    </row>
    <row r="38" spans="1:25" s="82" customFormat="1" ht="26" hidden="1">
      <c r="A38" s="81">
        <f t="shared" si="2"/>
        <v>32</v>
      </c>
      <c r="B38" s="81">
        <v>27</v>
      </c>
      <c r="C38" s="87" t="s">
        <v>385</v>
      </c>
      <c r="D38" s="88" t="s">
        <v>65</v>
      </c>
      <c r="E38" s="87" t="s">
        <v>378</v>
      </c>
      <c r="F38" s="86">
        <v>800</v>
      </c>
      <c r="G38" s="86">
        <v>1030</v>
      </c>
      <c r="H38" s="89" t="s">
        <v>362</v>
      </c>
      <c r="I38" s="89" t="s">
        <v>35</v>
      </c>
      <c r="J38" s="89" t="s">
        <v>228</v>
      </c>
      <c r="K38" s="89" t="s">
        <v>61</v>
      </c>
      <c r="L38" s="89"/>
      <c r="M38" s="89" t="s">
        <v>62</v>
      </c>
      <c r="N38" s="87" t="s">
        <v>386</v>
      </c>
      <c r="O38" s="88" t="s">
        <v>40</v>
      </c>
      <c r="P38" s="89" t="s">
        <v>64</v>
      </c>
      <c r="Q38" s="138"/>
      <c r="R38" s="83">
        <v>180000</v>
      </c>
      <c r="S38" s="84">
        <f>(1050-F38)/100</f>
        <v>2.5</v>
      </c>
      <c r="T38" s="88"/>
      <c r="U38" s="122">
        <f t="shared" si="9"/>
        <v>405000</v>
      </c>
      <c r="V38" s="124">
        <f t="shared" si="7"/>
        <v>405000</v>
      </c>
      <c r="W38" s="90"/>
      <c r="X38" s="91"/>
      <c r="Y38" s="90"/>
    </row>
    <row r="39" spans="1:25" s="82" customFormat="1" ht="26" hidden="1">
      <c r="A39" s="81">
        <f t="shared" si="2"/>
        <v>33</v>
      </c>
      <c r="B39" s="81">
        <v>28</v>
      </c>
      <c r="C39" s="87" t="s">
        <v>387</v>
      </c>
      <c r="D39" s="88" t="s">
        <v>32</v>
      </c>
      <c r="E39" s="87" t="s">
        <v>388</v>
      </c>
      <c r="F39" s="86">
        <v>900</v>
      </c>
      <c r="G39" s="86">
        <v>1700</v>
      </c>
      <c r="H39" s="89" t="s">
        <v>322</v>
      </c>
      <c r="I39" s="89" t="s">
        <v>35</v>
      </c>
      <c r="J39" s="89" t="s">
        <v>140</v>
      </c>
      <c r="K39" s="89" t="s">
        <v>37</v>
      </c>
      <c r="L39" s="89"/>
      <c r="M39" s="89" t="s">
        <v>112</v>
      </c>
      <c r="N39" s="87" t="s">
        <v>389</v>
      </c>
      <c r="O39" s="88" t="s">
        <v>174</v>
      </c>
      <c r="P39" s="89"/>
      <c r="R39" s="83"/>
      <c r="S39" s="84"/>
      <c r="T39" s="88"/>
      <c r="U39" s="122">
        <f t="shared" si="9"/>
        <v>0</v>
      </c>
      <c r="V39" s="130">
        <f>Q40+(S39-8)*R39</f>
        <v>0</v>
      </c>
      <c r="W39" s="133"/>
      <c r="X39" s="93"/>
      <c r="Y39" s="92"/>
    </row>
    <row r="40" spans="1:25" s="82" customFormat="1" ht="13" hidden="1">
      <c r="A40" s="81">
        <f t="shared" si="2"/>
        <v>34</v>
      </c>
      <c r="B40" s="81">
        <v>29</v>
      </c>
      <c r="C40" s="94">
        <v>3878</v>
      </c>
      <c r="D40" s="94" t="s">
        <v>32</v>
      </c>
      <c r="E40" s="102" t="s">
        <v>390</v>
      </c>
      <c r="F40" s="86">
        <v>900</v>
      </c>
      <c r="G40" s="86">
        <v>1700</v>
      </c>
      <c r="H40" s="94" t="s">
        <v>322</v>
      </c>
      <c r="I40" s="94" t="s">
        <v>35</v>
      </c>
      <c r="J40" s="94" t="s">
        <v>140</v>
      </c>
      <c r="K40" s="94">
        <v>12</v>
      </c>
      <c r="L40" s="94"/>
      <c r="M40" s="94" t="s">
        <v>112</v>
      </c>
      <c r="N40" s="119">
        <v>44573.545729166668</v>
      </c>
      <c r="O40" s="94" t="s">
        <v>174</v>
      </c>
      <c r="P40" s="94"/>
      <c r="Q40" s="138"/>
      <c r="R40" s="83"/>
      <c r="S40" s="84"/>
      <c r="T40" s="94"/>
      <c r="U40" s="122">
        <f t="shared" si="9"/>
        <v>0</v>
      </c>
      <c r="V40" s="130" t="s">
        <v>391</v>
      </c>
    </row>
    <row r="41" spans="1:25" s="82" customFormat="1" ht="13" hidden="1">
      <c r="A41" s="81">
        <f t="shared" si="2"/>
        <v>35</v>
      </c>
      <c r="B41" s="81">
        <v>30</v>
      </c>
      <c r="C41" s="94">
        <v>3877</v>
      </c>
      <c r="D41" s="94" t="s">
        <v>32</v>
      </c>
      <c r="E41" s="102" t="s">
        <v>349</v>
      </c>
      <c r="F41" s="86">
        <v>900</v>
      </c>
      <c r="G41" s="86">
        <v>1700</v>
      </c>
      <c r="H41" s="94" t="s">
        <v>322</v>
      </c>
      <c r="I41" s="94" t="s">
        <v>35</v>
      </c>
      <c r="J41" s="94" t="s">
        <v>140</v>
      </c>
      <c r="K41" s="94">
        <v>12</v>
      </c>
      <c r="L41" s="94"/>
      <c r="M41" s="94" t="s">
        <v>112</v>
      </c>
      <c r="N41" s="119">
        <v>44573.54546296296</v>
      </c>
      <c r="O41" s="94" t="s">
        <v>174</v>
      </c>
      <c r="P41" s="94"/>
      <c r="Q41" s="138"/>
      <c r="R41" s="83"/>
      <c r="S41" s="84"/>
      <c r="T41" s="94"/>
      <c r="U41" s="122">
        <f t="shared" si="9"/>
        <v>0</v>
      </c>
      <c r="V41" s="130">
        <f>Q41+(S41-8)*R41</f>
        <v>0</v>
      </c>
    </row>
    <row r="42" spans="1:25" s="82" customFormat="1" ht="13" hidden="1">
      <c r="A42" s="81">
        <f t="shared" si="2"/>
        <v>36</v>
      </c>
      <c r="B42" s="81">
        <v>31</v>
      </c>
      <c r="C42" s="94">
        <v>3876</v>
      </c>
      <c r="D42" s="94" t="s">
        <v>32</v>
      </c>
      <c r="E42" s="102" t="s">
        <v>352</v>
      </c>
      <c r="F42" s="86">
        <v>900</v>
      </c>
      <c r="G42" s="86">
        <v>1700</v>
      </c>
      <c r="H42" s="94" t="s">
        <v>322</v>
      </c>
      <c r="I42" s="94" t="s">
        <v>35</v>
      </c>
      <c r="J42" s="94" t="s">
        <v>140</v>
      </c>
      <c r="K42" s="94">
        <v>12</v>
      </c>
      <c r="L42" s="94"/>
      <c r="M42" s="94" t="s">
        <v>112</v>
      </c>
      <c r="N42" s="119">
        <v>44573.543287037035</v>
      </c>
      <c r="O42" s="94" t="s">
        <v>174</v>
      </c>
      <c r="P42" s="94"/>
      <c r="Q42" s="138"/>
      <c r="R42" s="83"/>
      <c r="S42" s="84"/>
      <c r="T42" s="94"/>
      <c r="U42" s="122">
        <f t="shared" si="9"/>
        <v>0</v>
      </c>
      <c r="V42" s="130">
        <f>Q42+(S42-8)*R42</f>
        <v>0</v>
      </c>
    </row>
    <row r="43" spans="1:25" s="82" customFormat="1" ht="13" hidden="1">
      <c r="A43" s="81">
        <f t="shared" si="2"/>
        <v>37</v>
      </c>
      <c r="B43" s="81">
        <v>32</v>
      </c>
      <c r="C43" s="94">
        <v>3875</v>
      </c>
      <c r="D43" s="94" t="s">
        <v>32</v>
      </c>
      <c r="E43" s="102" t="s">
        <v>354</v>
      </c>
      <c r="F43" s="86">
        <v>900</v>
      </c>
      <c r="G43" s="86">
        <v>1700</v>
      </c>
      <c r="H43" s="94" t="s">
        <v>322</v>
      </c>
      <c r="I43" s="94" t="s">
        <v>35</v>
      </c>
      <c r="J43" s="94" t="s">
        <v>140</v>
      </c>
      <c r="K43" s="94">
        <v>12</v>
      </c>
      <c r="L43" s="94"/>
      <c r="M43" s="94" t="s">
        <v>112</v>
      </c>
      <c r="N43" s="119">
        <v>44573.542997685188</v>
      </c>
      <c r="O43" s="94" t="s">
        <v>40</v>
      </c>
      <c r="P43" s="94"/>
      <c r="Q43" s="83">
        <f t="shared" ref="Q43:Q51" si="10">R43*6</f>
        <v>5700000</v>
      </c>
      <c r="R43" s="83">
        <v>950000</v>
      </c>
      <c r="S43" s="84">
        <f t="shared" ref="S43:S52" si="11">(G43-F43)/100</f>
        <v>8</v>
      </c>
      <c r="T43" s="42"/>
      <c r="U43" s="122">
        <f t="shared" si="9"/>
        <v>7600000</v>
      </c>
      <c r="V43" s="130">
        <f t="shared" ref="V43:V52" si="12">Q43+((S43-8)*R43)</f>
        <v>5700000</v>
      </c>
    </row>
    <row r="44" spans="1:25" s="82" customFormat="1" ht="26" hidden="1">
      <c r="A44" s="81">
        <f t="shared" si="2"/>
        <v>38</v>
      </c>
      <c r="B44" s="81">
        <v>33</v>
      </c>
      <c r="C44" s="87" t="s">
        <v>392</v>
      </c>
      <c r="D44" s="88" t="s">
        <v>32</v>
      </c>
      <c r="E44" s="87" t="s">
        <v>326</v>
      </c>
      <c r="F44" s="86">
        <v>900</v>
      </c>
      <c r="G44" s="86">
        <v>1700</v>
      </c>
      <c r="H44" s="89" t="s">
        <v>322</v>
      </c>
      <c r="I44" s="89" t="s">
        <v>35</v>
      </c>
      <c r="J44" s="89" t="s">
        <v>140</v>
      </c>
      <c r="K44" s="89" t="s">
        <v>37</v>
      </c>
      <c r="L44" s="89"/>
      <c r="M44" s="85" t="s">
        <v>112</v>
      </c>
      <c r="N44" s="87" t="s">
        <v>393</v>
      </c>
      <c r="O44" s="88" t="s">
        <v>40</v>
      </c>
      <c r="P44" s="89"/>
      <c r="Q44" s="83">
        <f t="shared" si="10"/>
        <v>5700000</v>
      </c>
      <c r="R44" s="83">
        <v>950000</v>
      </c>
      <c r="S44" s="84">
        <f t="shared" si="11"/>
        <v>8</v>
      </c>
      <c r="T44" s="88"/>
      <c r="U44" s="122">
        <f t="shared" si="9"/>
        <v>7600000</v>
      </c>
      <c r="V44" s="130">
        <f t="shared" si="12"/>
        <v>5700000</v>
      </c>
      <c r="W44" s="90"/>
      <c r="X44" s="91"/>
      <c r="Y44" s="90"/>
    </row>
    <row r="45" spans="1:25" s="82" customFormat="1" ht="26" hidden="1">
      <c r="A45" s="81">
        <f t="shared" si="2"/>
        <v>39</v>
      </c>
      <c r="B45" s="81">
        <v>34</v>
      </c>
      <c r="C45" s="87" t="s">
        <v>394</v>
      </c>
      <c r="D45" s="88" t="s">
        <v>32</v>
      </c>
      <c r="E45" s="87" t="s">
        <v>332</v>
      </c>
      <c r="F45" s="86">
        <v>900</v>
      </c>
      <c r="G45" s="86">
        <v>1700</v>
      </c>
      <c r="H45" s="89" t="s">
        <v>322</v>
      </c>
      <c r="I45" s="89" t="s">
        <v>35</v>
      </c>
      <c r="J45" s="89" t="s">
        <v>140</v>
      </c>
      <c r="K45" s="89" t="s">
        <v>37</v>
      </c>
      <c r="L45" s="89"/>
      <c r="M45" s="85" t="s">
        <v>112</v>
      </c>
      <c r="N45" s="87" t="s">
        <v>395</v>
      </c>
      <c r="O45" s="88" t="s">
        <v>40</v>
      </c>
      <c r="P45" s="89"/>
      <c r="Q45" s="83">
        <f t="shared" si="10"/>
        <v>5700000</v>
      </c>
      <c r="R45" s="83">
        <v>950000</v>
      </c>
      <c r="S45" s="84">
        <f t="shared" si="11"/>
        <v>8</v>
      </c>
      <c r="T45" s="88"/>
      <c r="U45" s="122">
        <f t="shared" si="9"/>
        <v>7600000</v>
      </c>
      <c r="V45" s="130">
        <f t="shared" si="12"/>
        <v>5700000</v>
      </c>
      <c r="W45" s="90"/>
      <c r="X45" s="91"/>
      <c r="Y45" s="90"/>
    </row>
    <row r="46" spans="1:25" s="82" customFormat="1" ht="13" hidden="1">
      <c r="A46" s="81">
        <f t="shared" si="2"/>
        <v>40</v>
      </c>
      <c r="B46" s="81">
        <v>35</v>
      </c>
      <c r="C46" s="94">
        <v>3872</v>
      </c>
      <c r="D46" s="94" t="s">
        <v>32</v>
      </c>
      <c r="E46" s="139">
        <v>45231</v>
      </c>
      <c r="F46" s="96">
        <v>900</v>
      </c>
      <c r="G46" s="96">
        <v>1700</v>
      </c>
      <c r="H46" s="95" t="s">
        <v>322</v>
      </c>
      <c r="I46" s="94" t="s">
        <v>35</v>
      </c>
      <c r="J46" s="94" t="s">
        <v>140</v>
      </c>
      <c r="K46" s="94">
        <v>12</v>
      </c>
      <c r="L46" s="94"/>
      <c r="M46" s="95" t="s">
        <v>112</v>
      </c>
      <c r="N46" s="97">
        <v>44573.538969907408</v>
      </c>
      <c r="O46" s="95" t="s">
        <v>40</v>
      </c>
      <c r="P46" s="95"/>
      <c r="Q46" s="83">
        <f t="shared" si="10"/>
        <v>5700000</v>
      </c>
      <c r="R46" s="83">
        <v>950000</v>
      </c>
      <c r="S46" s="84">
        <f t="shared" si="11"/>
        <v>8</v>
      </c>
      <c r="T46" s="95"/>
      <c r="U46" s="122">
        <f t="shared" si="9"/>
        <v>7600000</v>
      </c>
      <c r="V46" s="130">
        <f t="shared" si="12"/>
        <v>5700000</v>
      </c>
    </row>
    <row r="47" spans="1:25" s="82" customFormat="1" ht="13" hidden="1">
      <c r="A47" s="81">
        <f t="shared" si="2"/>
        <v>41</v>
      </c>
      <c r="B47" s="81">
        <v>36</v>
      </c>
      <c r="C47" s="94">
        <v>3871</v>
      </c>
      <c r="D47" s="94" t="s">
        <v>32</v>
      </c>
      <c r="E47" s="102">
        <v>45200</v>
      </c>
      <c r="F47" s="86">
        <v>900</v>
      </c>
      <c r="G47" s="86">
        <v>1700</v>
      </c>
      <c r="H47" s="94" t="s">
        <v>322</v>
      </c>
      <c r="I47" s="94" t="s">
        <v>35</v>
      </c>
      <c r="J47" s="94" t="s">
        <v>140</v>
      </c>
      <c r="K47" s="94">
        <v>12</v>
      </c>
      <c r="L47" s="94"/>
      <c r="M47" s="94" t="s">
        <v>112</v>
      </c>
      <c r="N47" s="97">
        <v>44573.538530092592</v>
      </c>
      <c r="O47" s="94" t="s">
        <v>40</v>
      </c>
      <c r="P47" s="94"/>
      <c r="Q47" s="83">
        <f t="shared" si="10"/>
        <v>5700000</v>
      </c>
      <c r="R47" s="83">
        <v>950000</v>
      </c>
      <c r="S47" s="84">
        <f t="shared" si="11"/>
        <v>8</v>
      </c>
      <c r="T47" s="94"/>
      <c r="U47" s="122">
        <f t="shared" si="9"/>
        <v>7600000</v>
      </c>
      <c r="V47" s="130">
        <f t="shared" si="12"/>
        <v>5700000</v>
      </c>
    </row>
    <row r="48" spans="1:25" s="82" customFormat="1" ht="26" hidden="1">
      <c r="A48" s="81">
        <f t="shared" si="2"/>
        <v>42</v>
      </c>
      <c r="B48" s="81">
        <v>37</v>
      </c>
      <c r="C48" s="87" t="s">
        <v>396</v>
      </c>
      <c r="D48" s="88" t="s">
        <v>32</v>
      </c>
      <c r="E48" s="87" t="s">
        <v>397</v>
      </c>
      <c r="F48" s="86">
        <v>900</v>
      </c>
      <c r="G48" s="86">
        <v>1700</v>
      </c>
      <c r="H48" s="89" t="s">
        <v>322</v>
      </c>
      <c r="I48" s="89" t="s">
        <v>35</v>
      </c>
      <c r="J48" s="89" t="s">
        <v>140</v>
      </c>
      <c r="K48" s="89" t="s">
        <v>37</v>
      </c>
      <c r="L48" s="89"/>
      <c r="M48" s="85" t="s">
        <v>112</v>
      </c>
      <c r="N48" s="87" t="s">
        <v>398</v>
      </c>
      <c r="O48" s="88" t="s">
        <v>40</v>
      </c>
      <c r="P48" s="89"/>
      <c r="Q48" s="83">
        <f t="shared" si="10"/>
        <v>5700000</v>
      </c>
      <c r="R48" s="83">
        <v>950000</v>
      </c>
      <c r="S48" s="84">
        <f t="shared" si="11"/>
        <v>8</v>
      </c>
      <c r="T48" s="88"/>
      <c r="U48" s="122">
        <f t="shared" si="9"/>
        <v>7600000</v>
      </c>
      <c r="V48" s="130">
        <f t="shared" si="12"/>
        <v>5700000</v>
      </c>
      <c r="W48" s="90"/>
      <c r="X48" s="91"/>
      <c r="Y48" s="90"/>
    </row>
    <row r="49" spans="1:25" s="82" customFormat="1" ht="26" hidden="1">
      <c r="A49" s="81">
        <f t="shared" si="2"/>
        <v>43</v>
      </c>
      <c r="B49" s="81">
        <v>38</v>
      </c>
      <c r="C49" s="87" t="s">
        <v>399</v>
      </c>
      <c r="D49" s="88" t="s">
        <v>32</v>
      </c>
      <c r="E49" s="87" t="s">
        <v>400</v>
      </c>
      <c r="F49" s="86">
        <v>900</v>
      </c>
      <c r="G49" s="86">
        <v>1700</v>
      </c>
      <c r="H49" s="89" t="s">
        <v>322</v>
      </c>
      <c r="I49" s="89" t="s">
        <v>35</v>
      </c>
      <c r="J49" s="89" t="s">
        <v>140</v>
      </c>
      <c r="K49" s="89" t="s">
        <v>37</v>
      </c>
      <c r="L49" s="89"/>
      <c r="M49" s="85" t="s">
        <v>112</v>
      </c>
      <c r="N49" s="87" t="s">
        <v>401</v>
      </c>
      <c r="O49" s="88" t="s">
        <v>40</v>
      </c>
      <c r="P49" s="89"/>
      <c r="Q49" s="83">
        <f t="shared" si="10"/>
        <v>5700000</v>
      </c>
      <c r="R49" s="83">
        <v>950000</v>
      </c>
      <c r="S49" s="84">
        <f t="shared" si="11"/>
        <v>8</v>
      </c>
      <c r="T49" s="88"/>
      <c r="U49" s="122">
        <f t="shared" si="9"/>
        <v>7600000</v>
      </c>
      <c r="V49" s="130">
        <f t="shared" si="12"/>
        <v>5700000</v>
      </c>
      <c r="W49" s="90"/>
      <c r="X49" s="91"/>
      <c r="Y49" s="90"/>
    </row>
    <row r="50" spans="1:25" s="82" customFormat="1" ht="13" hidden="1">
      <c r="A50" s="81">
        <f t="shared" si="2"/>
        <v>44</v>
      </c>
      <c r="B50" s="81">
        <v>39</v>
      </c>
      <c r="C50" s="94">
        <v>3868</v>
      </c>
      <c r="D50" s="94" t="s">
        <v>32</v>
      </c>
      <c r="E50" s="102">
        <v>45047</v>
      </c>
      <c r="F50" s="86">
        <v>900</v>
      </c>
      <c r="G50" s="86">
        <v>1700</v>
      </c>
      <c r="H50" s="94" t="s">
        <v>322</v>
      </c>
      <c r="I50" s="94" t="s">
        <v>35</v>
      </c>
      <c r="J50" s="94" t="s">
        <v>140</v>
      </c>
      <c r="K50" s="94">
        <v>12</v>
      </c>
      <c r="L50" s="94"/>
      <c r="M50" s="94" t="s">
        <v>112</v>
      </c>
      <c r="N50" s="119">
        <v>44573.535358796296</v>
      </c>
      <c r="O50" s="94" t="s">
        <v>40</v>
      </c>
      <c r="P50" s="94"/>
      <c r="Q50" s="83">
        <f t="shared" si="10"/>
        <v>5700000</v>
      </c>
      <c r="R50" s="83">
        <v>950000</v>
      </c>
      <c r="S50" s="84">
        <f t="shared" si="11"/>
        <v>8</v>
      </c>
      <c r="T50" s="94"/>
      <c r="U50" s="122">
        <f t="shared" si="9"/>
        <v>7600000</v>
      </c>
      <c r="V50" s="130">
        <f t="shared" si="12"/>
        <v>5700000</v>
      </c>
    </row>
    <row r="51" spans="1:25" s="82" customFormat="1" ht="13" hidden="1">
      <c r="A51" s="81">
        <f t="shared" si="2"/>
        <v>45</v>
      </c>
      <c r="B51" s="81">
        <v>40</v>
      </c>
      <c r="C51" s="94">
        <v>3867</v>
      </c>
      <c r="D51" s="94" t="s">
        <v>32</v>
      </c>
      <c r="E51" s="102">
        <v>45017</v>
      </c>
      <c r="F51" s="86">
        <v>900</v>
      </c>
      <c r="G51" s="86">
        <v>1700</v>
      </c>
      <c r="H51" s="94" t="s">
        <v>322</v>
      </c>
      <c r="I51" s="94" t="s">
        <v>35</v>
      </c>
      <c r="J51" s="94" t="s">
        <v>140</v>
      </c>
      <c r="K51" s="94">
        <v>12</v>
      </c>
      <c r="L51" s="94"/>
      <c r="M51" s="94" t="s">
        <v>112</v>
      </c>
      <c r="N51" s="119">
        <v>44573.535069444442</v>
      </c>
      <c r="O51" s="94" t="s">
        <v>40</v>
      </c>
      <c r="P51" s="94"/>
      <c r="Q51" s="83">
        <f t="shared" si="10"/>
        <v>5700000</v>
      </c>
      <c r="R51" s="83">
        <v>950000</v>
      </c>
      <c r="S51" s="84">
        <f t="shared" si="11"/>
        <v>8</v>
      </c>
      <c r="T51" s="94"/>
      <c r="U51" s="122">
        <f t="shared" si="9"/>
        <v>7600000</v>
      </c>
      <c r="V51" s="130">
        <f t="shared" si="12"/>
        <v>5700000</v>
      </c>
    </row>
    <row r="52" spans="1:25" s="82" customFormat="1" ht="13" hidden="1">
      <c r="A52" s="81">
        <f t="shared" si="2"/>
        <v>46</v>
      </c>
      <c r="B52" s="81">
        <v>41</v>
      </c>
      <c r="C52" s="94">
        <v>3866</v>
      </c>
      <c r="D52" s="94" t="s">
        <v>32</v>
      </c>
      <c r="E52" s="102">
        <v>44986</v>
      </c>
      <c r="F52" s="86">
        <v>900</v>
      </c>
      <c r="G52" s="86">
        <v>1700</v>
      </c>
      <c r="H52" s="94" t="s">
        <v>322</v>
      </c>
      <c r="I52" s="94" t="s">
        <v>35</v>
      </c>
      <c r="J52" s="94" t="s">
        <v>140</v>
      </c>
      <c r="K52" s="94">
        <v>12</v>
      </c>
      <c r="L52" s="94"/>
      <c r="M52" s="94" t="s">
        <v>112</v>
      </c>
      <c r="N52" s="119">
        <v>44573.534594907411</v>
      </c>
      <c r="O52" s="94" t="s">
        <v>40</v>
      </c>
      <c r="P52" s="94">
        <v>100</v>
      </c>
      <c r="Q52" s="83"/>
      <c r="R52" s="83">
        <v>950000</v>
      </c>
      <c r="S52" s="84">
        <f t="shared" si="11"/>
        <v>8</v>
      </c>
      <c r="T52" s="94"/>
      <c r="U52" s="122">
        <f t="shared" si="9"/>
        <v>0</v>
      </c>
      <c r="V52" s="130">
        <f t="shared" si="12"/>
        <v>0</v>
      </c>
    </row>
    <row r="53" spans="1:25" s="82" customFormat="1" ht="13" hidden="1">
      <c r="A53" s="81">
        <f t="shared" si="2"/>
        <v>47</v>
      </c>
      <c r="B53" s="81"/>
      <c r="C53" s="87"/>
      <c r="D53" s="88"/>
      <c r="E53" s="87"/>
      <c r="F53" s="86"/>
      <c r="G53" s="86"/>
      <c r="H53" s="89"/>
      <c r="I53" s="89"/>
      <c r="J53" s="89"/>
      <c r="K53" s="89"/>
      <c r="L53" s="89"/>
      <c r="M53" s="85"/>
      <c r="N53" s="87"/>
      <c r="O53" s="88"/>
      <c r="P53" s="89"/>
      <c r="Q53" s="137"/>
      <c r="R53" s="83"/>
      <c r="S53" s="84"/>
      <c r="T53" s="88"/>
      <c r="U53" s="122">
        <f t="shared" si="9"/>
        <v>0</v>
      </c>
      <c r="V53" s="124">
        <f>Q53+((S53-4)*R53)</f>
        <v>0</v>
      </c>
      <c r="W53" s="90"/>
      <c r="X53" s="91"/>
      <c r="Y53" s="90"/>
    </row>
    <row r="54" spans="1:25" s="82" customFormat="1" ht="13" hidden="1">
      <c r="A54" s="81">
        <f t="shared" si="2"/>
        <v>48</v>
      </c>
      <c r="B54" s="81"/>
      <c r="C54" s="94"/>
      <c r="D54" s="94"/>
      <c r="E54" s="103"/>
      <c r="F54" s="86"/>
      <c r="G54" s="86"/>
      <c r="H54" s="94"/>
      <c r="I54" s="94"/>
      <c r="J54" s="94"/>
      <c r="K54" s="94"/>
      <c r="L54" s="94"/>
      <c r="M54" s="94"/>
      <c r="N54" s="97"/>
      <c r="O54" s="94"/>
      <c r="P54" s="94"/>
      <c r="Q54" s="137"/>
      <c r="R54" s="83"/>
      <c r="S54" s="84"/>
      <c r="T54" s="94"/>
      <c r="U54" s="122">
        <f t="shared" si="9"/>
        <v>0</v>
      </c>
      <c r="V54" s="131">
        <f>U54</f>
        <v>0</v>
      </c>
    </row>
    <row r="55" spans="1:25" s="82" customFormat="1" ht="13" hidden="1">
      <c r="A55" s="81">
        <f t="shared" si="2"/>
        <v>49</v>
      </c>
      <c r="B55" s="81"/>
      <c r="C55" s="94"/>
      <c r="D55" s="94"/>
      <c r="E55" s="102"/>
      <c r="F55" s="86"/>
      <c r="G55" s="86"/>
      <c r="H55" s="94"/>
      <c r="I55" s="94"/>
      <c r="J55" s="94"/>
      <c r="K55" s="94"/>
      <c r="L55" s="94"/>
      <c r="M55" s="94"/>
      <c r="N55" s="97"/>
      <c r="O55" s="94"/>
      <c r="P55" s="94"/>
      <c r="Q55" s="137"/>
      <c r="R55" s="83"/>
      <c r="S55" s="84"/>
      <c r="T55" s="94"/>
      <c r="U55" s="122">
        <f t="shared" si="9"/>
        <v>0</v>
      </c>
      <c r="V55" s="131">
        <f>U55</f>
        <v>0</v>
      </c>
    </row>
    <row r="56" spans="1:25" s="82" customFormat="1" ht="13" hidden="1">
      <c r="A56" s="81">
        <f t="shared" si="2"/>
        <v>50</v>
      </c>
      <c r="B56" s="81"/>
      <c r="C56" s="94"/>
      <c r="D56" s="94"/>
      <c r="E56" s="103"/>
      <c r="F56" s="86"/>
      <c r="G56" s="86"/>
      <c r="H56" s="94"/>
      <c r="I56" s="94"/>
      <c r="J56" s="94"/>
      <c r="K56" s="94"/>
      <c r="L56" s="94"/>
      <c r="M56" s="94"/>
      <c r="N56" s="119"/>
      <c r="O56" s="94"/>
      <c r="P56" s="94"/>
      <c r="Q56" s="137"/>
      <c r="R56" s="83"/>
      <c r="S56" s="84"/>
      <c r="T56" s="94"/>
      <c r="U56" s="122">
        <f t="shared" si="9"/>
        <v>0</v>
      </c>
      <c r="V56" s="124">
        <f>Q56+((S56-8)*R56)</f>
        <v>0</v>
      </c>
    </row>
    <row r="57" spans="1:25" s="82" customFormat="1" ht="13" hidden="1">
      <c r="A57" s="81">
        <f t="shared" si="2"/>
        <v>51</v>
      </c>
      <c r="B57" s="81"/>
      <c r="C57" s="94"/>
      <c r="D57" s="94"/>
      <c r="E57" s="103"/>
      <c r="F57" s="86"/>
      <c r="G57" s="86"/>
      <c r="H57" s="94"/>
      <c r="I57" s="94"/>
      <c r="J57" s="94"/>
      <c r="K57" s="94"/>
      <c r="L57" s="94"/>
      <c r="M57" s="94"/>
      <c r="N57" s="119"/>
      <c r="O57" s="94"/>
      <c r="P57" s="94"/>
      <c r="Q57" s="137"/>
      <c r="R57" s="83"/>
      <c r="S57" s="84"/>
      <c r="T57" s="94"/>
      <c r="U57" s="122">
        <f t="shared" si="9"/>
        <v>0</v>
      </c>
      <c r="V57" s="124">
        <f>Q57+((S57-8)*R57)</f>
        <v>0</v>
      </c>
    </row>
    <row r="58" spans="1:25" s="82" customFormat="1" ht="13" hidden="1">
      <c r="A58" s="81">
        <f t="shared" si="2"/>
        <v>52</v>
      </c>
      <c r="B58" s="81"/>
      <c r="C58" s="87"/>
      <c r="D58" s="88"/>
      <c r="E58" s="87"/>
      <c r="F58" s="86"/>
      <c r="G58" s="86"/>
      <c r="H58" s="89"/>
      <c r="I58" s="89"/>
      <c r="J58" s="89"/>
      <c r="K58" s="89"/>
      <c r="L58" s="89"/>
      <c r="M58" s="85"/>
      <c r="N58" s="87"/>
      <c r="O58" s="88"/>
      <c r="P58" s="89"/>
      <c r="Q58" s="137"/>
      <c r="R58" s="83"/>
      <c r="S58" s="84"/>
      <c r="T58" s="88"/>
      <c r="U58" s="122">
        <f t="shared" si="9"/>
        <v>0</v>
      </c>
      <c r="V58" s="124">
        <f>U58</f>
        <v>0</v>
      </c>
      <c r="W58" s="90"/>
      <c r="X58" s="91"/>
      <c r="Y58" s="90"/>
    </row>
    <row r="59" spans="1:25" s="82" customFormat="1" ht="13" hidden="1">
      <c r="A59" s="81">
        <f t="shared" si="2"/>
        <v>53</v>
      </c>
      <c r="B59" s="81"/>
      <c r="C59" s="94"/>
      <c r="D59" s="94"/>
      <c r="E59" s="102"/>
      <c r="F59" s="86"/>
      <c r="G59" s="86"/>
      <c r="H59" s="94"/>
      <c r="I59" s="94"/>
      <c r="J59" s="94"/>
      <c r="K59" s="94"/>
      <c r="L59" s="94"/>
      <c r="M59" s="94"/>
      <c r="N59" s="94"/>
      <c r="O59" s="94"/>
      <c r="P59" s="94"/>
      <c r="Q59" s="137"/>
      <c r="R59" s="83"/>
      <c r="S59" s="94"/>
      <c r="T59" s="94"/>
      <c r="U59" s="122">
        <f t="shared" si="9"/>
        <v>0</v>
      </c>
      <c r="V59" s="132"/>
    </row>
    <row r="60" spans="1:25" s="82" customFormat="1" ht="13" hidden="1">
      <c r="A60" s="81">
        <f t="shared" si="2"/>
        <v>54</v>
      </c>
      <c r="B60" s="81"/>
      <c r="C60" s="94"/>
      <c r="D60" s="94"/>
      <c r="E60" s="102"/>
      <c r="F60" s="86"/>
      <c r="G60" s="86"/>
      <c r="H60" s="94"/>
      <c r="I60" s="94"/>
      <c r="J60" s="94"/>
      <c r="K60" s="94"/>
      <c r="L60" s="94"/>
      <c r="M60" s="94"/>
      <c r="N60" s="103"/>
      <c r="O60" s="94"/>
      <c r="P60" s="94"/>
      <c r="Q60" s="138"/>
      <c r="R60" s="83"/>
      <c r="S60" s="84"/>
      <c r="T60" s="94"/>
      <c r="U60" s="122">
        <f t="shared" si="9"/>
        <v>0</v>
      </c>
      <c r="V60" s="124">
        <f>U60</f>
        <v>0</v>
      </c>
    </row>
    <row r="61" spans="1:25" s="82" customFormat="1" ht="13" hidden="1">
      <c r="A61" s="81">
        <f t="shared" si="2"/>
        <v>55</v>
      </c>
      <c r="B61" s="81"/>
      <c r="C61" s="94"/>
      <c r="D61" s="94"/>
      <c r="E61" s="102"/>
      <c r="F61" s="86"/>
      <c r="G61" s="86"/>
      <c r="H61" s="94"/>
      <c r="I61" s="94"/>
      <c r="J61" s="94"/>
      <c r="K61" s="94"/>
      <c r="L61" s="94"/>
      <c r="M61" s="94"/>
      <c r="N61" s="103"/>
      <c r="O61" s="94"/>
      <c r="P61" s="94"/>
      <c r="Q61" s="138"/>
      <c r="R61" s="83"/>
      <c r="S61" s="84"/>
      <c r="T61" s="94"/>
      <c r="U61" s="122">
        <f t="shared" si="9"/>
        <v>0</v>
      </c>
      <c r="V61" s="124">
        <f>U61</f>
        <v>0</v>
      </c>
    </row>
    <row r="62" spans="1:25" s="82" customFormat="1" ht="13" hidden="1">
      <c r="A62" s="81">
        <f t="shared" si="2"/>
        <v>56</v>
      </c>
      <c r="B62" s="81"/>
      <c r="C62" s="94"/>
      <c r="D62" s="94"/>
      <c r="E62" s="102"/>
      <c r="F62" s="86"/>
      <c r="G62" s="86"/>
      <c r="H62" s="94"/>
      <c r="I62" s="94"/>
      <c r="J62" s="94"/>
      <c r="K62" s="94"/>
      <c r="L62" s="94"/>
      <c r="M62" s="94"/>
      <c r="N62" s="103"/>
      <c r="O62" s="94"/>
      <c r="P62" s="94"/>
      <c r="Q62" s="138"/>
      <c r="R62" s="83"/>
      <c r="S62" s="84"/>
      <c r="T62" s="94"/>
      <c r="U62" s="122">
        <f t="shared" si="9"/>
        <v>0</v>
      </c>
      <c r="V62" s="124">
        <f>U62</f>
        <v>0</v>
      </c>
    </row>
    <row r="63" spans="1:25" s="82" customFormat="1" ht="13" hidden="1">
      <c r="A63" s="81">
        <f t="shared" si="2"/>
        <v>57</v>
      </c>
      <c r="B63" s="81"/>
      <c r="C63" s="94"/>
      <c r="D63" s="94"/>
      <c r="E63" s="103"/>
      <c r="F63" s="86"/>
      <c r="G63" s="86"/>
      <c r="H63" s="94"/>
      <c r="I63" s="94"/>
      <c r="J63" s="94"/>
      <c r="K63" s="94"/>
      <c r="L63" s="94"/>
      <c r="M63" s="94"/>
      <c r="N63" s="119"/>
      <c r="O63" s="94"/>
      <c r="P63" s="94"/>
      <c r="Q63" s="137"/>
      <c r="R63" s="83"/>
      <c r="S63" s="84"/>
      <c r="T63" s="94"/>
      <c r="U63" s="122">
        <f t="shared" si="9"/>
        <v>0</v>
      </c>
      <c r="V63" s="124">
        <f>Q63+((S63-8)*R63)</f>
        <v>0</v>
      </c>
    </row>
    <row r="64" spans="1:25" s="82" customFormat="1" ht="13" hidden="1">
      <c r="A64" s="81">
        <f t="shared" si="2"/>
        <v>58</v>
      </c>
      <c r="B64" s="81"/>
      <c r="C64" s="94"/>
      <c r="D64" s="94"/>
      <c r="E64" s="102"/>
      <c r="F64" s="86"/>
      <c r="G64" s="86"/>
      <c r="H64" s="94"/>
      <c r="I64" s="94"/>
      <c r="J64" s="94"/>
      <c r="K64" s="94"/>
      <c r="L64" s="94"/>
      <c r="M64" s="94"/>
      <c r="N64" s="94"/>
      <c r="O64" s="94"/>
      <c r="P64" s="94"/>
      <c r="Q64" s="137"/>
      <c r="R64" s="83"/>
      <c r="S64" s="84"/>
      <c r="T64" s="94"/>
      <c r="U64" s="122">
        <f t="shared" si="9"/>
        <v>0</v>
      </c>
      <c r="V64" s="131"/>
    </row>
    <row r="65" spans="1:25" s="82" customFormat="1" ht="13" hidden="1">
      <c r="A65" s="81">
        <f t="shared" si="2"/>
        <v>59</v>
      </c>
      <c r="B65" s="81"/>
      <c r="C65" s="94"/>
      <c r="D65" s="94"/>
      <c r="E65" s="102"/>
      <c r="F65" s="86"/>
      <c r="G65" s="86"/>
      <c r="H65" s="94"/>
      <c r="I65" s="94"/>
      <c r="J65" s="94"/>
      <c r="K65" s="94"/>
      <c r="L65" s="94"/>
      <c r="M65" s="94"/>
      <c r="N65" s="94"/>
      <c r="O65" s="94"/>
      <c r="P65" s="94"/>
      <c r="Q65" s="137"/>
      <c r="R65" s="83"/>
      <c r="S65" s="84"/>
      <c r="T65" s="94"/>
      <c r="U65" s="122">
        <f t="shared" si="9"/>
        <v>0</v>
      </c>
      <c r="V65" s="131"/>
    </row>
    <row r="66" spans="1:25" s="82" customFormat="1" ht="13" hidden="1">
      <c r="A66" s="81">
        <f t="shared" si="2"/>
        <v>60</v>
      </c>
      <c r="B66" s="81"/>
      <c r="C66" s="94"/>
      <c r="D66" s="94"/>
      <c r="E66" s="102"/>
      <c r="F66" s="86"/>
      <c r="G66" s="86"/>
      <c r="H66" s="94"/>
      <c r="I66" s="94"/>
      <c r="J66" s="94"/>
      <c r="K66" s="94"/>
      <c r="L66" s="94"/>
      <c r="M66" s="94"/>
      <c r="N66" s="103"/>
      <c r="O66" s="94"/>
      <c r="P66" s="94"/>
      <c r="Q66" s="138"/>
      <c r="R66" s="83"/>
      <c r="S66" s="84"/>
      <c r="T66" s="94"/>
      <c r="U66" s="122">
        <f t="shared" si="9"/>
        <v>0</v>
      </c>
      <c r="V66" s="124">
        <f>U66</f>
        <v>0</v>
      </c>
    </row>
    <row r="67" spans="1:25" s="82" customFormat="1" ht="13" hidden="1">
      <c r="A67" s="81">
        <f t="shared" si="2"/>
        <v>61</v>
      </c>
      <c r="B67" s="81"/>
      <c r="C67" s="94"/>
      <c r="D67" s="94"/>
      <c r="E67" s="102"/>
      <c r="F67" s="86"/>
      <c r="G67" s="86"/>
      <c r="H67" s="94"/>
      <c r="I67" s="94"/>
      <c r="J67" s="94"/>
      <c r="K67" s="94"/>
      <c r="L67" s="94"/>
      <c r="M67" s="94"/>
      <c r="N67" s="103"/>
      <c r="O67" s="94"/>
      <c r="P67" s="94"/>
      <c r="Q67" s="138"/>
      <c r="R67" s="83"/>
      <c r="S67" s="84"/>
      <c r="T67" s="94"/>
      <c r="U67" s="122">
        <f t="shared" si="9"/>
        <v>0</v>
      </c>
      <c r="V67" s="130">
        <f>Q67+(S67-8)*R67</f>
        <v>0</v>
      </c>
    </row>
    <row r="68" spans="1:25" s="82" customFormat="1" ht="13" hidden="1">
      <c r="A68" s="81">
        <f t="shared" si="2"/>
        <v>62</v>
      </c>
      <c r="B68" s="81"/>
      <c r="C68" s="87"/>
      <c r="D68" s="88"/>
      <c r="E68" s="87"/>
      <c r="F68" s="86"/>
      <c r="G68" s="86"/>
      <c r="H68" s="89"/>
      <c r="I68" s="89"/>
      <c r="J68" s="89"/>
      <c r="K68" s="89"/>
      <c r="L68" s="89"/>
      <c r="M68" s="85"/>
      <c r="N68" s="87"/>
      <c r="O68" s="88"/>
      <c r="P68" s="89"/>
      <c r="Q68" s="137"/>
      <c r="R68" s="83"/>
      <c r="S68" s="84"/>
      <c r="T68" s="88"/>
      <c r="U68" s="122">
        <f t="shared" si="9"/>
        <v>0</v>
      </c>
      <c r="V68" s="124">
        <f>U68</f>
        <v>0</v>
      </c>
      <c r="W68" s="90"/>
      <c r="X68" s="91"/>
      <c r="Y68" s="90"/>
    </row>
    <row r="69" spans="1:25" s="82" customFormat="1" ht="13" hidden="1">
      <c r="A69" s="81">
        <f t="shared" ref="A69:A71" si="13">ROW()-6</f>
        <v>63</v>
      </c>
      <c r="B69" s="81"/>
      <c r="C69" s="94"/>
      <c r="D69" s="94"/>
      <c r="E69" s="103"/>
      <c r="F69" s="86"/>
      <c r="G69" s="86"/>
      <c r="H69" s="94"/>
      <c r="I69" s="94"/>
      <c r="J69" s="94"/>
      <c r="K69" s="94"/>
      <c r="L69" s="94"/>
      <c r="M69" s="94"/>
      <c r="N69" s="119"/>
      <c r="O69" s="94"/>
      <c r="P69" s="94"/>
      <c r="Q69" s="137"/>
      <c r="R69" s="83"/>
      <c r="S69" s="84"/>
      <c r="T69" s="94"/>
      <c r="U69" s="122">
        <f t="shared" si="9"/>
        <v>0</v>
      </c>
      <c r="V69" s="124">
        <f t="shared" ref="V69" si="14">Q69+((S69-8)*R69)</f>
        <v>0</v>
      </c>
    </row>
    <row r="70" spans="1:25" s="82" customFormat="1" ht="13" hidden="1">
      <c r="A70" s="81">
        <f t="shared" si="13"/>
        <v>64</v>
      </c>
      <c r="B70" s="81"/>
      <c r="C70" s="94"/>
      <c r="D70" s="94"/>
      <c r="E70" s="102"/>
      <c r="F70" s="86"/>
      <c r="G70" s="86"/>
      <c r="H70" s="94"/>
      <c r="I70" s="94"/>
      <c r="J70" s="94"/>
      <c r="K70" s="94"/>
      <c r="L70" s="94"/>
      <c r="M70" s="94"/>
      <c r="N70" s="103"/>
      <c r="O70" s="94"/>
      <c r="P70" s="94"/>
      <c r="Q70" s="137"/>
      <c r="R70" s="83"/>
      <c r="S70" s="84"/>
      <c r="T70" s="94"/>
      <c r="U70" s="122">
        <f t="shared" si="9"/>
        <v>0</v>
      </c>
      <c r="V70" s="124">
        <f>U70</f>
        <v>0</v>
      </c>
    </row>
    <row r="71" spans="1:25" s="82" customFormat="1" ht="13" hidden="1">
      <c r="A71" s="81">
        <f t="shared" si="13"/>
        <v>65</v>
      </c>
      <c r="B71" s="81"/>
      <c r="C71" s="94"/>
      <c r="D71" s="94"/>
      <c r="E71" s="103"/>
      <c r="F71" s="86"/>
      <c r="G71" s="86"/>
      <c r="H71" s="94"/>
      <c r="I71" s="94"/>
      <c r="J71" s="94"/>
      <c r="K71" s="94"/>
      <c r="L71" s="94"/>
      <c r="M71" s="94"/>
      <c r="N71" s="119"/>
      <c r="O71" s="94"/>
      <c r="P71" s="94"/>
      <c r="Q71" s="137"/>
      <c r="R71" s="83"/>
      <c r="S71" s="84"/>
      <c r="T71" s="94"/>
      <c r="U71" s="122">
        <f t="shared" si="9"/>
        <v>0</v>
      </c>
      <c r="V71" s="124">
        <f>Q71+((S71-8)*R71)</f>
        <v>0</v>
      </c>
    </row>
    <row r="72" spans="1:25" s="82" customFormat="1" ht="13">
      <c r="A72" s="94"/>
      <c r="B72" s="94"/>
      <c r="C72" s="94"/>
      <c r="D72" s="94"/>
      <c r="E72" s="103"/>
      <c r="F72" s="94"/>
      <c r="G72" s="94"/>
      <c r="H72" s="94"/>
      <c r="I72" s="94"/>
      <c r="J72" s="94"/>
      <c r="K72" s="94"/>
      <c r="L72" s="94"/>
      <c r="M72" s="94"/>
      <c r="N72" s="103"/>
      <c r="O72" s="94"/>
      <c r="P72" s="94"/>
      <c r="Q72" s="137"/>
      <c r="R72" s="83"/>
      <c r="S72" s="94"/>
      <c r="T72" s="94"/>
      <c r="U72" s="120">
        <f>SUBTOTAL(109,U7:U71)</f>
        <v>22937500</v>
      </c>
      <c r="V72" s="123">
        <f>SUBTOTAL(109,V7:V71)</f>
        <v>19437500</v>
      </c>
    </row>
    <row r="73" spans="1:25" s="82" customFormat="1" ht="13">
      <c r="E73" s="104"/>
      <c r="N73" s="104"/>
      <c r="Q73" s="99"/>
      <c r="V73" s="99"/>
    </row>
    <row r="74" spans="1:25">
      <c r="V74" s="98" t="e">
        <f>V72-#REF!</f>
        <v>#REF!</v>
      </c>
    </row>
  </sheetData>
  <autoFilter ref="A6:AE71" xr:uid="{5928A258-1954-49CC-81FA-1B92C0B53AB9}">
    <filterColumn colId="3">
      <filters>
        <filter val="VN Thư Viện 1 - The Library 1"/>
        <filter val="VN Thư Viện 2 - The Library 2"/>
      </filters>
    </filterColumn>
    <filterColumn colId="21">
      <filters blank="1">
        <filter val="1,170,000"/>
        <filter val="1,375,000"/>
        <filter val="1,395,000"/>
        <filter val="1,500,000"/>
        <filter val="1,562,500"/>
        <filter val="162,000"/>
        <filter val="2,200,000"/>
        <filter val="2,850,000"/>
        <filter val="3,000,000"/>
        <filter val="3,750,000"/>
        <filter val="4,400,000"/>
        <filter val="405,000"/>
        <filter val="5,700,000"/>
        <filter val="500,000"/>
      </filters>
    </filterColumn>
  </autoFilter>
  <mergeCells count="3">
    <mergeCell ref="A2:U2"/>
    <mergeCell ref="A3:U3"/>
    <mergeCell ref="A4:U4"/>
  </mergeCells>
  <pageMargins left="0.7" right="0.7" top="0.75" bottom="0.75" header="0.3" footer="0.3"/>
  <pageSetup scale="33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84499-0589-4F76-B5D0-F21209468E13}">
  <sheetPr codeName="Sheet12">
    <tabColor rgb="FFFF0000"/>
  </sheetPr>
  <dimension ref="A2:X11"/>
  <sheetViews>
    <sheetView topLeftCell="A6" workbookViewId="0">
      <selection activeCell="G14" sqref="G14"/>
    </sheetView>
  </sheetViews>
  <sheetFormatPr defaultRowHeight="14.5"/>
  <cols>
    <col min="7" max="7" width="28" customWidth="1"/>
    <col min="8" max="8" width="10.81640625" customWidth="1"/>
    <col min="13" max="13" width="11.1796875" bestFit="1" customWidth="1"/>
  </cols>
  <sheetData>
    <row r="2" spans="1:24" ht="21">
      <c r="E2" s="2120" t="s">
        <v>0</v>
      </c>
      <c r="F2" s="2120"/>
      <c r="G2" s="2120"/>
      <c r="H2" s="2121"/>
      <c r="I2" s="2120"/>
      <c r="J2" s="2120"/>
      <c r="K2" s="2120"/>
      <c r="L2" s="2120"/>
      <c r="M2" s="2120"/>
      <c r="N2" s="2120"/>
      <c r="O2" s="2120"/>
      <c r="P2" s="2120"/>
      <c r="Q2" s="2120"/>
      <c r="R2" s="2122"/>
      <c r="S2" s="2120"/>
      <c r="T2" s="2120"/>
      <c r="U2" s="2120"/>
      <c r="V2" s="2120"/>
      <c r="W2" s="2120"/>
      <c r="X2" s="2120"/>
    </row>
    <row r="3" spans="1:24">
      <c r="E3" s="2123" t="s">
        <v>2</v>
      </c>
      <c r="F3" s="2123"/>
      <c r="G3" s="2123"/>
      <c r="H3" s="2124"/>
      <c r="I3" s="2123"/>
      <c r="J3" s="2123"/>
      <c r="K3" s="2123"/>
      <c r="L3" s="2123"/>
      <c r="M3" s="2123"/>
      <c r="N3" s="2123"/>
      <c r="O3" s="2123"/>
      <c r="P3" s="2123"/>
      <c r="Q3" s="2123"/>
      <c r="R3" s="2125"/>
      <c r="S3" s="2123"/>
      <c r="T3" s="2123"/>
      <c r="U3" s="2123"/>
      <c r="V3" s="2123"/>
      <c r="W3" s="2123"/>
      <c r="X3" s="2123"/>
    </row>
    <row r="4" spans="1:24">
      <c r="E4" s="2123" t="s">
        <v>402</v>
      </c>
      <c r="F4" s="2123"/>
      <c r="G4" s="2123"/>
      <c r="H4" s="2124"/>
      <c r="I4" s="2123"/>
      <c r="J4" s="2123"/>
      <c r="K4" s="2123"/>
      <c r="L4" s="2123"/>
      <c r="M4" s="2123"/>
      <c r="N4" s="2123"/>
      <c r="O4" s="2123"/>
      <c r="P4" s="2123"/>
      <c r="Q4" s="2123"/>
      <c r="R4" s="2125"/>
      <c r="S4" s="2123"/>
      <c r="T4" s="2123"/>
      <c r="U4" s="2123"/>
      <c r="V4" s="2123"/>
      <c r="W4" s="2123"/>
      <c r="X4" s="2123"/>
    </row>
    <row r="6" spans="1:24" ht="72.5">
      <c r="A6" s="2" t="s">
        <v>6</v>
      </c>
      <c r="B6" s="2" t="s">
        <v>7</v>
      </c>
      <c r="C6" s="2" t="s">
        <v>8</v>
      </c>
      <c r="D6" s="2" t="s">
        <v>9</v>
      </c>
      <c r="E6" s="2" t="s">
        <v>10</v>
      </c>
      <c r="F6" s="3" t="s">
        <v>11</v>
      </c>
      <c r="G6" s="2" t="s">
        <v>12</v>
      </c>
      <c r="H6" s="2" t="s">
        <v>13</v>
      </c>
      <c r="I6" s="3" t="s">
        <v>14</v>
      </c>
      <c r="J6" s="3" t="s">
        <v>15</v>
      </c>
      <c r="K6" s="3" t="s">
        <v>16</v>
      </c>
      <c r="L6" s="3" t="s">
        <v>17</v>
      </c>
      <c r="M6" s="2" t="s">
        <v>18</v>
      </c>
      <c r="N6" s="5" t="s">
        <v>19</v>
      </c>
      <c r="O6" s="2" t="s">
        <v>403</v>
      </c>
      <c r="P6" s="3" t="s">
        <v>21</v>
      </c>
      <c r="Q6" s="6" t="s">
        <v>22</v>
      </c>
      <c r="R6" s="7" t="s">
        <v>23</v>
      </c>
      <c r="S6" s="3" t="s">
        <v>24</v>
      </c>
      <c r="T6" s="6" t="s">
        <v>404</v>
      </c>
      <c r="U6" s="8"/>
      <c r="V6" s="1"/>
      <c r="W6" s="1"/>
      <c r="X6" s="1"/>
    </row>
    <row r="7" spans="1:24" ht="33.65" customHeight="1">
      <c r="A7" s="22">
        <v>1</v>
      </c>
      <c r="B7" s="22"/>
      <c r="C7" s="22" t="s">
        <v>198</v>
      </c>
      <c r="D7" s="48">
        <v>44942</v>
      </c>
      <c r="E7" s="22" t="s">
        <v>405</v>
      </c>
      <c r="F7" s="22" t="s">
        <v>406</v>
      </c>
      <c r="G7" s="22" t="s">
        <v>320</v>
      </c>
      <c r="H7" s="22" t="s">
        <v>36</v>
      </c>
      <c r="I7" s="22" t="s">
        <v>321</v>
      </c>
      <c r="J7" s="22">
        <v>18</v>
      </c>
      <c r="K7" s="22"/>
      <c r="L7" s="22"/>
      <c r="M7" s="49">
        <v>44929</v>
      </c>
      <c r="N7" s="49" t="s">
        <v>407</v>
      </c>
      <c r="O7" s="41"/>
      <c r="P7" s="46"/>
      <c r="Q7" s="24"/>
      <c r="R7" s="15"/>
      <c r="S7" s="14"/>
      <c r="T7" s="19"/>
      <c r="U7" s="9"/>
      <c r="V7" s="10"/>
      <c r="W7" s="11"/>
      <c r="X7" s="12"/>
    </row>
    <row r="8" spans="1:24">
      <c r="A8" s="126">
        <v>2</v>
      </c>
      <c r="B8" s="50"/>
      <c r="C8" s="22" t="s">
        <v>198</v>
      </c>
      <c r="D8" s="48">
        <v>44939</v>
      </c>
      <c r="E8" s="22" t="s">
        <v>405</v>
      </c>
      <c r="F8" s="22" t="s">
        <v>406</v>
      </c>
      <c r="G8" s="22" t="s">
        <v>320</v>
      </c>
      <c r="H8" s="22" t="s">
        <v>35</v>
      </c>
      <c r="I8" s="22" t="s">
        <v>321</v>
      </c>
      <c r="J8" s="22">
        <v>18</v>
      </c>
      <c r="K8" s="44"/>
      <c r="L8" s="44"/>
      <c r="M8" s="51">
        <v>44939</v>
      </c>
      <c r="N8" s="51" t="s">
        <v>40</v>
      </c>
      <c r="O8" s="41"/>
      <c r="P8" s="46"/>
      <c r="Q8" s="24"/>
      <c r="R8" s="15"/>
      <c r="S8" s="14"/>
      <c r="T8" s="19"/>
      <c r="U8" s="9"/>
      <c r="V8" s="10"/>
      <c r="W8" s="11"/>
      <c r="X8" s="12"/>
    </row>
    <row r="9" spans="1:24" ht="15" thickBot="1">
      <c r="A9" s="21">
        <v>3</v>
      </c>
      <c r="B9" s="21"/>
      <c r="C9" s="22" t="s">
        <v>198</v>
      </c>
      <c r="D9" s="48">
        <v>44939</v>
      </c>
      <c r="E9" s="127" t="s">
        <v>408</v>
      </c>
      <c r="F9" s="21" t="s">
        <v>409</v>
      </c>
      <c r="G9" s="22" t="s">
        <v>320</v>
      </c>
      <c r="H9" s="22" t="s">
        <v>35</v>
      </c>
      <c r="I9" s="22" t="s">
        <v>321</v>
      </c>
      <c r="J9" s="22">
        <v>18</v>
      </c>
      <c r="K9" s="21"/>
      <c r="L9" s="21"/>
      <c r="M9" s="125">
        <v>44939</v>
      </c>
      <c r="N9" s="125" t="s">
        <v>40</v>
      </c>
      <c r="O9" s="23"/>
      <c r="P9" s="42"/>
      <c r="Q9" s="24"/>
      <c r="R9" s="15"/>
      <c r="S9" s="14"/>
      <c r="T9" s="19"/>
      <c r="U9" s="9"/>
      <c r="V9" s="10"/>
      <c r="W9" s="11"/>
      <c r="X9" s="12"/>
    </row>
    <row r="10" spans="1:24" ht="27.5" thickBot="1">
      <c r="B10" s="128">
        <v>2</v>
      </c>
      <c r="C10" s="128" t="s">
        <v>32</v>
      </c>
      <c r="D10" s="128" t="s">
        <v>349</v>
      </c>
      <c r="E10" s="128">
        <v>900</v>
      </c>
      <c r="F10" s="128">
        <v>1700</v>
      </c>
      <c r="G10" s="128" t="s">
        <v>322</v>
      </c>
      <c r="H10" s="128" t="s">
        <v>35</v>
      </c>
      <c r="I10" s="128" t="s">
        <v>140</v>
      </c>
      <c r="J10" s="128">
        <v>12</v>
      </c>
      <c r="K10" s="128"/>
      <c r="L10" s="128"/>
      <c r="M10" s="129">
        <v>44573.54546296296</v>
      </c>
      <c r="N10" s="128" t="s">
        <v>174</v>
      </c>
      <c r="Q10" t="s">
        <v>323</v>
      </c>
    </row>
    <row r="11" spans="1:24" ht="27.5" thickBot="1">
      <c r="B11" s="39">
        <v>3</v>
      </c>
      <c r="C11" s="39" t="s">
        <v>32</v>
      </c>
      <c r="D11" s="39" t="s">
        <v>352</v>
      </c>
      <c r="E11" s="39">
        <v>900</v>
      </c>
      <c r="F11" s="39">
        <v>1700</v>
      </c>
      <c r="G11" s="39" t="s">
        <v>322</v>
      </c>
      <c r="H11" s="39" t="s">
        <v>35</v>
      </c>
      <c r="I11" s="39" t="s">
        <v>140</v>
      </c>
      <c r="J11" s="39">
        <v>12</v>
      </c>
      <c r="K11" s="39"/>
      <c r="L11" s="39"/>
      <c r="M11" s="40">
        <v>44573.543287037035</v>
      </c>
      <c r="N11" s="39" t="s">
        <v>174</v>
      </c>
      <c r="Q11" t="s">
        <v>324</v>
      </c>
    </row>
  </sheetData>
  <mergeCells count="3">
    <mergeCell ref="E2:X2"/>
    <mergeCell ref="E3:X3"/>
    <mergeCell ref="E4:X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4514" r:id="rId4" name="Control 2">
          <controlPr defaultSize="0" r:id="rId5">
            <anchor moveWithCells="1">
              <from>
                <xdr:col>14</xdr:col>
                <xdr:colOff>19050</xdr:colOff>
                <xdr:row>9</xdr:row>
                <xdr:rowOff>50800</xdr:rowOff>
              </from>
              <to>
                <xdr:col>15</xdr:col>
                <xdr:colOff>88900</xdr:colOff>
                <xdr:row>9</xdr:row>
                <xdr:rowOff>336550</xdr:rowOff>
              </to>
            </anchor>
          </controlPr>
        </control>
      </mc:Choice>
      <mc:Fallback>
        <control shapeId="64514" r:id="rId4" name="Control 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1A249-C06A-4832-AED8-4645CA1293AD}">
  <sheetPr codeName="Sheet5"/>
  <dimension ref="A2:X13"/>
  <sheetViews>
    <sheetView zoomScaleNormal="100" workbookViewId="0">
      <selection activeCell="G15" sqref="G15"/>
    </sheetView>
  </sheetViews>
  <sheetFormatPr defaultRowHeight="14.5"/>
  <cols>
    <col min="12" max="12" width="10.7265625" customWidth="1"/>
    <col min="14" max="14" width="11.26953125" customWidth="1"/>
  </cols>
  <sheetData>
    <row r="2" spans="1:24" ht="21">
      <c r="E2" s="2120" t="s">
        <v>0</v>
      </c>
      <c r="F2" s="2120"/>
      <c r="G2" s="2120"/>
      <c r="H2" s="2121"/>
      <c r="I2" s="2120"/>
      <c r="J2" s="2120"/>
      <c r="K2" s="2120"/>
      <c r="L2" s="2120"/>
      <c r="M2" s="2120"/>
      <c r="N2" s="2120"/>
      <c r="O2" s="2120"/>
      <c r="P2" s="2120"/>
      <c r="Q2" s="2120"/>
      <c r="R2" s="2122"/>
      <c r="S2" s="2120"/>
      <c r="T2" s="2120"/>
      <c r="U2" s="2120"/>
      <c r="V2" s="2120"/>
      <c r="W2" s="2120"/>
      <c r="X2" s="2120"/>
    </row>
    <row r="3" spans="1:24">
      <c r="E3" s="2123" t="s">
        <v>2</v>
      </c>
      <c r="F3" s="2123"/>
      <c r="G3" s="2123"/>
      <c r="H3" s="2124"/>
      <c r="I3" s="2123"/>
      <c r="J3" s="2123"/>
      <c r="K3" s="2123"/>
      <c r="L3" s="2123"/>
      <c r="M3" s="2123"/>
      <c r="N3" s="2123"/>
      <c r="O3" s="2123"/>
      <c r="P3" s="2123"/>
      <c r="Q3" s="2123"/>
      <c r="R3" s="2125"/>
      <c r="S3" s="2123"/>
      <c r="T3" s="2123"/>
      <c r="U3" s="2123"/>
      <c r="V3" s="2123"/>
      <c r="W3" s="2123"/>
      <c r="X3" s="2123"/>
    </row>
    <row r="4" spans="1:24">
      <c r="E4" s="2123" t="s">
        <v>410</v>
      </c>
      <c r="F4" s="2123"/>
      <c r="G4" s="2123"/>
      <c r="H4" s="2124"/>
      <c r="I4" s="2123"/>
      <c r="J4" s="2123"/>
      <c r="K4" s="2123"/>
      <c r="L4" s="2123"/>
      <c r="M4" s="2123"/>
      <c r="N4" s="2123"/>
      <c r="O4" s="2123"/>
      <c r="P4" s="2123"/>
      <c r="Q4" s="2123"/>
      <c r="R4" s="2125"/>
      <c r="S4" s="2123"/>
      <c r="T4" s="2123"/>
      <c r="U4" s="2123"/>
      <c r="V4" s="2123"/>
      <c r="W4" s="2123"/>
      <c r="X4" s="2123"/>
    </row>
    <row r="6" spans="1:24" ht="72.5">
      <c r="A6" s="2" t="s">
        <v>6</v>
      </c>
      <c r="B6" s="2" t="s">
        <v>7</v>
      </c>
      <c r="C6" s="2" t="s">
        <v>8</v>
      </c>
      <c r="D6" s="2" t="s">
        <v>9</v>
      </c>
      <c r="E6" s="2" t="s">
        <v>10</v>
      </c>
      <c r="F6" s="3" t="s">
        <v>11</v>
      </c>
      <c r="G6" s="2" t="s">
        <v>12</v>
      </c>
      <c r="H6" s="2" t="s">
        <v>13</v>
      </c>
      <c r="I6" s="3" t="s">
        <v>14</v>
      </c>
      <c r="J6" s="3" t="s">
        <v>15</v>
      </c>
      <c r="K6" s="3" t="s">
        <v>16</v>
      </c>
      <c r="L6" s="3" t="s">
        <v>17</v>
      </c>
      <c r="M6" s="2" t="s">
        <v>18</v>
      </c>
      <c r="N6" s="5" t="s">
        <v>19</v>
      </c>
      <c r="O6" s="2" t="s">
        <v>403</v>
      </c>
      <c r="P6" s="3" t="s">
        <v>21</v>
      </c>
      <c r="Q6" s="6" t="s">
        <v>22</v>
      </c>
      <c r="R6" s="7" t="s">
        <v>23</v>
      </c>
      <c r="S6" s="3" t="s">
        <v>24</v>
      </c>
      <c r="T6" s="6" t="s">
        <v>404</v>
      </c>
      <c r="U6" s="8"/>
      <c r="V6" s="1"/>
      <c r="W6" s="1"/>
      <c r="X6" s="1"/>
    </row>
    <row r="7" spans="1:24" s="117" customFormat="1" ht="24">
      <c r="A7" s="105">
        <v>1</v>
      </c>
      <c r="B7" s="105"/>
      <c r="C7" s="105" t="s">
        <v>198</v>
      </c>
      <c r="D7" s="106">
        <v>45201</v>
      </c>
      <c r="E7" s="118">
        <v>0.45833333333333331</v>
      </c>
      <c r="F7" s="118">
        <v>0.5</v>
      </c>
      <c r="G7" s="105"/>
      <c r="H7" s="105" t="s">
        <v>35</v>
      </c>
      <c r="I7" s="105" t="s">
        <v>212</v>
      </c>
      <c r="J7" s="105">
        <v>20</v>
      </c>
      <c r="K7" s="105"/>
      <c r="L7" s="105"/>
      <c r="M7" s="107"/>
      <c r="N7" s="107" t="s">
        <v>40</v>
      </c>
      <c r="O7" s="108"/>
      <c r="P7" s="109"/>
      <c r="Q7" s="110"/>
      <c r="R7" s="111"/>
      <c r="S7" s="43"/>
      <c r="T7" s="112"/>
      <c r="U7" s="113"/>
      <c r="V7" s="114"/>
      <c r="W7" s="115"/>
      <c r="X7" s="116"/>
    </row>
    <row r="8" spans="1:24" s="117" customFormat="1" ht="24">
      <c r="A8" s="142">
        <v>2</v>
      </c>
      <c r="B8" s="142"/>
      <c r="C8" s="105" t="s">
        <v>198</v>
      </c>
      <c r="D8" s="106">
        <v>45201</v>
      </c>
      <c r="E8" s="118" t="s">
        <v>411</v>
      </c>
      <c r="F8" s="118" t="s">
        <v>412</v>
      </c>
      <c r="G8" s="105"/>
      <c r="H8" s="105" t="s">
        <v>35</v>
      </c>
      <c r="I8" s="105" t="s">
        <v>212</v>
      </c>
      <c r="J8" s="105">
        <v>20</v>
      </c>
      <c r="K8" s="142"/>
      <c r="L8" s="142"/>
      <c r="M8" s="143"/>
      <c r="N8" s="107" t="s">
        <v>40</v>
      </c>
      <c r="O8" s="108"/>
      <c r="P8" s="109"/>
      <c r="Q8" s="110"/>
      <c r="R8" s="111"/>
      <c r="S8" s="43"/>
      <c r="T8" s="112"/>
      <c r="U8" s="113"/>
      <c r="V8" s="114"/>
      <c r="W8" s="115"/>
      <c r="X8" s="116"/>
    </row>
    <row r="9" spans="1:24" s="117" customFormat="1" ht="26">
      <c r="A9" s="144">
        <v>2</v>
      </c>
      <c r="B9" s="144"/>
      <c r="C9" s="145" t="s">
        <v>413</v>
      </c>
      <c r="D9" s="146">
        <v>44987</v>
      </c>
      <c r="E9" s="147">
        <v>0.58333333333333337</v>
      </c>
      <c r="F9" s="147">
        <v>0.625</v>
      </c>
      <c r="G9" s="145"/>
      <c r="H9" s="145" t="s">
        <v>35</v>
      </c>
      <c r="I9" s="145" t="s">
        <v>214</v>
      </c>
      <c r="J9" s="145"/>
      <c r="K9" s="144"/>
      <c r="L9" s="144" t="s">
        <v>213</v>
      </c>
      <c r="M9" s="148"/>
      <c r="N9" s="149" t="s">
        <v>40</v>
      </c>
      <c r="O9" s="108"/>
      <c r="P9" s="109"/>
      <c r="Q9" s="110"/>
      <c r="R9" s="111"/>
      <c r="S9" s="43"/>
      <c r="T9" s="112"/>
      <c r="U9" s="113"/>
      <c r="V9" s="114"/>
      <c r="W9" s="115"/>
      <c r="X9" s="116"/>
    </row>
    <row r="10" spans="1:24" s="117" customFormat="1" ht="26.5" thickBot="1">
      <c r="A10" s="145">
        <v>3</v>
      </c>
      <c r="B10" s="145"/>
      <c r="C10" s="145" t="s">
        <v>413</v>
      </c>
      <c r="D10" s="146">
        <v>44987</v>
      </c>
      <c r="E10" s="147">
        <v>0.39583333333333331</v>
      </c>
      <c r="F10" s="147">
        <v>0.4375</v>
      </c>
      <c r="G10" s="145"/>
      <c r="H10" s="145" t="s">
        <v>35</v>
      </c>
      <c r="I10" s="145" t="s">
        <v>214</v>
      </c>
      <c r="J10" s="145"/>
      <c r="K10" s="145"/>
      <c r="L10" s="144" t="s">
        <v>213</v>
      </c>
      <c r="M10" s="148"/>
      <c r="N10" s="149" t="s">
        <v>40</v>
      </c>
      <c r="O10" s="108"/>
      <c r="P10" s="109"/>
      <c r="Q10" s="110"/>
      <c r="R10" s="111"/>
      <c r="S10" s="43"/>
      <c r="T10" s="112"/>
      <c r="U10" s="113"/>
      <c r="V10" s="114"/>
      <c r="W10" s="115"/>
      <c r="X10" s="116"/>
    </row>
    <row r="11" spans="1:24" s="117" customFormat="1" ht="26.5" thickBot="1">
      <c r="A11" s="150">
        <v>4</v>
      </c>
      <c r="B11" s="151"/>
      <c r="C11" s="151" t="s">
        <v>198</v>
      </c>
      <c r="D11" s="151" t="s">
        <v>216</v>
      </c>
      <c r="E11" s="152">
        <v>0.35416666666666669</v>
      </c>
      <c r="F11" s="152">
        <v>0.45833333333333331</v>
      </c>
      <c r="G11" s="151" t="s">
        <v>218</v>
      </c>
      <c r="H11" s="151" t="s">
        <v>35</v>
      </c>
      <c r="I11" s="151" t="s">
        <v>217</v>
      </c>
      <c r="J11" s="151"/>
      <c r="K11" s="151"/>
      <c r="L11" s="151"/>
      <c r="M11" s="153"/>
      <c r="N11" s="151" t="s">
        <v>40</v>
      </c>
    </row>
    <row r="12" spans="1:24" s="117" customFormat="1" ht="26.5" thickBot="1">
      <c r="A12" s="150">
        <v>5</v>
      </c>
      <c r="B12" s="151"/>
      <c r="C12" s="151" t="s">
        <v>198</v>
      </c>
      <c r="D12" s="151" t="s">
        <v>216</v>
      </c>
      <c r="E12" s="152">
        <v>0.45833333333333331</v>
      </c>
      <c r="F12" s="152">
        <v>0.47916666666666669</v>
      </c>
      <c r="G12" s="151" t="s">
        <v>218</v>
      </c>
      <c r="H12" s="151" t="s">
        <v>35</v>
      </c>
      <c r="I12" s="151" t="s">
        <v>217</v>
      </c>
      <c r="J12" s="151"/>
      <c r="K12" s="151"/>
      <c r="L12" s="151"/>
      <c r="M12" s="153"/>
      <c r="N12" s="151" t="s">
        <v>40</v>
      </c>
    </row>
    <row r="13" spans="1:24" s="117" customFormat="1" ht="58.5" thickBot="1">
      <c r="A13" s="154">
        <v>6</v>
      </c>
      <c r="B13" s="155"/>
      <c r="C13" s="155" t="s">
        <v>198</v>
      </c>
      <c r="D13" s="155" t="s">
        <v>219</v>
      </c>
      <c r="E13" s="155" t="s">
        <v>414</v>
      </c>
      <c r="F13" s="155" t="s">
        <v>415</v>
      </c>
      <c r="G13" s="155"/>
      <c r="H13" s="155" t="s">
        <v>35</v>
      </c>
      <c r="I13" s="155" t="s">
        <v>209</v>
      </c>
      <c r="J13" s="155"/>
      <c r="K13" s="155"/>
      <c r="L13" s="155" t="s">
        <v>416</v>
      </c>
      <c r="M13" s="156"/>
      <c r="N13" s="155" t="s">
        <v>40</v>
      </c>
    </row>
  </sheetData>
  <mergeCells count="3">
    <mergeCell ref="E2:X2"/>
    <mergeCell ref="E3:X3"/>
    <mergeCell ref="E4:X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30FD9-89CA-4E64-92D1-BE1C958FB6A7}">
  <sheetPr codeName="Sheet6"/>
  <dimension ref="A2:X19"/>
  <sheetViews>
    <sheetView topLeftCell="A13" workbookViewId="0">
      <selection sqref="A1:X19"/>
    </sheetView>
  </sheetViews>
  <sheetFormatPr defaultRowHeight="14.5"/>
  <cols>
    <col min="4" max="4" width="10" customWidth="1"/>
    <col min="7" max="7" width="11.54296875" customWidth="1"/>
  </cols>
  <sheetData>
    <row r="2" spans="1:24" ht="21">
      <c r="E2" s="2120" t="s">
        <v>0</v>
      </c>
      <c r="F2" s="2120"/>
      <c r="G2" s="2120"/>
      <c r="H2" s="2121"/>
      <c r="I2" s="2120"/>
      <c r="J2" s="2120"/>
      <c r="K2" s="2120"/>
      <c r="L2" s="2120"/>
      <c r="M2" s="2120"/>
      <c r="N2" s="2120"/>
      <c r="O2" s="2120"/>
      <c r="P2" s="2120"/>
      <c r="Q2" s="2120"/>
      <c r="R2" s="2122"/>
      <c r="S2" s="2120"/>
      <c r="T2" s="2120"/>
      <c r="U2" s="2120"/>
      <c r="V2" s="2120"/>
      <c r="W2" s="2120"/>
      <c r="X2" s="2120"/>
    </row>
    <row r="3" spans="1:24">
      <c r="E3" s="2123" t="s">
        <v>2</v>
      </c>
      <c r="F3" s="2123"/>
      <c r="G3" s="2123"/>
      <c r="H3" s="2124"/>
      <c r="I3" s="2123"/>
      <c r="J3" s="2123"/>
      <c r="K3" s="2123"/>
      <c r="L3" s="2123"/>
      <c r="M3" s="2123"/>
      <c r="N3" s="2123"/>
      <c r="O3" s="2123"/>
      <c r="P3" s="2123"/>
      <c r="Q3" s="2123"/>
      <c r="R3" s="2125"/>
      <c r="S3" s="2123"/>
      <c r="T3" s="2123"/>
      <c r="U3" s="2123"/>
      <c r="V3" s="2123"/>
      <c r="W3" s="2123"/>
      <c r="X3" s="2123"/>
    </row>
    <row r="4" spans="1:24">
      <c r="E4" s="2123" t="s">
        <v>417</v>
      </c>
      <c r="F4" s="2123"/>
      <c r="G4" s="2123"/>
      <c r="H4" s="2124"/>
      <c r="I4" s="2123"/>
      <c r="J4" s="2123"/>
      <c r="K4" s="2123"/>
      <c r="L4" s="2123"/>
      <c r="M4" s="2123"/>
      <c r="N4" s="2123"/>
      <c r="O4" s="2123"/>
      <c r="P4" s="2123"/>
      <c r="Q4" s="2123"/>
      <c r="R4" s="2125"/>
      <c r="S4" s="2123"/>
      <c r="T4" s="2123"/>
      <c r="U4" s="2123"/>
      <c r="V4" s="2123"/>
      <c r="W4" s="2123"/>
      <c r="X4" s="2123"/>
    </row>
    <row r="6" spans="1:24" ht="72.5">
      <c r="A6" s="2" t="s">
        <v>6</v>
      </c>
      <c r="B6" s="2" t="s">
        <v>7</v>
      </c>
      <c r="C6" s="2" t="s">
        <v>8</v>
      </c>
      <c r="D6" s="2" t="s">
        <v>9</v>
      </c>
      <c r="E6" s="2" t="s">
        <v>10</v>
      </c>
      <c r="F6" s="3" t="s">
        <v>11</v>
      </c>
      <c r="G6" s="2" t="s">
        <v>12</v>
      </c>
      <c r="H6" s="2" t="s">
        <v>13</v>
      </c>
      <c r="I6" s="3" t="s">
        <v>14</v>
      </c>
      <c r="J6" s="3" t="s">
        <v>15</v>
      </c>
      <c r="K6" s="3" t="s">
        <v>16</v>
      </c>
      <c r="L6" s="3" t="s">
        <v>17</v>
      </c>
      <c r="M6" s="2" t="s">
        <v>18</v>
      </c>
      <c r="N6" s="5" t="s">
        <v>19</v>
      </c>
      <c r="O6" s="2" t="s">
        <v>403</v>
      </c>
      <c r="P6" s="3" t="s">
        <v>21</v>
      </c>
      <c r="Q6" s="6" t="s">
        <v>22</v>
      </c>
      <c r="R6" s="7" t="s">
        <v>23</v>
      </c>
      <c r="S6" s="3" t="s">
        <v>24</v>
      </c>
      <c r="T6" s="6" t="s">
        <v>404</v>
      </c>
      <c r="U6" s="8"/>
      <c r="V6" s="1"/>
      <c r="W6" s="1"/>
      <c r="X6" s="1"/>
    </row>
    <row r="7" spans="1:24">
      <c r="A7" s="22">
        <v>1</v>
      </c>
      <c r="B7" s="22"/>
      <c r="C7" s="22"/>
      <c r="D7" s="48"/>
      <c r="E7" s="141"/>
      <c r="F7" s="141"/>
      <c r="G7" s="22"/>
      <c r="H7" s="22"/>
      <c r="I7" s="22"/>
      <c r="J7" s="22"/>
      <c r="K7" s="22"/>
      <c r="L7" s="22"/>
      <c r="M7" s="49"/>
      <c r="N7" s="49"/>
      <c r="O7" s="41"/>
      <c r="P7" s="46"/>
      <c r="Q7" s="24"/>
      <c r="R7" s="15"/>
      <c r="S7" s="14"/>
      <c r="T7" s="19"/>
      <c r="U7" s="9"/>
      <c r="V7" s="10"/>
      <c r="W7" s="11"/>
      <c r="X7" s="12"/>
    </row>
    <row r="8" spans="1:24" s="117" customFormat="1" ht="24">
      <c r="A8" s="142">
        <v>2</v>
      </c>
      <c r="B8" s="142"/>
      <c r="C8" s="105" t="s">
        <v>198</v>
      </c>
      <c r="D8" s="106">
        <v>45172</v>
      </c>
      <c r="E8" s="118" t="s">
        <v>418</v>
      </c>
      <c r="F8" s="118" t="s">
        <v>419</v>
      </c>
      <c r="G8" s="105" t="s">
        <v>199</v>
      </c>
      <c r="H8" s="105" t="s">
        <v>88</v>
      </c>
      <c r="I8" s="105" t="s">
        <v>200</v>
      </c>
      <c r="J8" s="105">
        <v>50</v>
      </c>
      <c r="K8" s="142"/>
      <c r="L8" s="142"/>
      <c r="M8" s="143"/>
      <c r="N8" s="107" t="s">
        <v>40</v>
      </c>
      <c r="O8" s="108"/>
      <c r="P8" s="109"/>
      <c r="Q8" s="110"/>
      <c r="R8" s="111"/>
      <c r="S8" s="43"/>
      <c r="T8" s="112"/>
      <c r="U8" s="113"/>
      <c r="V8" s="114"/>
      <c r="W8" s="115"/>
      <c r="X8" s="116"/>
    </row>
    <row r="9" spans="1:24" s="117" customFormat="1" ht="26">
      <c r="A9" s="144">
        <v>2</v>
      </c>
      <c r="B9" s="144"/>
      <c r="C9" s="145" t="s">
        <v>420</v>
      </c>
      <c r="D9" s="146">
        <v>44929</v>
      </c>
      <c r="E9" s="147" t="s">
        <v>421</v>
      </c>
      <c r="F9" s="147" t="s">
        <v>422</v>
      </c>
      <c r="G9" s="145" t="s">
        <v>186</v>
      </c>
      <c r="H9" s="105" t="s">
        <v>35</v>
      </c>
      <c r="I9" s="145" t="s">
        <v>201</v>
      </c>
      <c r="J9" s="145"/>
      <c r="K9" s="144"/>
      <c r="L9" s="144" t="s">
        <v>202</v>
      </c>
      <c r="M9" s="148"/>
      <c r="N9" s="149" t="s">
        <v>40</v>
      </c>
      <c r="O9" s="108"/>
      <c r="P9" s="109"/>
      <c r="Q9" s="110"/>
      <c r="R9" s="111"/>
      <c r="S9" s="43"/>
      <c r="T9" s="112"/>
      <c r="U9" s="113"/>
      <c r="V9" s="114"/>
      <c r="W9" s="115"/>
      <c r="X9" s="116"/>
    </row>
    <row r="10" spans="1:24" s="117" customFormat="1" ht="26">
      <c r="A10" s="145">
        <v>3</v>
      </c>
      <c r="B10" s="283"/>
      <c r="C10" s="283" t="s">
        <v>420</v>
      </c>
      <c r="D10" s="284">
        <v>44960</v>
      </c>
      <c r="E10" s="285" t="s">
        <v>421</v>
      </c>
      <c r="F10" s="285" t="s">
        <v>422</v>
      </c>
      <c r="G10" s="283" t="s">
        <v>186</v>
      </c>
      <c r="H10" s="286" t="s">
        <v>35</v>
      </c>
      <c r="I10" s="283" t="s">
        <v>201</v>
      </c>
      <c r="J10" s="283"/>
      <c r="K10" s="283"/>
      <c r="L10" s="287" t="s">
        <v>203</v>
      </c>
      <c r="M10" s="288"/>
      <c r="N10" s="289" t="s">
        <v>40</v>
      </c>
      <c r="O10" s="108"/>
      <c r="P10" s="109"/>
      <c r="Q10" s="110"/>
      <c r="R10" s="111"/>
      <c r="S10" s="43"/>
      <c r="T10" s="112"/>
      <c r="U10" s="113"/>
      <c r="V10" s="114"/>
      <c r="W10" s="115"/>
      <c r="X10" s="116"/>
    </row>
    <row r="11" spans="1:24" s="117" customFormat="1" ht="26">
      <c r="A11" s="150">
        <v>4</v>
      </c>
      <c r="B11" s="145"/>
      <c r="C11" s="145" t="s">
        <v>198</v>
      </c>
      <c r="D11" s="145" t="s">
        <v>50</v>
      </c>
      <c r="E11" s="147" t="s">
        <v>421</v>
      </c>
      <c r="F11" s="147" t="s">
        <v>423</v>
      </c>
      <c r="G11" s="145" t="s">
        <v>204</v>
      </c>
      <c r="H11" s="145" t="s">
        <v>35</v>
      </c>
      <c r="I11" s="145" t="s">
        <v>205</v>
      </c>
      <c r="J11" s="145">
        <v>25</v>
      </c>
      <c r="K11" s="145"/>
      <c r="L11" s="145" t="s">
        <v>206</v>
      </c>
      <c r="M11" s="149"/>
      <c r="N11" s="149" t="s">
        <v>40</v>
      </c>
    </row>
    <row r="12" spans="1:24" s="117" customFormat="1" ht="26">
      <c r="A12" s="150"/>
      <c r="B12" s="145"/>
      <c r="C12" s="145" t="s">
        <v>424</v>
      </c>
      <c r="D12" s="145" t="s">
        <v>50</v>
      </c>
      <c r="E12" s="147" t="s">
        <v>421</v>
      </c>
      <c r="F12" s="147" t="s">
        <v>425</v>
      </c>
      <c r="G12" s="145" t="s">
        <v>204</v>
      </c>
      <c r="H12" s="145" t="s">
        <v>35</v>
      </c>
      <c r="I12" s="145" t="s">
        <v>205</v>
      </c>
      <c r="J12" s="145">
        <v>16</v>
      </c>
      <c r="K12" s="145"/>
      <c r="L12" s="145"/>
      <c r="M12" s="149"/>
      <c r="N12" s="149" t="s">
        <v>40</v>
      </c>
    </row>
    <row r="13" spans="1:24" s="117" customFormat="1" ht="26">
      <c r="A13" s="154">
        <v>5</v>
      </c>
      <c r="B13" s="145"/>
      <c r="C13" s="145" t="s">
        <v>198</v>
      </c>
      <c r="D13" s="145" t="s">
        <v>207</v>
      </c>
      <c r="E13" s="145" t="s">
        <v>421</v>
      </c>
      <c r="F13" s="145" t="s">
        <v>422</v>
      </c>
      <c r="G13" s="145" t="s">
        <v>204</v>
      </c>
      <c r="H13" s="145" t="s">
        <v>35</v>
      </c>
      <c r="I13" s="145" t="s">
        <v>205</v>
      </c>
      <c r="J13" s="145">
        <v>25</v>
      </c>
      <c r="K13" s="145"/>
      <c r="L13" s="145" t="s">
        <v>206</v>
      </c>
      <c r="M13" s="149"/>
      <c r="N13" s="149" t="s">
        <v>40</v>
      </c>
    </row>
    <row r="14" spans="1:24" s="117" customFormat="1" ht="26">
      <c r="B14" s="290"/>
      <c r="C14" s="145" t="s">
        <v>198</v>
      </c>
      <c r="D14" s="290" t="s">
        <v>44</v>
      </c>
      <c r="E14" s="145" t="s">
        <v>421</v>
      </c>
      <c r="F14" s="145" t="s">
        <v>422</v>
      </c>
      <c r="G14" s="145" t="s">
        <v>204</v>
      </c>
      <c r="H14" s="145" t="s">
        <v>35</v>
      </c>
      <c r="I14" s="145" t="s">
        <v>205</v>
      </c>
      <c r="J14" s="145">
        <v>25</v>
      </c>
      <c r="K14" s="290"/>
      <c r="L14" s="145" t="s">
        <v>208</v>
      </c>
      <c r="M14" s="290"/>
      <c r="N14" s="149" t="s">
        <v>40</v>
      </c>
    </row>
    <row r="15" spans="1:24" s="117" customFormat="1" ht="26">
      <c r="B15" s="290"/>
      <c r="C15" s="145" t="s">
        <v>198</v>
      </c>
      <c r="D15" s="290" t="s">
        <v>33</v>
      </c>
      <c r="E15" s="145" t="s">
        <v>421</v>
      </c>
      <c r="F15" s="145" t="s">
        <v>422</v>
      </c>
      <c r="G15" s="145" t="s">
        <v>204</v>
      </c>
      <c r="H15" s="145" t="s">
        <v>35</v>
      </c>
      <c r="I15" s="145" t="s">
        <v>205</v>
      </c>
      <c r="J15" s="145">
        <v>25</v>
      </c>
      <c r="K15" s="290"/>
      <c r="L15" s="145" t="s">
        <v>208</v>
      </c>
      <c r="M15" s="290"/>
      <c r="N15" s="149" t="s">
        <v>40</v>
      </c>
    </row>
    <row r="16" spans="1:24" s="117" customFormat="1" ht="26">
      <c r="C16" s="145" t="s">
        <v>198</v>
      </c>
      <c r="D16" s="291" t="s">
        <v>110</v>
      </c>
      <c r="E16" s="145" t="s">
        <v>426</v>
      </c>
      <c r="F16" s="145" t="s">
        <v>422</v>
      </c>
      <c r="G16" s="145" t="s">
        <v>204</v>
      </c>
      <c r="H16" s="145" t="s">
        <v>35</v>
      </c>
      <c r="I16" s="145" t="s">
        <v>209</v>
      </c>
      <c r="J16" s="145">
        <v>17</v>
      </c>
      <c r="K16" s="291"/>
      <c r="L16" s="291" t="s">
        <v>210</v>
      </c>
      <c r="M16" s="291"/>
      <c r="N16" s="149" t="s">
        <v>40</v>
      </c>
    </row>
    <row r="17" spans="3:14" s="117" customFormat="1" ht="26">
      <c r="C17" s="145" t="s">
        <v>198</v>
      </c>
      <c r="D17" s="291" t="s">
        <v>105</v>
      </c>
      <c r="E17" s="145" t="s">
        <v>421</v>
      </c>
      <c r="F17" s="145" t="s">
        <v>422</v>
      </c>
      <c r="G17" s="145" t="s">
        <v>204</v>
      </c>
      <c r="H17" s="145" t="s">
        <v>35</v>
      </c>
      <c r="I17" s="145" t="s">
        <v>209</v>
      </c>
      <c r="J17" s="145">
        <v>17</v>
      </c>
      <c r="K17" s="291"/>
      <c r="L17" s="291" t="s">
        <v>210</v>
      </c>
      <c r="M17" s="291"/>
      <c r="N17" s="149" t="s">
        <v>40</v>
      </c>
    </row>
    <row r="18" spans="3:14" s="117" customFormat="1" ht="26">
      <c r="C18" s="145" t="s">
        <v>198</v>
      </c>
      <c r="D18" s="291" t="s">
        <v>115</v>
      </c>
      <c r="E18" s="145" t="s">
        <v>421</v>
      </c>
      <c r="F18" s="145" t="s">
        <v>422</v>
      </c>
      <c r="G18" s="145" t="s">
        <v>204</v>
      </c>
      <c r="H18" s="145" t="s">
        <v>35</v>
      </c>
      <c r="I18" s="145" t="s">
        <v>209</v>
      </c>
      <c r="J18" s="145">
        <v>17</v>
      </c>
      <c r="K18" s="291"/>
      <c r="L18" s="291" t="s">
        <v>210</v>
      </c>
      <c r="M18" s="291"/>
      <c r="N18" s="149" t="s">
        <v>40</v>
      </c>
    </row>
    <row r="19" spans="3:14" s="117" customFormat="1" ht="26">
      <c r="C19" s="145" t="s">
        <v>198</v>
      </c>
      <c r="D19" s="291" t="s">
        <v>96</v>
      </c>
      <c r="E19" s="145" t="s">
        <v>421</v>
      </c>
      <c r="F19" s="145" t="s">
        <v>427</v>
      </c>
      <c r="G19" s="145" t="s">
        <v>204</v>
      </c>
      <c r="H19" s="145" t="s">
        <v>35</v>
      </c>
      <c r="I19" s="145" t="s">
        <v>209</v>
      </c>
      <c r="J19" s="145">
        <v>17</v>
      </c>
      <c r="K19" s="291"/>
      <c r="L19" s="291" t="s">
        <v>210</v>
      </c>
      <c r="M19" s="291"/>
      <c r="N19" s="149" t="s">
        <v>40</v>
      </c>
    </row>
  </sheetData>
  <mergeCells count="3">
    <mergeCell ref="E2:X2"/>
    <mergeCell ref="E3:X3"/>
    <mergeCell ref="E4:X4"/>
  </mergeCells>
  <phoneticPr fontId="10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8EAD3-E855-4B04-8B64-53BDC7A4D70E}">
  <sheetPr codeName="Sheet7"/>
  <dimension ref="A2:X19"/>
  <sheetViews>
    <sheetView workbookViewId="0">
      <selection activeCell="A8" sqref="A8"/>
    </sheetView>
  </sheetViews>
  <sheetFormatPr defaultRowHeight="14.5"/>
  <cols>
    <col min="12" max="12" width="11.81640625" customWidth="1"/>
  </cols>
  <sheetData>
    <row r="2" spans="1:24" ht="21">
      <c r="E2" s="2120" t="s">
        <v>0</v>
      </c>
      <c r="F2" s="2120"/>
      <c r="G2" s="2120"/>
      <c r="H2" s="2121"/>
      <c r="I2" s="2120"/>
      <c r="J2" s="2120"/>
      <c r="K2" s="2120"/>
      <c r="L2" s="2120"/>
      <c r="M2" s="2120"/>
      <c r="N2" s="2120"/>
      <c r="O2" s="2120"/>
      <c r="P2" s="2120"/>
      <c r="Q2" s="2120"/>
      <c r="R2" s="2122"/>
      <c r="S2" s="2120"/>
      <c r="T2" s="2120"/>
      <c r="U2" s="2120"/>
      <c r="V2" s="2120"/>
      <c r="W2" s="2120"/>
      <c r="X2" s="2120"/>
    </row>
    <row r="3" spans="1:24">
      <c r="E3" s="2123" t="s">
        <v>2</v>
      </c>
      <c r="F3" s="2123"/>
      <c r="G3" s="2123"/>
      <c r="H3" s="2124"/>
      <c r="I3" s="2123"/>
      <c r="J3" s="2123"/>
      <c r="K3" s="2123"/>
      <c r="L3" s="2123"/>
      <c r="M3" s="2123"/>
      <c r="N3" s="2123"/>
      <c r="O3" s="2123"/>
      <c r="P3" s="2123"/>
      <c r="Q3" s="2123"/>
      <c r="R3" s="2125"/>
      <c r="S3" s="2123"/>
      <c r="T3" s="2123"/>
      <c r="U3" s="2123"/>
      <c r="V3" s="2123"/>
      <c r="W3" s="2123"/>
      <c r="X3" s="2123"/>
    </row>
    <row r="4" spans="1:24">
      <c r="E4" s="2123" t="s">
        <v>428</v>
      </c>
      <c r="F4" s="2123"/>
      <c r="G4" s="2123"/>
      <c r="H4" s="2124"/>
      <c r="I4" s="2123"/>
      <c r="J4" s="2123"/>
      <c r="K4" s="2123"/>
      <c r="L4" s="2123"/>
      <c r="M4" s="2123"/>
      <c r="N4" s="2123"/>
      <c r="O4" s="2123"/>
      <c r="P4" s="2123"/>
      <c r="Q4" s="2123"/>
      <c r="R4" s="2125"/>
      <c r="S4" s="2123"/>
      <c r="T4" s="2123"/>
      <c r="U4" s="2123"/>
      <c r="V4" s="2123"/>
      <c r="W4" s="2123"/>
      <c r="X4" s="2123"/>
    </row>
    <row r="6" spans="1:24" ht="72.5">
      <c r="A6" s="2" t="s">
        <v>6</v>
      </c>
      <c r="B6" s="2" t="s">
        <v>7</v>
      </c>
      <c r="C6" s="2" t="s">
        <v>8</v>
      </c>
      <c r="D6" s="2" t="s">
        <v>9</v>
      </c>
      <c r="E6" s="2" t="s">
        <v>10</v>
      </c>
      <c r="F6" s="3" t="s">
        <v>11</v>
      </c>
      <c r="G6" s="2" t="s">
        <v>12</v>
      </c>
      <c r="H6" s="2" t="s">
        <v>13</v>
      </c>
      <c r="I6" s="3" t="s">
        <v>14</v>
      </c>
      <c r="J6" s="3" t="s">
        <v>15</v>
      </c>
      <c r="K6" s="3" t="s">
        <v>16</v>
      </c>
      <c r="L6" s="3" t="s">
        <v>17</v>
      </c>
      <c r="M6" s="2" t="s">
        <v>18</v>
      </c>
      <c r="N6" s="5" t="s">
        <v>19</v>
      </c>
      <c r="O6" s="2" t="s">
        <v>403</v>
      </c>
      <c r="P6" s="3" t="s">
        <v>21</v>
      </c>
      <c r="Q6" s="6" t="s">
        <v>22</v>
      </c>
      <c r="R6" s="7" t="s">
        <v>23</v>
      </c>
      <c r="S6" s="3" t="s">
        <v>24</v>
      </c>
      <c r="T6" s="6" t="s">
        <v>404</v>
      </c>
      <c r="U6" s="8"/>
      <c r="V6" s="1"/>
      <c r="W6" s="1"/>
      <c r="X6" s="1"/>
    </row>
    <row r="7" spans="1:24" s="13" customFormat="1" ht="12">
      <c r="A7" s="22"/>
      <c r="B7" s="22"/>
      <c r="C7" s="22"/>
      <c r="D7" s="48"/>
      <c r="E7" s="141"/>
      <c r="F7" s="141"/>
      <c r="G7" s="22"/>
      <c r="H7" s="22"/>
      <c r="I7" s="22"/>
      <c r="J7" s="22"/>
      <c r="K7" s="22"/>
      <c r="L7" s="343"/>
      <c r="M7" s="49"/>
      <c r="N7" s="49"/>
      <c r="O7" s="41"/>
      <c r="P7" s="46"/>
      <c r="Q7" s="45"/>
      <c r="R7" s="17"/>
      <c r="S7" s="16"/>
      <c r="T7" s="20"/>
      <c r="U7" s="18"/>
      <c r="V7" s="10"/>
      <c r="W7" s="11"/>
      <c r="X7" s="12"/>
    </row>
    <row r="8" spans="1:24">
      <c r="A8" s="126"/>
      <c r="B8" s="126"/>
      <c r="C8" s="22"/>
      <c r="D8" s="48"/>
      <c r="E8" s="141"/>
      <c r="F8" s="141"/>
      <c r="G8" s="22"/>
      <c r="H8" s="22"/>
      <c r="I8" s="22"/>
      <c r="J8" s="22"/>
      <c r="K8" s="126"/>
      <c r="L8" s="126"/>
      <c r="M8" s="125"/>
      <c r="N8" s="49"/>
      <c r="O8" s="41"/>
      <c r="P8" s="46"/>
      <c r="Q8" s="45"/>
      <c r="R8" s="17"/>
      <c r="S8" s="16"/>
      <c r="T8" s="20"/>
      <c r="U8" s="18"/>
      <c r="V8" s="10"/>
      <c r="W8" s="11"/>
      <c r="X8" s="12"/>
    </row>
    <row r="9" spans="1:24">
      <c r="A9" s="326"/>
      <c r="B9" s="326"/>
      <c r="C9" s="327"/>
      <c r="D9" s="328"/>
      <c r="E9" s="329"/>
      <c r="F9" s="329"/>
      <c r="G9" s="327"/>
      <c r="H9" s="22"/>
      <c r="I9" s="327"/>
      <c r="J9" s="327"/>
      <c r="K9" s="326"/>
      <c r="L9" s="326"/>
      <c r="M9" s="330"/>
      <c r="N9" s="331"/>
      <c r="O9" s="41"/>
      <c r="P9" s="46"/>
      <c r="Q9" s="45"/>
      <c r="R9" s="17"/>
      <c r="S9" s="16"/>
      <c r="T9" s="20"/>
      <c r="U9" s="18"/>
      <c r="V9" s="10"/>
      <c r="W9" s="11"/>
      <c r="X9" s="12"/>
    </row>
    <row r="10" spans="1:24">
      <c r="A10" s="327"/>
      <c r="B10" s="332"/>
      <c r="C10" s="332"/>
      <c r="D10" s="333"/>
      <c r="E10" s="334"/>
      <c r="F10" s="334"/>
      <c r="G10" s="332"/>
      <c r="H10" s="335"/>
      <c r="I10" s="332"/>
      <c r="J10" s="332"/>
      <c r="K10" s="332"/>
      <c r="L10" s="336"/>
      <c r="M10" s="337"/>
      <c r="N10" s="338"/>
      <c r="O10" s="41"/>
      <c r="P10" s="46"/>
      <c r="Q10" s="45"/>
      <c r="R10" s="17"/>
      <c r="S10" s="16"/>
      <c r="T10" s="20"/>
      <c r="U10" s="18"/>
      <c r="V10" s="10"/>
      <c r="W10" s="11"/>
      <c r="X10" s="12"/>
    </row>
    <row r="11" spans="1:24">
      <c r="A11" s="339"/>
      <c r="B11" s="327"/>
      <c r="C11" s="327"/>
      <c r="D11" s="327"/>
      <c r="E11" s="329"/>
      <c r="F11" s="329"/>
      <c r="G11" s="327"/>
      <c r="H11" s="327"/>
      <c r="I11" s="327"/>
      <c r="J11" s="327"/>
      <c r="K11" s="327"/>
      <c r="L11" s="327"/>
      <c r="M11" s="331"/>
      <c r="N11" s="331"/>
    </row>
    <row r="12" spans="1:24">
      <c r="A12" s="339"/>
      <c r="B12" s="327"/>
      <c r="C12" s="327"/>
      <c r="D12" s="327"/>
      <c r="E12" s="329"/>
      <c r="F12" s="329"/>
      <c r="G12" s="327"/>
      <c r="H12" s="327"/>
      <c r="I12" s="327"/>
      <c r="J12" s="327"/>
      <c r="K12" s="327"/>
      <c r="L12" s="327"/>
      <c r="M12" s="331"/>
      <c r="N12" s="331"/>
    </row>
    <row r="13" spans="1:24">
      <c r="A13" s="340"/>
      <c r="B13" s="327"/>
      <c r="C13" s="327"/>
      <c r="D13" s="327"/>
      <c r="E13" s="327"/>
      <c r="F13" s="327"/>
      <c r="G13" s="327"/>
      <c r="H13" s="327"/>
      <c r="I13" s="327"/>
      <c r="J13" s="327"/>
      <c r="K13" s="327"/>
      <c r="L13" s="327"/>
      <c r="M13" s="331"/>
      <c r="N13" s="331"/>
    </row>
    <row r="14" spans="1:24">
      <c r="B14" s="341"/>
      <c r="C14" s="327"/>
      <c r="D14" s="341"/>
      <c r="E14" s="327"/>
      <c r="F14" s="327"/>
      <c r="G14" s="327"/>
      <c r="H14" s="327"/>
      <c r="I14" s="327"/>
      <c r="J14" s="327"/>
      <c r="K14" s="341"/>
      <c r="L14" s="327"/>
      <c r="M14" s="341"/>
      <c r="N14" s="331"/>
    </row>
    <row r="15" spans="1:24">
      <c r="B15" s="341"/>
      <c r="C15" s="327"/>
      <c r="D15" s="341"/>
      <c r="E15" s="327"/>
      <c r="F15" s="327"/>
      <c r="G15" s="327"/>
      <c r="H15" s="327"/>
      <c r="I15" s="327"/>
      <c r="J15" s="327"/>
      <c r="K15" s="341"/>
      <c r="L15" s="327"/>
      <c r="M15" s="341"/>
      <c r="N15" s="331"/>
    </row>
    <row r="16" spans="1:24">
      <c r="C16" s="327"/>
      <c r="D16" s="342"/>
      <c r="E16" s="327"/>
      <c r="F16" s="327"/>
      <c r="G16" s="327"/>
      <c r="H16" s="327"/>
      <c r="I16" s="327"/>
      <c r="J16" s="327"/>
      <c r="K16" s="342"/>
      <c r="L16" s="342"/>
      <c r="M16" s="342"/>
      <c r="N16" s="331"/>
    </row>
    <row r="17" spans="3:14">
      <c r="C17" s="327"/>
      <c r="D17" s="342"/>
      <c r="E17" s="327"/>
      <c r="F17" s="327"/>
      <c r="G17" s="327"/>
      <c r="H17" s="327"/>
      <c r="I17" s="327"/>
      <c r="J17" s="327"/>
      <c r="K17" s="342"/>
      <c r="L17" s="342"/>
      <c r="M17" s="342"/>
      <c r="N17" s="331"/>
    </row>
    <row r="18" spans="3:14">
      <c r="C18" s="327"/>
      <c r="D18" s="342"/>
      <c r="E18" s="327"/>
      <c r="F18" s="327"/>
      <c r="G18" s="327"/>
      <c r="H18" s="327"/>
      <c r="I18" s="327"/>
      <c r="J18" s="327"/>
      <c r="K18" s="342"/>
      <c r="L18" s="342"/>
      <c r="M18" s="342"/>
      <c r="N18" s="331"/>
    </row>
    <row r="19" spans="3:14">
      <c r="C19" s="327"/>
      <c r="D19" s="342"/>
      <c r="E19" s="327"/>
      <c r="F19" s="327"/>
      <c r="G19" s="327"/>
      <c r="H19" s="327"/>
      <c r="I19" s="327"/>
      <c r="J19" s="327"/>
      <c r="K19" s="342"/>
      <c r="L19" s="342"/>
      <c r="M19" s="342"/>
      <c r="N19" s="331"/>
    </row>
  </sheetData>
  <mergeCells count="3">
    <mergeCell ref="E2:X2"/>
    <mergeCell ref="E3:X3"/>
    <mergeCell ref="E4:X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CC9BC-3CAD-4619-A64D-5FCAE0825399}">
  <sheetPr codeName="Sheet13" filterMode="1">
    <pageSetUpPr fitToPage="1"/>
  </sheetPr>
  <dimension ref="A2:AE84"/>
  <sheetViews>
    <sheetView topLeftCell="A13" zoomScale="80" zoomScaleNormal="80" workbookViewId="0">
      <selection activeCell="V7" sqref="V7:V45"/>
    </sheetView>
  </sheetViews>
  <sheetFormatPr defaultColWidth="9.1796875" defaultRowHeight="14.5"/>
  <cols>
    <col min="1" max="2" width="8.81640625" style="100" customWidth="1"/>
    <col min="3" max="3" width="8.81640625" style="100" bestFit="1" customWidth="1"/>
    <col min="4" max="4" width="27.26953125" style="100" customWidth="1"/>
    <col min="5" max="5" width="13.81640625" style="68" customWidth="1"/>
    <col min="6" max="6" width="8.81640625" style="100" bestFit="1" customWidth="1"/>
    <col min="7" max="7" width="10" style="100" customWidth="1"/>
    <col min="8" max="8" width="25.54296875" style="100" customWidth="1"/>
    <col min="9" max="9" width="11.26953125" style="59" customWidth="1"/>
    <col min="10" max="10" width="12" style="59" customWidth="1"/>
    <col min="11" max="11" width="9.26953125" style="100" customWidth="1"/>
    <col min="12" max="12" width="14.1796875" style="100" customWidth="1"/>
    <col min="13" max="13" width="10.26953125" style="100" customWidth="1"/>
    <col min="14" max="14" width="22.26953125" style="157" customWidth="1"/>
    <col min="15" max="15" width="12.54296875" style="100" customWidth="1"/>
    <col min="16" max="16" width="9.1796875" style="100"/>
    <col min="17" max="17" width="13.26953125" style="101" customWidth="1"/>
    <col min="18" max="18" width="11.26953125" style="100" bestFit="1" customWidth="1"/>
    <col min="19" max="20" width="9.1796875" style="100"/>
    <col min="21" max="21" width="12.54296875" style="100" bestFit="1" customWidth="1"/>
    <col min="22" max="22" width="14.26953125" style="101" customWidth="1"/>
    <col min="23" max="23" width="10.26953125" style="100" bestFit="1" customWidth="1"/>
    <col min="24" max="16384" width="9.1796875" style="100"/>
  </cols>
  <sheetData>
    <row r="2" spans="1:31" s="57" customFormat="1" ht="20.25" customHeight="1">
      <c r="A2" s="2112" t="s">
        <v>0</v>
      </c>
      <c r="B2" s="2112"/>
      <c r="C2" s="2112"/>
      <c r="D2" s="2112"/>
      <c r="E2" s="2113"/>
      <c r="F2" s="2112"/>
      <c r="G2" s="2112"/>
      <c r="H2" s="2112"/>
      <c r="I2" s="2112"/>
      <c r="J2" s="2112"/>
      <c r="K2" s="2114"/>
      <c r="L2" s="2112"/>
      <c r="M2" s="2113"/>
      <c r="N2" s="2115"/>
      <c r="O2" s="2114"/>
      <c r="P2" s="2112"/>
      <c r="Q2" s="2112"/>
      <c r="R2" s="2112"/>
      <c r="S2" s="2112"/>
      <c r="T2" s="2112"/>
      <c r="U2" s="2112"/>
      <c r="V2" s="53"/>
      <c r="W2" s="54"/>
      <c r="X2" s="52"/>
      <c r="Y2" s="55"/>
      <c r="Z2" s="56"/>
      <c r="AD2" s="58"/>
      <c r="AE2" s="59" t="s">
        <v>1</v>
      </c>
    </row>
    <row r="3" spans="1:31" s="57" customFormat="1" ht="20.25" customHeight="1">
      <c r="A3" s="2116" t="s">
        <v>2</v>
      </c>
      <c r="B3" s="2116"/>
      <c r="C3" s="2116"/>
      <c r="D3" s="2116"/>
      <c r="E3" s="2117"/>
      <c r="F3" s="2116"/>
      <c r="G3" s="2116"/>
      <c r="H3" s="2116"/>
      <c r="I3" s="2116"/>
      <c r="J3" s="2116"/>
      <c r="K3" s="2118"/>
      <c r="L3" s="2116"/>
      <c r="M3" s="2117"/>
      <c r="N3" s="2119"/>
      <c r="O3" s="2118"/>
      <c r="P3" s="2116"/>
      <c r="Q3" s="2116"/>
      <c r="R3" s="2116"/>
      <c r="S3" s="2116"/>
      <c r="T3" s="2116"/>
      <c r="U3" s="2116"/>
      <c r="V3" s="61"/>
      <c r="W3" s="62"/>
      <c r="X3" s="60"/>
      <c r="Y3" s="63"/>
      <c r="Z3" s="56"/>
      <c r="AD3" s="64"/>
      <c r="AE3" s="59" t="s">
        <v>3</v>
      </c>
    </row>
    <row r="4" spans="1:31" s="57" customFormat="1" ht="20.25" customHeight="1">
      <c r="A4" s="2116" t="s">
        <v>429</v>
      </c>
      <c r="B4" s="2116"/>
      <c r="C4" s="2116"/>
      <c r="D4" s="2116"/>
      <c r="E4" s="2117"/>
      <c r="F4" s="2116"/>
      <c r="G4" s="2116"/>
      <c r="H4" s="2116"/>
      <c r="I4" s="2116"/>
      <c r="J4" s="2116"/>
      <c r="K4" s="2118"/>
      <c r="L4" s="2116"/>
      <c r="M4" s="2117"/>
      <c r="N4" s="2119"/>
      <c r="O4" s="2118"/>
      <c r="P4" s="2116"/>
      <c r="Q4" s="2116"/>
      <c r="R4" s="2116"/>
      <c r="S4" s="2116"/>
      <c r="T4" s="2116"/>
      <c r="U4" s="2116"/>
      <c r="V4" s="61"/>
      <c r="W4" s="62"/>
      <c r="X4" s="60"/>
      <c r="Y4" s="63"/>
      <c r="Z4" s="56"/>
      <c r="AD4" s="65"/>
      <c r="AE4" s="59" t="s">
        <v>5</v>
      </c>
    </row>
    <row r="5" spans="1:31" s="57" customFormat="1" ht="6" customHeight="1">
      <c r="D5" s="66"/>
      <c r="E5" s="67"/>
      <c r="F5" s="67"/>
      <c r="G5" s="67"/>
      <c r="H5" s="66"/>
      <c r="I5" s="66"/>
      <c r="J5" s="66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</row>
    <row r="6" spans="1:31" s="79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61" t="s">
        <v>13</v>
      </c>
      <c r="J6" s="159" t="s">
        <v>14</v>
      </c>
      <c r="K6" s="159" t="s">
        <v>15</v>
      </c>
      <c r="L6" s="134" t="s">
        <v>16</v>
      </c>
      <c r="M6" s="134" t="s">
        <v>17</v>
      </c>
      <c r="N6" s="319" t="s">
        <v>18</v>
      </c>
      <c r="O6" s="320" t="s">
        <v>19</v>
      </c>
      <c r="P6" s="134" t="s">
        <v>20</v>
      </c>
      <c r="Q6" s="321" t="s">
        <v>21</v>
      </c>
      <c r="R6" s="74" t="s">
        <v>22</v>
      </c>
      <c r="S6" s="74" t="s">
        <v>23</v>
      </c>
      <c r="T6" s="74" t="s">
        <v>24</v>
      </c>
      <c r="U6" s="78" t="s">
        <v>25</v>
      </c>
      <c r="V6" s="134" t="s">
        <v>26</v>
      </c>
      <c r="Z6" s="72" t="s">
        <v>27</v>
      </c>
      <c r="AA6" s="80" t="s">
        <v>28</v>
      </c>
      <c r="AB6" s="74" t="s">
        <v>29</v>
      </c>
      <c r="AC6" s="72" t="s">
        <v>30</v>
      </c>
    </row>
    <row r="7" spans="1:31" s="82" customFormat="1" ht="13">
      <c r="A7" s="81">
        <f>ROW()-6</f>
        <v>1</v>
      </c>
      <c r="B7" s="81">
        <v>1</v>
      </c>
      <c r="C7" s="258" t="s">
        <v>430</v>
      </c>
      <c r="D7" s="259" t="s">
        <v>43</v>
      </c>
      <c r="E7" s="260" t="s">
        <v>431</v>
      </c>
      <c r="F7" s="86">
        <v>1100</v>
      </c>
      <c r="G7" s="86">
        <v>1200</v>
      </c>
      <c r="H7" s="261" t="s">
        <v>432</v>
      </c>
      <c r="I7" s="261" t="s">
        <v>35</v>
      </c>
      <c r="J7" s="261" t="s">
        <v>36</v>
      </c>
      <c r="K7" s="315" t="s">
        <v>76</v>
      </c>
      <c r="L7" s="294"/>
      <c r="M7" s="295" t="s">
        <v>72</v>
      </c>
      <c r="N7" s="296" t="s">
        <v>433</v>
      </c>
      <c r="O7" s="276" t="s">
        <v>40</v>
      </c>
      <c r="P7" s="297"/>
      <c r="Q7" s="274"/>
      <c r="R7" s="275">
        <v>500000</v>
      </c>
      <c r="S7" s="162">
        <f>(G7-F7)/100</f>
        <v>1</v>
      </c>
      <c r="T7" s="259"/>
      <c r="U7" s="270">
        <f t="shared" ref="U7:U31" si="0">S7*R7*(100-P7)/100</f>
        <v>500000</v>
      </c>
      <c r="V7" s="347">
        <f t="shared" ref="V7:V14" si="1">U7</f>
        <v>500000</v>
      </c>
      <c r="W7" s="90"/>
      <c r="X7" s="91"/>
      <c r="Y7" s="90"/>
    </row>
    <row r="8" spans="1:31" s="82" customFormat="1" ht="13">
      <c r="A8" s="81">
        <f t="shared" ref="A8:A72" si="2">ROW()-6</f>
        <v>2</v>
      </c>
      <c r="B8" s="81">
        <v>2</v>
      </c>
      <c r="C8" s="258" t="s">
        <v>434</v>
      </c>
      <c r="D8" s="259" t="s">
        <v>43</v>
      </c>
      <c r="E8" s="260" t="s">
        <v>435</v>
      </c>
      <c r="F8" s="86">
        <v>900</v>
      </c>
      <c r="G8" s="86">
        <v>1000</v>
      </c>
      <c r="H8" s="261" t="s">
        <v>436</v>
      </c>
      <c r="I8" s="261" t="s">
        <v>35</v>
      </c>
      <c r="J8" s="261" t="s">
        <v>36</v>
      </c>
      <c r="K8" s="315" t="s">
        <v>76</v>
      </c>
      <c r="L8" s="294"/>
      <c r="M8" s="295" t="s">
        <v>124</v>
      </c>
      <c r="N8" s="296" t="s">
        <v>437</v>
      </c>
      <c r="O8" s="276" t="s">
        <v>40</v>
      </c>
      <c r="P8" s="297"/>
      <c r="Q8" s="274"/>
      <c r="R8" s="275">
        <v>500000</v>
      </c>
      <c r="S8" s="162">
        <f t="shared" ref="S8:S53" si="3">(G8-F8)/100</f>
        <v>1</v>
      </c>
      <c r="T8" s="259"/>
      <c r="U8" s="270">
        <f t="shared" si="0"/>
        <v>500000</v>
      </c>
      <c r="V8" s="347">
        <f t="shared" si="1"/>
        <v>500000</v>
      </c>
      <c r="W8" s="90"/>
      <c r="X8" s="91"/>
      <c r="Y8" s="90"/>
    </row>
    <row r="9" spans="1:31" s="82" customFormat="1" ht="13">
      <c r="A9" s="81">
        <f t="shared" si="2"/>
        <v>3</v>
      </c>
      <c r="B9" s="81">
        <v>3</v>
      </c>
      <c r="C9" s="258" t="s">
        <v>438</v>
      </c>
      <c r="D9" s="259" t="s">
        <v>75</v>
      </c>
      <c r="E9" s="260" t="s">
        <v>435</v>
      </c>
      <c r="F9" s="86">
        <v>900</v>
      </c>
      <c r="G9" s="86">
        <v>1000</v>
      </c>
      <c r="H9" s="293" t="s">
        <v>439</v>
      </c>
      <c r="I9" s="262" t="s">
        <v>35</v>
      </c>
      <c r="J9" s="262" t="s">
        <v>36</v>
      </c>
      <c r="K9" s="315" t="s">
        <v>76</v>
      </c>
      <c r="L9" s="294"/>
      <c r="M9" s="295" t="s">
        <v>124</v>
      </c>
      <c r="N9" s="296" t="s">
        <v>440</v>
      </c>
      <c r="O9" s="276" t="s">
        <v>40</v>
      </c>
      <c r="P9" s="297"/>
      <c r="Q9" s="298"/>
      <c r="R9" s="275">
        <v>500000</v>
      </c>
      <c r="S9" s="162">
        <f t="shared" si="3"/>
        <v>1</v>
      </c>
      <c r="T9" s="259"/>
      <c r="U9" s="270">
        <f t="shared" si="0"/>
        <v>500000</v>
      </c>
      <c r="V9" s="347">
        <f t="shared" si="1"/>
        <v>500000</v>
      </c>
      <c r="W9" s="90"/>
      <c r="X9" s="91"/>
      <c r="Y9" s="90"/>
    </row>
    <row r="10" spans="1:31" s="82" customFormat="1" ht="13">
      <c r="A10" s="81">
        <f t="shared" si="2"/>
        <v>4</v>
      </c>
      <c r="B10" s="81">
        <v>4</v>
      </c>
      <c r="C10" s="258" t="s">
        <v>441</v>
      </c>
      <c r="D10" s="259" t="s">
        <v>32</v>
      </c>
      <c r="E10" s="260" t="s">
        <v>435</v>
      </c>
      <c r="F10" s="86">
        <v>1600</v>
      </c>
      <c r="G10" s="86">
        <v>1700</v>
      </c>
      <c r="H10" s="293" t="s">
        <v>442</v>
      </c>
      <c r="I10" s="262" t="s">
        <v>35</v>
      </c>
      <c r="J10" s="262" t="s">
        <v>36</v>
      </c>
      <c r="K10" s="315" t="s">
        <v>443</v>
      </c>
      <c r="L10" s="294"/>
      <c r="M10" s="295" t="s">
        <v>124</v>
      </c>
      <c r="N10" s="296" t="s">
        <v>444</v>
      </c>
      <c r="O10" s="276" t="s">
        <v>40</v>
      </c>
      <c r="P10" s="297"/>
      <c r="Q10" s="298"/>
      <c r="R10" s="275">
        <v>950000</v>
      </c>
      <c r="S10" s="162">
        <f t="shared" si="3"/>
        <v>1</v>
      </c>
      <c r="T10" s="259"/>
      <c r="U10" s="270">
        <f>S10*R10*(100-P10)/100</f>
        <v>950000</v>
      </c>
      <c r="V10" s="347">
        <f t="shared" si="1"/>
        <v>950000</v>
      </c>
      <c r="W10" s="91"/>
      <c r="X10" s="91"/>
      <c r="Y10" s="90"/>
    </row>
    <row r="11" spans="1:31" s="82" customFormat="1" ht="13" hidden="1">
      <c r="A11" s="81">
        <f t="shared" si="2"/>
        <v>5</v>
      </c>
      <c r="B11" s="81">
        <v>5</v>
      </c>
      <c r="C11" s="94">
        <v>4115</v>
      </c>
      <c r="D11" s="259" t="s">
        <v>32</v>
      </c>
      <c r="E11" s="258" t="s">
        <v>445</v>
      </c>
      <c r="F11" s="86">
        <v>1600</v>
      </c>
      <c r="G11" s="86">
        <v>1700</v>
      </c>
      <c r="H11" s="94" t="s">
        <v>442</v>
      </c>
      <c r="I11" s="140" t="s">
        <v>35</v>
      </c>
      <c r="J11" s="140" t="s">
        <v>36</v>
      </c>
      <c r="K11" s="316">
        <v>9</v>
      </c>
      <c r="L11" s="132"/>
      <c r="M11" s="352" t="s">
        <v>124</v>
      </c>
      <c r="N11" s="281" t="s">
        <v>446</v>
      </c>
      <c r="O11" s="276" t="s">
        <v>174</v>
      </c>
      <c r="P11" s="132"/>
      <c r="Q11" s="298"/>
      <c r="R11" s="275"/>
      <c r="S11" s="162">
        <f t="shared" si="3"/>
        <v>1</v>
      </c>
      <c r="T11" s="94"/>
      <c r="U11" s="270">
        <f t="shared" si="0"/>
        <v>0</v>
      </c>
      <c r="V11" s="124">
        <f t="shared" si="1"/>
        <v>0</v>
      </c>
      <c r="W11" s="83"/>
    </row>
    <row r="12" spans="1:31" s="82" customFormat="1" ht="13">
      <c r="A12" s="81">
        <f t="shared" si="2"/>
        <v>6</v>
      </c>
      <c r="B12" s="81">
        <v>6</v>
      </c>
      <c r="C12" s="258" t="s">
        <v>447</v>
      </c>
      <c r="D12" s="259" t="s">
        <v>43</v>
      </c>
      <c r="E12" s="258" t="s">
        <v>435</v>
      </c>
      <c r="F12" s="86">
        <v>1000</v>
      </c>
      <c r="G12" s="86">
        <v>1100</v>
      </c>
      <c r="H12" s="261" t="s">
        <v>45</v>
      </c>
      <c r="I12" s="261" t="s">
        <v>35</v>
      </c>
      <c r="J12" s="261" t="s">
        <v>36</v>
      </c>
      <c r="K12" s="315" t="s">
        <v>56</v>
      </c>
      <c r="L12" s="348" t="s">
        <v>448</v>
      </c>
      <c r="M12" s="355" t="s">
        <v>47</v>
      </c>
      <c r="N12" s="350" t="s">
        <v>449</v>
      </c>
      <c r="O12" s="276" t="s">
        <v>40</v>
      </c>
      <c r="P12" s="297"/>
      <c r="Q12" s="298"/>
      <c r="R12" s="275">
        <v>500000</v>
      </c>
      <c r="S12" s="162">
        <f t="shared" si="3"/>
        <v>1</v>
      </c>
      <c r="T12" s="259"/>
      <c r="U12" s="270">
        <f t="shared" si="0"/>
        <v>500000</v>
      </c>
      <c r="V12" s="347">
        <f t="shared" si="1"/>
        <v>500000</v>
      </c>
      <c r="W12" s="90"/>
      <c r="X12" s="91"/>
      <c r="Y12" s="90"/>
    </row>
    <row r="13" spans="1:31" s="82" customFormat="1" ht="13">
      <c r="A13" s="81">
        <f t="shared" si="2"/>
        <v>7</v>
      </c>
      <c r="B13" s="81">
        <v>7</v>
      </c>
      <c r="C13" s="94">
        <v>4113</v>
      </c>
      <c r="D13" s="259" t="s">
        <v>43</v>
      </c>
      <c r="E13" s="258" t="s">
        <v>445</v>
      </c>
      <c r="F13" s="86">
        <v>1200</v>
      </c>
      <c r="G13" s="86">
        <v>1245</v>
      </c>
      <c r="H13" s="94" t="s">
        <v>436</v>
      </c>
      <c r="I13" s="140" t="s">
        <v>35</v>
      </c>
      <c r="J13" s="140" t="s">
        <v>36</v>
      </c>
      <c r="K13" s="315" t="s">
        <v>450</v>
      </c>
      <c r="L13" s="132"/>
      <c r="M13" s="353" t="s">
        <v>124</v>
      </c>
      <c r="N13" s="281" t="s">
        <v>451</v>
      </c>
      <c r="O13" s="276" t="s">
        <v>40</v>
      </c>
      <c r="P13" s="297"/>
      <c r="Q13" s="298"/>
      <c r="R13" s="275">
        <v>500000</v>
      </c>
      <c r="S13" s="162">
        <f>(1275-F13)/100</f>
        <v>0.75</v>
      </c>
      <c r="T13" s="94"/>
      <c r="U13" s="270">
        <f t="shared" si="0"/>
        <v>375000</v>
      </c>
      <c r="V13" s="347">
        <f t="shared" si="1"/>
        <v>375000</v>
      </c>
    </row>
    <row r="14" spans="1:31" s="82" customFormat="1">
      <c r="A14" s="81">
        <f t="shared" si="2"/>
        <v>8</v>
      </c>
      <c r="B14" s="81">
        <v>8</v>
      </c>
      <c r="C14" s="258" t="s">
        <v>452</v>
      </c>
      <c r="D14" s="259" t="s">
        <v>43</v>
      </c>
      <c r="E14" s="258" t="s">
        <v>453</v>
      </c>
      <c r="F14" s="86">
        <v>1000</v>
      </c>
      <c r="G14" s="86">
        <v>1100</v>
      </c>
      <c r="H14" s="261" t="s">
        <v>436</v>
      </c>
      <c r="I14" s="140" t="s">
        <v>36</v>
      </c>
      <c r="J14" s="140" t="s">
        <v>36</v>
      </c>
      <c r="K14" s="315" t="s">
        <v>450</v>
      </c>
      <c r="L14" s="132"/>
      <c r="M14" s="132" t="s">
        <v>124</v>
      </c>
      <c r="N14" s="271" t="s">
        <v>454</v>
      </c>
      <c r="O14" s="276" t="s">
        <v>40</v>
      </c>
      <c r="P14" s="272"/>
      <c r="Q14" s="274"/>
      <c r="R14" s="275">
        <v>500000</v>
      </c>
      <c r="S14" s="162">
        <f t="shared" si="3"/>
        <v>1</v>
      </c>
      <c r="T14" s="259"/>
      <c r="U14" s="270">
        <f t="shared" si="0"/>
        <v>500000</v>
      </c>
      <c r="V14" s="347">
        <f t="shared" si="1"/>
        <v>500000</v>
      </c>
      <c r="W14" s="90"/>
      <c r="X14" s="91"/>
      <c r="Y14" s="90"/>
    </row>
    <row r="15" spans="1:31" s="82" customFormat="1" ht="14">
      <c r="A15" s="263">
        <f t="shared" si="2"/>
        <v>9</v>
      </c>
      <c r="B15" s="263">
        <v>9</v>
      </c>
      <c r="C15" s="264" t="s">
        <v>455</v>
      </c>
      <c r="D15" s="265" t="s">
        <v>43</v>
      </c>
      <c r="E15" s="264" t="s">
        <v>445</v>
      </c>
      <c r="F15" s="266">
        <v>1100</v>
      </c>
      <c r="G15" s="266">
        <v>1200</v>
      </c>
      <c r="H15" s="267" t="s">
        <v>436</v>
      </c>
      <c r="I15" s="268" t="s">
        <v>36</v>
      </c>
      <c r="J15" s="268" t="s">
        <v>36</v>
      </c>
      <c r="K15" s="317" t="s">
        <v>450</v>
      </c>
      <c r="L15" s="132"/>
      <c r="M15" s="299" t="s">
        <v>124</v>
      </c>
      <c r="N15" s="324" t="s">
        <v>456</v>
      </c>
      <c r="O15" s="300" t="s">
        <v>40</v>
      </c>
      <c r="P15" s="301"/>
      <c r="Q15" s="302"/>
      <c r="R15" s="275">
        <v>500000</v>
      </c>
      <c r="S15" s="162">
        <f t="shared" si="3"/>
        <v>1</v>
      </c>
      <c r="T15" s="265"/>
      <c r="U15" s="273">
        <f>S15*R15*(100-P15)/100</f>
        <v>500000</v>
      </c>
      <c r="V15" s="347">
        <f>U15</f>
        <v>500000</v>
      </c>
      <c r="W15" s="90"/>
      <c r="X15" s="91"/>
      <c r="Y15" s="90"/>
    </row>
    <row r="16" spans="1:31" s="82" customFormat="1" hidden="1">
      <c r="A16" s="81">
        <f t="shared" si="2"/>
        <v>10</v>
      </c>
      <c r="B16" s="81">
        <v>10</v>
      </c>
      <c r="C16" s="258" t="s">
        <v>457</v>
      </c>
      <c r="D16" s="259" t="s">
        <v>32</v>
      </c>
      <c r="E16" s="258" t="s">
        <v>453</v>
      </c>
      <c r="F16" s="86">
        <v>1000</v>
      </c>
      <c r="G16" s="86">
        <v>1100</v>
      </c>
      <c r="H16" s="261" t="s">
        <v>458</v>
      </c>
      <c r="I16" s="140" t="s">
        <v>36</v>
      </c>
      <c r="J16" s="140" t="s">
        <v>36</v>
      </c>
      <c r="K16" s="315" t="s">
        <v>450</v>
      </c>
      <c r="L16" s="132"/>
      <c r="M16" s="132" t="s">
        <v>124</v>
      </c>
      <c r="N16" s="325" t="s">
        <v>459</v>
      </c>
      <c r="O16" s="276" t="s">
        <v>174</v>
      </c>
      <c r="P16" s="272"/>
      <c r="Q16" s="298"/>
      <c r="R16" s="275"/>
      <c r="S16" s="162">
        <f t="shared" si="3"/>
        <v>1</v>
      </c>
      <c r="T16" s="259"/>
      <c r="U16" s="270">
        <f t="shared" si="0"/>
        <v>0</v>
      </c>
      <c r="V16" s="124">
        <f t="shared" ref="V16:V55" si="4">Q16+((S16-8)*R16)</f>
        <v>0</v>
      </c>
      <c r="W16" s="90"/>
      <c r="X16" s="91"/>
      <c r="Y16" s="90"/>
    </row>
    <row r="17" spans="1:25" s="82" customFormat="1" hidden="1">
      <c r="A17" s="81">
        <f t="shared" si="2"/>
        <v>11</v>
      </c>
      <c r="B17" s="81">
        <v>11</v>
      </c>
      <c r="C17" s="258" t="s">
        <v>460</v>
      </c>
      <c r="D17" s="259" t="s">
        <v>32</v>
      </c>
      <c r="E17" s="258" t="s">
        <v>445</v>
      </c>
      <c r="F17" s="86">
        <v>1100</v>
      </c>
      <c r="G17" s="86">
        <v>1200</v>
      </c>
      <c r="H17" s="261" t="s">
        <v>458</v>
      </c>
      <c r="I17" s="140" t="s">
        <v>36</v>
      </c>
      <c r="J17" s="140" t="s">
        <v>36</v>
      </c>
      <c r="K17" s="315" t="s">
        <v>450</v>
      </c>
      <c r="L17" s="132"/>
      <c r="M17" s="132" t="s">
        <v>124</v>
      </c>
      <c r="N17" s="271" t="s">
        <v>461</v>
      </c>
      <c r="O17" s="276" t="s">
        <v>174</v>
      </c>
      <c r="P17" s="272"/>
      <c r="Q17" s="274"/>
      <c r="R17" s="275"/>
      <c r="S17" s="162">
        <f t="shared" si="3"/>
        <v>1</v>
      </c>
      <c r="T17" s="259"/>
      <c r="U17" s="270">
        <f t="shared" si="0"/>
        <v>0</v>
      </c>
      <c r="V17" s="124">
        <f>U17</f>
        <v>0</v>
      </c>
      <c r="W17" s="90"/>
      <c r="X17" s="91"/>
      <c r="Y17" s="90"/>
    </row>
    <row r="18" spans="1:25" s="82" customFormat="1">
      <c r="A18" s="81">
        <f t="shared" si="2"/>
        <v>12</v>
      </c>
      <c r="B18" s="81">
        <v>12</v>
      </c>
      <c r="C18" s="258" t="s">
        <v>462</v>
      </c>
      <c r="D18" s="259" t="s">
        <v>43</v>
      </c>
      <c r="E18" s="258" t="s">
        <v>463</v>
      </c>
      <c r="F18" s="86">
        <v>1100</v>
      </c>
      <c r="G18" s="86">
        <v>1200</v>
      </c>
      <c r="H18" s="261" t="s">
        <v>240</v>
      </c>
      <c r="I18" s="140" t="s">
        <v>35</v>
      </c>
      <c r="J18" s="140" t="s">
        <v>36</v>
      </c>
      <c r="K18" s="315" t="s">
        <v>366</v>
      </c>
      <c r="L18" s="132"/>
      <c r="M18" s="295" t="s">
        <v>242</v>
      </c>
      <c r="N18" s="271" t="s">
        <v>464</v>
      </c>
      <c r="O18" s="276" t="s">
        <v>40</v>
      </c>
      <c r="P18" s="272"/>
      <c r="Q18" s="303"/>
      <c r="R18" s="275">
        <v>500000</v>
      </c>
      <c r="S18" s="162">
        <f t="shared" si="3"/>
        <v>1</v>
      </c>
      <c r="T18" s="94"/>
      <c r="U18" s="270">
        <f t="shared" si="0"/>
        <v>500000</v>
      </c>
      <c r="V18" s="347">
        <f>U18</f>
        <v>500000</v>
      </c>
    </row>
    <row r="19" spans="1:25" s="82" customFormat="1" hidden="1">
      <c r="A19" s="81">
        <f t="shared" si="2"/>
        <v>13</v>
      </c>
      <c r="B19" s="81">
        <v>13</v>
      </c>
      <c r="C19" s="258" t="s">
        <v>465</v>
      </c>
      <c r="D19" s="259" t="s">
        <v>75</v>
      </c>
      <c r="E19" s="258" t="s">
        <v>466</v>
      </c>
      <c r="F19" s="86">
        <v>1600</v>
      </c>
      <c r="G19" s="86">
        <v>1700</v>
      </c>
      <c r="H19" s="261" t="s">
        <v>97</v>
      </c>
      <c r="I19" s="140" t="s">
        <v>35</v>
      </c>
      <c r="J19" s="140" t="s">
        <v>36</v>
      </c>
      <c r="K19" s="315" t="s">
        <v>56</v>
      </c>
      <c r="L19" s="132"/>
      <c r="M19" s="352" t="s">
        <v>72</v>
      </c>
      <c r="N19" s="271" t="s">
        <v>467</v>
      </c>
      <c r="O19" s="276" t="s">
        <v>40</v>
      </c>
      <c r="P19" s="297">
        <v>100</v>
      </c>
      <c r="Q19" s="274"/>
      <c r="R19" s="275">
        <v>500000</v>
      </c>
      <c r="S19" s="162">
        <f t="shared" si="3"/>
        <v>1</v>
      </c>
      <c r="T19" s="259"/>
      <c r="U19" s="270">
        <f t="shared" si="0"/>
        <v>0</v>
      </c>
      <c r="V19" s="347">
        <f t="shared" ref="V19:V25" si="5">U19</f>
        <v>0</v>
      </c>
      <c r="W19" s="90"/>
      <c r="X19" s="91"/>
      <c r="Y19" s="90"/>
    </row>
    <row r="20" spans="1:25" s="82" customFormat="1">
      <c r="A20" s="81">
        <f t="shared" si="2"/>
        <v>14</v>
      </c>
      <c r="B20" s="81">
        <v>14</v>
      </c>
      <c r="C20" s="87" t="s">
        <v>468</v>
      </c>
      <c r="D20" s="88" t="s">
        <v>43</v>
      </c>
      <c r="E20" s="87" t="s">
        <v>466</v>
      </c>
      <c r="F20" s="86">
        <v>1300</v>
      </c>
      <c r="G20" s="86">
        <v>1400</v>
      </c>
      <c r="H20" s="89" t="s">
        <v>469</v>
      </c>
      <c r="I20" s="140" t="s">
        <v>36</v>
      </c>
      <c r="J20" s="140" t="s">
        <v>36</v>
      </c>
      <c r="K20" s="318" t="s">
        <v>133</v>
      </c>
      <c r="L20" s="349" t="s">
        <v>470</v>
      </c>
      <c r="M20" s="94" t="s">
        <v>47</v>
      </c>
      <c r="N20" s="351" t="s">
        <v>471</v>
      </c>
      <c r="O20" s="306" t="s">
        <v>40</v>
      </c>
      <c r="P20" s="304"/>
      <c r="Q20" s="307"/>
      <c r="R20" s="275">
        <v>500000</v>
      </c>
      <c r="S20" s="162">
        <f t="shared" si="3"/>
        <v>1</v>
      </c>
      <c r="T20" s="88"/>
      <c r="U20" s="122">
        <f t="shared" si="0"/>
        <v>500000</v>
      </c>
      <c r="V20" s="347">
        <f t="shared" si="5"/>
        <v>500000</v>
      </c>
      <c r="W20" s="90"/>
      <c r="X20" s="91"/>
      <c r="Y20" s="90"/>
    </row>
    <row r="21" spans="1:25" s="82" customFormat="1">
      <c r="A21" s="81">
        <f t="shared" si="2"/>
        <v>15</v>
      </c>
      <c r="B21" s="81">
        <v>15</v>
      </c>
      <c r="C21" s="87" t="s">
        <v>472</v>
      </c>
      <c r="D21" s="88" t="s">
        <v>43</v>
      </c>
      <c r="E21" s="87" t="s">
        <v>466</v>
      </c>
      <c r="F21" s="86">
        <v>900</v>
      </c>
      <c r="G21" s="86">
        <v>1000</v>
      </c>
      <c r="H21" s="89" t="s">
        <v>45</v>
      </c>
      <c r="I21" s="140" t="s">
        <v>35</v>
      </c>
      <c r="J21" s="140" t="s">
        <v>36</v>
      </c>
      <c r="K21" s="318" t="s">
        <v>56</v>
      </c>
      <c r="L21" s="304"/>
      <c r="M21" s="354" t="s">
        <v>47</v>
      </c>
      <c r="N21" s="305" t="s">
        <v>473</v>
      </c>
      <c r="O21" s="306" t="s">
        <v>40</v>
      </c>
      <c r="P21" s="304"/>
      <c r="Q21" s="298"/>
      <c r="R21" s="275">
        <v>500000</v>
      </c>
      <c r="S21" s="162">
        <f t="shared" si="3"/>
        <v>1</v>
      </c>
      <c r="T21" s="88"/>
      <c r="U21" s="122">
        <f t="shared" si="0"/>
        <v>500000</v>
      </c>
      <c r="V21" s="347">
        <f t="shared" si="5"/>
        <v>500000</v>
      </c>
      <c r="W21" s="90"/>
      <c r="X21" s="91"/>
      <c r="Y21" s="90"/>
    </row>
    <row r="22" spans="1:25" s="82" customFormat="1">
      <c r="A22" s="81">
        <f t="shared" si="2"/>
        <v>16</v>
      </c>
      <c r="B22" s="81">
        <v>16</v>
      </c>
      <c r="C22" s="87" t="s">
        <v>474</v>
      </c>
      <c r="D22" s="88" t="s">
        <v>75</v>
      </c>
      <c r="E22" s="87" t="s">
        <v>475</v>
      </c>
      <c r="F22" s="86">
        <v>1400</v>
      </c>
      <c r="G22" s="86">
        <v>1600</v>
      </c>
      <c r="H22" s="89" t="s">
        <v>45</v>
      </c>
      <c r="I22" s="140" t="s">
        <v>35</v>
      </c>
      <c r="J22" s="140" t="s">
        <v>36</v>
      </c>
      <c r="K22" s="318" t="s">
        <v>56</v>
      </c>
      <c r="L22" s="304"/>
      <c r="M22" s="132" t="s">
        <v>47</v>
      </c>
      <c r="N22" s="305" t="s">
        <v>476</v>
      </c>
      <c r="O22" s="306" t="s">
        <v>40</v>
      </c>
      <c r="P22" s="298"/>
      <c r="Q22" s="298"/>
      <c r="R22" s="275">
        <v>500000</v>
      </c>
      <c r="S22" s="162">
        <f t="shared" si="3"/>
        <v>2</v>
      </c>
      <c r="T22" s="94"/>
      <c r="U22" s="122">
        <f t="shared" si="0"/>
        <v>1000000</v>
      </c>
      <c r="V22" s="347">
        <f t="shared" si="5"/>
        <v>1000000</v>
      </c>
    </row>
    <row r="23" spans="1:25" s="82" customFormat="1">
      <c r="A23" s="81">
        <f t="shared" si="2"/>
        <v>17</v>
      </c>
      <c r="B23" s="81">
        <v>17</v>
      </c>
      <c r="C23" s="87" t="s">
        <v>477</v>
      </c>
      <c r="D23" s="88" t="s">
        <v>43</v>
      </c>
      <c r="E23" s="87" t="s">
        <v>475</v>
      </c>
      <c r="F23" s="86">
        <v>1030</v>
      </c>
      <c r="G23" s="86">
        <v>1500</v>
      </c>
      <c r="H23" s="89" t="s">
        <v>71</v>
      </c>
      <c r="I23" s="140" t="s">
        <v>35</v>
      </c>
      <c r="J23" s="140" t="s">
        <v>36</v>
      </c>
      <c r="K23" s="318" t="s">
        <v>56</v>
      </c>
      <c r="L23" s="304"/>
      <c r="M23" s="295" t="s">
        <v>72</v>
      </c>
      <c r="N23" s="305" t="s">
        <v>478</v>
      </c>
      <c r="O23" s="306" t="s">
        <v>40</v>
      </c>
      <c r="P23" s="304"/>
      <c r="Q23" s="298">
        <f>R23*3</f>
        <v>1500000</v>
      </c>
      <c r="R23" s="275">
        <v>500000</v>
      </c>
      <c r="S23" s="162">
        <f>(G23-1050)/100</f>
        <v>4.5</v>
      </c>
      <c r="T23" s="88"/>
      <c r="U23" s="122">
        <f t="shared" si="0"/>
        <v>2250000</v>
      </c>
      <c r="V23" s="347">
        <f>Q23+((S23-4)*R23)</f>
        <v>1750000</v>
      </c>
      <c r="W23" s="90"/>
      <c r="X23" s="91"/>
      <c r="Y23" s="90"/>
    </row>
    <row r="24" spans="1:25" s="82" customFormat="1">
      <c r="A24" s="81">
        <f t="shared" si="2"/>
        <v>18</v>
      </c>
      <c r="B24" s="81">
        <v>18</v>
      </c>
      <c r="C24" s="258" t="s">
        <v>479</v>
      </c>
      <c r="D24" s="259" t="s">
        <v>43</v>
      </c>
      <c r="E24" s="258" t="s">
        <v>480</v>
      </c>
      <c r="F24" s="86">
        <v>1000</v>
      </c>
      <c r="G24" s="86">
        <v>1200</v>
      </c>
      <c r="H24" s="261" t="s">
        <v>45</v>
      </c>
      <c r="I24" s="140" t="s">
        <v>35</v>
      </c>
      <c r="J24" s="140" t="s">
        <v>36</v>
      </c>
      <c r="K24" s="315" t="s">
        <v>56</v>
      </c>
      <c r="L24" s="132"/>
      <c r="M24" s="132" t="s">
        <v>47</v>
      </c>
      <c r="N24" s="271" t="s">
        <v>481</v>
      </c>
      <c r="O24" s="276" t="s">
        <v>40</v>
      </c>
      <c r="P24" s="272"/>
      <c r="Q24" s="274"/>
      <c r="R24" s="275">
        <v>500000</v>
      </c>
      <c r="S24" s="162">
        <f t="shared" si="3"/>
        <v>2</v>
      </c>
      <c r="T24" s="259"/>
      <c r="U24" s="270">
        <f t="shared" si="0"/>
        <v>1000000</v>
      </c>
      <c r="V24" s="347">
        <f t="shared" si="5"/>
        <v>1000000</v>
      </c>
      <c r="W24" s="90"/>
      <c r="X24" s="91"/>
      <c r="Y24" s="90"/>
    </row>
    <row r="25" spans="1:25" s="82" customFormat="1" hidden="1">
      <c r="A25" s="81">
        <f t="shared" si="2"/>
        <v>19</v>
      </c>
      <c r="B25" s="81">
        <v>19</v>
      </c>
      <c r="C25" s="258" t="s">
        <v>482</v>
      </c>
      <c r="D25" s="259" t="s">
        <v>43</v>
      </c>
      <c r="E25" s="258" t="s">
        <v>480</v>
      </c>
      <c r="F25" s="86">
        <v>930</v>
      </c>
      <c r="G25" s="86">
        <v>1000</v>
      </c>
      <c r="H25" s="261" t="s">
        <v>483</v>
      </c>
      <c r="I25" s="140" t="s">
        <v>35</v>
      </c>
      <c r="J25" s="140" t="s">
        <v>36</v>
      </c>
      <c r="K25" s="315" t="s">
        <v>56</v>
      </c>
      <c r="L25" s="132"/>
      <c r="M25" s="295" t="s">
        <v>484</v>
      </c>
      <c r="N25" s="271" t="s">
        <v>485</v>
      </c>
      <c r="O25" s="276" t="s">
        <v>40</v>
      </c>
      <c r="P25" s="298">
        <v>100</v>
      </c>
      <c r="Q25" s="303"/>
      <c r="R25" s="275">
        <v>500000</v>
      </c>
      <c r="S25" s="162">
        <f>(G25-950)/100</f>
        <v>0.5</v>
      </c>
      <c r="T25" s="94"/>
      <c r="U25" s="270">
        <f t="shared" si="0"/>
        <v>0</v>
      </c>
      <c r="V25" s="347">
        <f t="shared" si="5"/>
        <v>0</v>
      </c>
    </row>
    <row r="26" spans="1:25" s="82" customFormat="1">
      <c r="A26" s="81">
        <f t="shared" si="2"/>
        <v>20</v>
      </c>
      <c r="B26" s="81">
        <v>20</v>
      </c>
      <c r="C26" s="258" t="s">
        <v>486</v>
      </c>
      <c r="D26" s="259" t="s">
        <v>43</v>
      </c>
      <c r="E26" s="258" t="s">
        <v>480</v>
      </c>
      <c r="F26" s="86">
        <v>1400</v>
      </c>
      <c r="G26" s="86">
        <v>1500</v>
      </c>
      <c r="H26" s="261" t="s">
        <v>45</v>
      </c>
      <c r="I26" s="140" t="s">
        <v>35</v>
      </c>
      <c r="J26" s="140" t="s">
        <v>36</v>
      </c>
      <c r="K26" s="315" t="s">
        <v>56</v>
      </c>
      <c r="L26" s="132"/>
      <c r="M26" s="132" t="s">
        <v>47</v>
      </c>
      <c r="N26" s="271" t="s">
        <v>487</v>
      </c>
      <c r="O26" s="276" t="s">
        <v>40</v>
      </c>
      <c r="P26" s="298"/>
      <c r="Q26" s="274"/>
      <c r="R26" s="275">
        <v>500000</v>
      </c>
      <c r="S26" s="162">
        <f t="shared" si="3"/>
        <v>1</v>
      </c>
      <c r="T26" s="259"/>
      <c r="U26" s="270">
        <f t="shared" si="0"/>
        <v>500000</v>
      </c>
      <c r="V26" s="347">
        <f t="shared" ref="V26:V31" si="6">U26</f>
        <v>500000</v>
      </c>
      <c r="W26" s="90"/>
      <c r="X26" s="91"/>
      <c r="Y26" s="90"/>
    </row>
    <row r="27" spans="1:25" s="82" customFormat="1">
      <c r="A27" s="81">
        <f t="shared" si="2"/>
        <v>21</v>
      </c>
      <c r="B27" s="81">
        <v>21</v>
      </c>
      <c r="C27" s="258" t="s">
        <v>488</v>
      </c>
      <c r="D27" s="259" t="s">
        <v>75</v>
      </c>
      <c r="E27" s="258" t="s">
        <v>489</v>
      </c>
      <c r="F27" s="86">
        <v>1030</v>
      </c>
      <c r="G27" s="86">
        <v>1100</v>
      </c>
      <c r="H27" s="261" t="s">
        <v>45</v>
      </c>
      <c r="I27" s="140" t="s">
        <v>35</v>
      </c>
      <c r="J27" s="140" t="s">
        <v>36</v>
      </c>
      <c r="K27" s="315" t="s">
        <v>56</v>
      </c>
      <c r="L27" s="132"/>
      <c r="M27" s="132" t="s">
        <v>47</v>
      </c>
      <c r="N27" s="277">
        <v>45264.490752314814</v>
      </c>
      <c r="O27" s="276" t="s">
        <v>40</v>
      </c>
      <c r="P27" s="298"/>
      <c r="Q27" s="298"/>
      <c r="R27" s="275">
        <v>500000</v>
      </c>
      <c r="S27" s="162">
        <f>(G27-1050)/100</f>
        <v>0.5</v>
      </c>
      <c r="T27" s="94"/>
      <c r="U27" s="270">
        <f t="shared" si="0"/>
        <v>250000</v>
      </c>
      <c r="V27" s="347">
        <f t="shared" si="6"/>
        <v>250000</v>
      </c>
    </row>
    <row r="28" spans="1:25" s="82" customFormat="1">
      <c r="A28" s="81">
        <f t="shared" si="2"/>
        <v>22</v>
      </c>
      <c r="B28" s="81">
        <v>22</v>
      </c>
      <c r="C28" s="87" t="s">
        <v>490</v>
      </c>
      <c r="D28" s="88" t="s">
        <v>75</v>
      </c>
      <c r="E28" s="87" t="s">
        <v>491</v>
      </c>
      <c r="F28" s="86">
        <v>1100</v>
      </c>
      <c r="G28" s="86">
        <v>1230</v>
      </c>
      <c r="H28" s="89" t="s">
        <v>45</v>
      </c>
      <c r="I28" s="140" t="s">
        <v>35</v>
      </c>
      <c r="J28" s="140" t="s">
        <v>36</v>
      </c>
      <c r="K28" s="318" t="s">
        <v>56</v>
      </c>
      <c r="L28" s="304"/>
      <c r="M28" s="132" t="s">
        <v>47</v>
      </c>
      <c r="N28" s="344">
        <v>45264.490347222221</v>
      </c>
      <c r="O28" s="306" t="s">
        <v>40</v>
      </c>
      <c r="P28" s="304"/>
      <c r="Q28" s="298"/>
      <c r="R28" s="275">
        <v>500000</v>
      </c>
      <c r="S28" s="162">
        <f>(1250-F28)/100</f>
        <v>1.5</v>
      </c>
      <c r="T28" s="88"/>
      <c r="U28" s="122">
        <f t="shared" si="0"/>
        <v>750000</v>
      </c>
      <c r="V28" s="347">
        <f t="shared" si="6"/>
        <v>750000</v>
      </c>
      <c r="W28" s="90"/>
      <c r="X28" s="91"/>
      <c r="Y28" s="90"/>
    </row>
    <row r="29" spans="1:25" s="82" customFormat="1" ht="26" hidden="1">
      <c r="A29" s="81">
        <f t="shared" si="2"/>
        <v>23</v>
      </c>
      <c r="B29" s="81">
        <v>23</v>
      </c>
      <c r="C29" s="258" t="s">
        <v>492</v>
      </c>
      <c r="D29" s="259" t="s">
        <v>32</v>
      </c>
      <c r="E29" s="258" t="s">
        <v>493</v>
      </c>
      <c r="F29" s="86">
        <v>1800</v>
      </c>
      <c r="G29" s="86">
        <v>1830</v>
      </c>
      <c r="H29" s="261" t="s">
        <v>494</v>
      </c>
      <c r="I29" s="140" t="s">
        <v>87</v>
      </c>
      <c r="J29" s="140" t="s">
        <v>88</v>
      </c>
      <c r="K29" s="315" t="s">
        <v>495</v>
      </c>
      <c r="L29" s="132"/>
      <c r="M29" s="295" t="s">
        <v>496</v>
      </c>
      <c r="N29" s="277">
        <v>45234.605821759258</v>
      </c>
      <c r="O29" s="276" t="s">
        <v>40</v>
      </c>
      <c r="P29" s="272">
        <v>100</v>
      </c>
      <c r="Q29" s="303"/>
      <c r="R29" s="346">
        <f>950000</f>
        <v>950000</v>
      </c>
      <c r="S29" s="162">
        <f>(1850-F29)/100</f>
        <v>0.5</v>
      </c>
      <c r="T29" s="94"/>
      <c r="U29" s="270">
        <f t="shared" si="0"/>
        <v>0</v>
      </c>
      <c r="V29" s="347">
        <f t="shared" si="6"/>
        <v>0</v>
      </c>
      <c r="W29" s="82" t="s">
        <v>497</v>
      </c>
    </row>
    <row r="30" spans="1:25" s="82" customFormat="1" ht="13">
      <c r="A30" s="81">
        <f t="shared" si="2"/>
        <v>24</v>
      </c>
      <c r="B30" s="81">
        <v>24</v>
      </c>
      <c r="C30" s="258" t="s">
        <v>498</v>
      </c>
      <c r="D30" s="259" t="s">
        <v>43</v>
      </c>
      <c r="E30" s="258" t="s">
        <v>489</v>
      </c>
      <c r="F30" s="86">
        <v>1500</v>
      </c>
      <c r="G30" s="86">
        <v>1730</v>
      </c>
      <c r="H30" s="261" t="s">
        <v>45</v>
      </c>
      <c r="I30" s="140" t="s">
        <v>35</v>
      </c>
      <c r="J30" s="140" t="s">
        <v>36</v>
      </c>
      <c r="K30" s="315" t="s">
        <v>366</v>
      </c>
      <c r="L30" s="132"/>
      <c r="M30" s="132" t="s">
        <v>47</v>
      </c>
      <c r="N30" s="278">
        <v>45234.479456018518</v>
      </c>
      <c r="O30" s="276" t="s">
        <v>40</v>
      </c>
      <c r="P30" s="298"/>
      <c r="Q30" s="303"/>
      <c r="R30" s="275">
        <v>500000</v>
      </c>
      <c r="S30" s="162">
        <f>(1750-F30)/100</f>
        <v>2.5</v>
      </c>
      <c r="T30" s="259"/>
      <c r="U30" s="270">
        <f>S30*R30*(100-P30)/100</f>
        <v>1250000</v>
      </c>
      <c r="V30" s="347">
        <f t="shared" si="6"/>
        <v>1250000</v>
      </c>
      <c r="W30" s="90"/>
      <c r="X30" s="91"/>
      <c r="Y30" s="90"/>
    </row>
    <row r="31" spans="1:25" s="82" customFormat="1" ht="26">
      <c r="A31" s="81">
        <f t="shared" si="2"/>
        <v>25</v>
      </c>
      <c r="B31" s="81">
        <v>25</v>
      </c>
      <c r="C31" s="258" t="s">
        <v>499</v>
      </c>
      <c r="D31" s="259" t="s">
        <v>43</v>
      </c>
      <c r="E31" s="258" t="s">
        <v>500</v>
      </c>
      <c r="F31" s="86">
        <v>900</v>
      </c>
      <c r="G31" s="86">
        <v>1100</v>
      </c>
      <c r="H31" s="261" t="s">
        <v>501</v>
      </c>
      <c r="I31" s="140" t="s">
        <v>35</v>
      </c>
      <c r="J31" s="140" t="s">
        <v>36</v>
      </c>
      <c r="K31" s="315" t="s">
        <v>366</v>
      </c>
      <c r="L31" s="132"/>
      <c r="M31" s="295" t="s">
        <v>255</v>
      </c>
      <c r="N31" s="278">
        <v>45234.421053240738</v>
      </c>
      <c r="O31" s="276" t="s">
        <v>40</v>
      </c>
      <c r="P31" s="298"/>
      <c r="Q31" s="308"/>
      <c r="R31" s="275">
        <v>500000</v>
      </c>
      <c r="S31" s="162">
        <f t="shared" si="3"/>
        <v>2</v>
      </c>
      <c r="T31" s="259"/>
      <c r="U31" s="270">
        <f t="shared" si="0"/>
        <v>1000000</v>
      </c>
      <c r="V31" s="347">
        <f t="shared" si="6"/>
        <v>1000000</v>
      </c>
      <c r="W31" s="90"/>
      <c r="X31" s="91"/>
      <c r="Y31" s="90"/>
    </row>
    <row r="32" spans="1:25" s="82" customFormat="1">
      <c r="A32" s="81">
        <f t="shared" si="2"/>
        <v>26</v>
      </c>
      <c r="B32" s="81">
        <v>26</v>
      </c>
      <c r="C32" s="258" t="s">
        <v>502</v>
      </c>
      <c r="D32" s="259" t="s">
        <v>43</v>
      </c>
      <c r="E32" s="258" t="s">
        <v>500</v>
      </c>
      <c r="F32" s="86">
        <v>1330</v>
      </c>
      <c r="G32" s="86">
        <v>1730</v>
      </c>
      <c r="H32" s="261" t="s">
        <v>45</v>
      </c>
      <c r="I32" s="140" t="s">
        <v>35</v>
      </c>
      <c r="J32" s="140" t="s">
        <v>36</v>
      </c>
      <c r="K32" s="315" t="s">
        <v>366</v>
      </c>
      <c r="L32" s="132"/>
      <c r="M32" s="132" t="s">
        <v>47</v>
      </c>
      <c r="N32" s="277">
        <v>45234.416643518518</v>
      </c>
      <c r="O32" s="276" t="s">
        <v>40</v>
      </c>
      <c r="P32" s="272"/>
      <c r="Q32" s="275">
        <f>R32*3</f>
        <v>1500000</v>
      </c>
      <c r="R32" s="275">
        <v>500000</v>
      </c>
      <c r="S32" s="162">
        <f t="shared" si="3"/>
        <v>4</v>
      </c>
      <c r="T32" s="259"/>
      <c r="U32" s="270">
        <f>S32*R32*(100-P32)/100</f>
        <v>2000000</v>
      </c>
      <c r="V32" s="347">
        <f>Q32</f>
        <v>1500000</v>
      </c>
      <c r="W32" s="90"/>
      <c r="X32" s="91"/>
      <c r="Y32" s="90"/>
    </row>
    <row r="33" spans="1:25" s="82" customFormat="1" ht="14">
      <c r="A33" s="81">
        <f t="shared" si="2"/>
        <v>27</v>
      </c>
      <c r="B33" s="81">
        <v>27</v>
      </c>
      <c r="C33" s="258" t="s">
        <v>503</v>
      </c>
      <c r="D33" s="259" t="s">
        <v>32</v>
      </c>
      <c r="E33" s="258" t="s">
        <v>493</v>
      </c>
      <c r="F33" s="86">
        <v>900</v>
      </c>
      <c r="G33" s="86">
        <v>1800</v>
      </c>
      <c r="H33" s="261" t="s">
        <v>45</v>
      </c>
      <c r="I33" s="140" t="s">
        <v>35</v>
      </c>
      <c r="J33" s="140" t="s">
        <v>36</v>
      </c>
      <c r="K33" s="315" t="s">
        <v>167</v>
      </c>
      <c r="L33" s="132"/>
      <c r="M33" s="132" t="s">
        <v>47</v>
      </c>
      <c r="N33" s="278">
        <v>45203.418576388889</v>
      </c>
      <c r="O33" s="276" t="s">
        <v>40</v>
      </c>
      <c r="P33" s="272"/>
      <c r="Q33" s="298">
        <f>R33*6</f>
        <v>5700000</v>
      </c>
      <c r="R33" s="275">
        <v>950000</v>
      </c>
      <c r="S33" s="162">
        <f t="shared" si="3"/>
        <v>9</v>
      </c>
      <c r="T33" s="259"/>
      <c r="U33" s="270">
        <f>S33*R33*(100-P33)/100</f>
        <v>8550000</v>
      </c>
      <c r="V33" s="347">
        <f>Q33+((S33-8)*R33)</f>
        <v>6650000</v>
      </c>
      <c r="W33" s="90"/>
      <c r="X33" s="91"/>
      <c r="Y33" s="90"/>
    </row>
    <row r="34" spans="1:25" s="82" customFormat="1" ht="14">
      <c r="A34" s="81">
        <f t="shared" si="2"/>
        <v>28</v>
      </c>
      <c r="B34" s="81">
        <v>28</v>
      </c>
      <c r="C34" s="258" t="s">
        <v>504</v>
      </c>
      <c r="D34" s="259" t="s">
        <v>32</v>
      </c>
      <c r="E34" s="258" t="s">
        <v>466</v>
      </c>
      <c r="F34" s="86">
        <v>900</v>
      </c>
      <c r="G34" s="86">
        <v>1800</v>
      </c>
      <c r="H34" s="261" t="s">
        <v>45</v>
      </c>
      <c r="I34" s="140" t="s">
        <v>35</v>
      </c>
      <c r="J34" s="140" t="s">
        <v>36</v>
      </c>
      <c r="K34" s="315" t="s">
        <v>167</v>
      </c>
      <c r="L34" s="132"/>
      <c r="M34" s="132" t="s">
        <v>47</v>
      </c>
      <c r="N34" s="278">
        <v>45203.418217592596</v>
      </c>
      <c r="O34" s="276" t="s">
        <v>40</v>
      </c>
      <c r="P34" s="272"/>
      <c r="Q34" s="298">
        <f>R34*6</f>
        <v>5700000</v>
      </c>
      <c r="R34" s="275">
        <v>950000</v>
      </c>
      <c r="S34" s="162">
        <f t="shared" si="3"/>
        <v>9</v>
      </c>
      <c r="T34" s="259"/>
      <c r="U34" s="270">
        <f>S34*R34*(100-P34)/100</f>
        <v>8550000</v>
      </c>
      <c r="V34" s="347">
        <f>Q34+((S34-8)*R34)</f>
        <v>6650000</v>
      </c>
      <c r="W34" s="90"/>
      <c r="X34" s="91"/>
      <c r="Y34" s="90"/>
    </row>
    <row r="35" spans="1:25" s="82" customFormat="1" ht="13" hidden="1">
      <c r="A35" s="81">
        <f t="shared" si="2"/>
        <v>29</v>
      </c>
      <c r="B35" s="81">
        <v>29</v>
      </c>
      <c r="C35" s="258" t="s">
        <v>505</v>
      </c>
      <c r="D35" s="259" t="s">
        <v>32</v>
      </c>
      <c r="E35" s="258" t="s">
        <v>493</v>
      </c>
      <c r="F35" s="86">
        <v>900</v>
      </c>
      <c r="G35" s="86">
        <v>1800</v>
      </c>
      <c r="H35" s="261" t="s">
        <v>45</v>
      </c>
      <c r="I35" s="140" t="s">
        <v>35</v>
      </c>
      <c r="J35" s="140" t="s">
        <v>36</v>
      </c>
      <c r="K35" s="315" t="s">
        <v>167</v>
      </c>
      <c r="L35" s="132"/>
      <c r="M35" s="132" t="s">
        <v>47</v>
      </c>
      <c r="N35" s="278">
        <v>45203.417280092595</v>
      </c>
      <c r="O35" s="276" t="s">
        <v>174</v>
      </c>
      <c r="P35" s="297"/>
      <c r="Q35" s="298"/>
      <c r="R35" s="275"/>
      <c r="S35" s="162">
        <f t="shared" si="3"/>
        <v>9</v>
      </c>
      <c r="T35" s="259"/>
      <c r="U35" s="270">
        <f>S35*R35*(100-P35)/100</f>
        <v>0</v>
      </c>
      <c r="V35" s="124">
        <f>U35</f>
        <v>0</v>
      </c>
      <c r="W35" s="90"/>
      <c r="X35" s="91"/>
      <c r="Y35" s="90"/>
    </row>
    <row r="36" spans="1:25" s="82" customFormat="1" hidden="1">
      <c r="A36" s="81">
        <f t="shared" si="2"/>
        <v>30</v>
      </c>
      <c r="B36" s="81">
        <v>30</v>
      </c>
      <c r="C36" s="258" t="s">
        <v>506</v>
      </c>
      <c r="D36" s="259" t="s">
        <v>32</v>
      </c>
      <c r="E36" s="269" t="s">
        <v>466</v>
      </c>
      <c r="F36" s="86">
        <v>900</v>
      </c>
      <c r="G36" s="86">
        <v>1800</v>
      </c>
      <c r="H36" s="261" t="s">
        <v>45</v>
      </c>
      <c r="I36" s="140" t="s">
        <v>35</v>
      </c>
      <c r="J36" s="140" t="s">
        <v>36</v>
      </c>
      <c r="K36" s="315" t="s">
        <v>167</v>
      </c>
      <c r="L36" s="132"/>
      <c r="M36" s="132" t="s">
        <v>47</v>
      </c>
      <c r="N36" s="277">
        <v>45203.416932870372</v>
      </c>
      <c r="O36" s="276" t="s">
        <v>174</v>
      </c>
      <c r="P36" s="297"/>
      <c r="Q36" s="303"/>
      <c r="R36" s="275"/>
      <c r="S36" s="162">
        <f t="shared" si="3"/>
        <v>9</v>
      </c>
      <c r="T36" s="259"/>
      <c r="U36" s="270">
        <f>S36*R36*(100-P36)/100</f>
        <v>0</v>
      </c>
      <c r="V36" s="124">
        <f>U36</f>
        <v>0</v>
      </c>
      <c r="W36" s="90"/>
      <c r="X36" s="91"/>
      <c r="Y36" s="90"/>
    </row>
    <row r="37" spans="1:25" s="82" customFormat="1" hidden="1">
      <c r="A37" s="81">
        <f t="shared" si="2"/>
        <v>31</v>
      </c>
      <c r="B37" s="81">
        <v>31</v>
      </c>
      <c r="C37" s="258" t="s">
        <v>507</v>
      </c>
      <c r="D37" s="259" t="s">
        <v>32</v>
      </c>
      <c r="E37" s="258" t="s">
        <v>493</v>
      </c>
      <c r="F37" s="86">
        <v>900</v>
      </c>
      <c r="G37" s="86">
        <v>1800</v>
      </c>
      <c r="H37" s="261" t="s">
        <v>45</v>
      </c>
      <c r="I37" s="140" t="s">
        <v>35</v>
      </c>
      <c r="J37" s="140" t="s">
        <v>36</v>
      </c>
      <c r="K37" s="315" t="s">
        <v>167</v>
      </c>
      <c r="L37" s="132" t="s">
        <v>508</v>
      </c>
      <c r="M37" s="295" t="s">
        <v>47</v>
      </c>
      <c r="N37" s="277">
        <v>45203.414641203701</v>
      </c>
      <c r="O37" s="276" t="s">
        <v>174</v>
      </c>
      <c r="P37" s="272"/>
      <c r="Q37" s="298"/>
      <c r="R37" s="275"/>
      <c r="S37" s="162">
        <f t="shared" si="3"/>
        <v>9</v>
      </c>
      <c r="T37" s="259"/>
      <c r="U37" s="270">
        <f t="shared" ref="U37:U72" si="7">S37*R37*(100-P37)/100</f>
        <v>0</v>
      </c>
      <c r="V37" s="124">
        <f t="shared" si="4"/>
        <v>0</v>
      </c>
      <c r="W37" s="90"/>
      <c r="X37" s="91"/>
      <c r="Y37" s="90"/>
    </row>
    <row r="38" spans="1:25" s="82" customFormat="1" hidden="1">
      <c r="A38" s="81">
        <f t="shared" si="2"/>
        <v>32</v>
      </c>
      <c r="B38" s="81">
        <v>32</v>
      </c>
      <c r="C38" s="258" t="s">
        <v>509</v>
      </c>
      <c r="D38" s="259" t="s">
        <v>32</v>
      </c>
      <c r="E38" s="258" t="s">
        <v>466</v>
      </c>
      <c r="F38" s="86">
        <v>900</v>
      </c>
      <c r="G38" s="86">
        <v>1800</v>
      </c>
      <c r="H38" s="261" t="s">
        <v>45</v>
      </c>
      <c r="I38" s="140" t="s">
        <v>35</v>
      </c>
      <c r="J38" s="140" t="s">
        <v>36</v>
      </c>
      <c r="K38" s="315" t="s">
        <v>167</v>
      </c>
      <c r="L38" s="132" t="s">
        <v>508</v>
      </c>
      <c r="M38" s="295" t="s">
        <v>47</v>
      </c>
      <c r="N38" s="277">
        <v>45203.414247685185</v>
      </c>
      <c r="O38" s="276" t="s">
        <v>174</v>
      </c>
      <c r="P38" s="272"/>
      <c r="Q38" s="298"/>
      <c r="R38" s="275"/>
      <c r="S38" s="162">
        <f t="shared" si="3"/>
        <v>9</v>
      </c>
      <c r="T38" s="259"/>
      <c r="U38" s="270">
        <f t="shared" si="7"/>
        <v>0</v>
      </c>
      <c r="V38" s="124">
        <f t="shared" si="4"/>
        <v>0</v>
      </c>
      <c r="W38" s="90"/>
      <c r="X38" s="91"/>
      <c r="Y38" s="90"/>
    </row>
    <row r="39" spans="1:25" s="82" customFormat="1">
      <c r="A39" s="81">
        <f t="shared" si="2"/>
        <v>33</v>
      </c>
      <c r="B39" s="81">
        <v>33</v>
      </c>
      <c r="C39" s="258" t="s">
        <v>510</v>
      </c>
      <c r="D39" s="259" t="s">
        <v>32</v>
      </c>
      <c r="E39" s="258" t="s">
        <v>511</v>
      </c>
      <c r="F39" s="86">
        <v>900</v>
      </c>
      <c r="G39" s="86">
        <v>1700</v>
      </c>
      <c r="H39" s="261" t="s">
        <v>512</v>
      </c>
      <c r="I39" s="140" t="s">
        <v>87</v>
      </c>
      <c r="J39" s="140" t="s">
        <v>88</v>
      </c>
      <c r="K39" s="315" t="s">
        <v>513</v>
      </c>
      <c r="L39" s="132"/>
      <c r="M39" s="295" t="s">
        <v>496</v>
      </c>
      <c r="N39" s="277">
        <v>45111.701215277775</v>
      </c>
      <c r="O39" s="276" t="s">
        <v>40</v>
      </c>
      <c r="P39" s="272"/>
      <c r="Q39" s="298">
        <f>R39*6</f>
        <v>5700000</v>
      </c>
      <c r="R39" s="346">
        <f>950000</f>
        <v>950000</v>
      </c>
      <c r="S39" s="162">
        <f t="shared" si="3"/>
        <v>8</v>
      </c>
      <c r="T39" s="259"/>
      <c r="U39" s="270">
        <f t="shared" si="7"/>
        <v>7600000</v>
      </c>
      <c r="V39" s="347">
        <f t="shared" si="4"/>
        <v>5700000</v>
      </c>
      <c r="W39" s="90"/>
      <c r="X39" s="90"/>
      <c r="Y39" s="90"/>
    </row>
    <row r="40" spans="1:25" s="82" customFormat="1">
      <c r="A40" s="81">
        <f t="shared" si="2"/>
        <v>34</v>
      </c>
      <c r="B40" s="81">
        <v>34</v>
      </c>
      <c r="C40" s="258" t="s">
        <v>514</v>
      </c>
      <c r="D40" s="259" t="s">
        <v>32</v>
      </c>
      <c r="E40" s="258" t="s">
        <v>463</v>
      </c>
      <c r="F40" s="86">
        <v>900</v>
      </c>
      <c r="G40" s="86">
        <v>1700</v>
      </c>
      <c r="H40" s="261" t="s">
        <v>512</v>
      </c>
      <c r="I40" s="140" t="s">
        <v>87</v>
      </c>
      <c r="J40" s="140" t="s">
        <v>88</v>
      </c>
      <c r="K40" s="315" t="s">
        <v>513</v>
      </c>
      <c r="L40" s="132"/>
      <c r="M40" s="295" t="s">
        <v>496</v>
      </c>
      <c r="N40" s="277">
        <v>45111.700694444444</v>
      </c>
      <c r="O40" s="276" t="s">
        <v>40</v>
      </c>
      <c r="P40" s="272"/>
      <c r="Q40" s="298">
        <f>R40*6</f>
        <v>5700000</v>
      </c>
      <c r="R40" s="346">
        <f>950000</f>
        <v>950000</v>
      </c>
      <c r="S40" s="162">
        <f t="shared" si="3"/>
        <v>8</v>
      </c>
      <c r="T40" s="94"/>
      <c r="U40" s="270">
        <f t="shared" si="7"/>
        <v>7600000</v>
      </c>
      <c r="V40" s="347">
        <f t="shared" si="4"/>
        <v>5700000</v>
      </c>
    </row>
    <row r="41" spans="1:25" s="82" customFormat="1" ht="26" hidden="1">
      <c r="A41" s="81">
        <f t="shared" si="2"/>
        <v>35</v>
      </c>
      <c r="B41" s="81">
        <v>35</v>
      </c>
      <c r="C41" s="258" t="s">
        <v>515</v>
      </c>
      <c r="D41" s="259" t="s">
        <v>43</v>
      </c>
      <c r="E41" s="258" t="s">
        <v>516</v>
      </c>
      <c r="F41" s="86">
        <v>1515</v>
      </c>
      <c r="G41" s="86">
        <v>1600</v>
      </c>
      <c r="H41" s="261" t="s">
        <v>517</v>
      </c>
      <c r="I41" s="140" t="s">
        <v>87</v>
      </c>
      <c r="J41" s="140" t="s">
        <v>88</v>
      </c>
      <c r="K41" s="315" t="s">
        <v>76</v>
      </c>
      <c r="L41" s="132"/>
      <c r="M41" s="295" t="s">
        <v>484</v>
      </c>
      <c r="N41" s="278">
        <v>45111.677337962959</v>
      </c>
      <c r="O41" s="276" t="s">
        <v>40</v>
      </c>
      <c r="P41" s="357">
        <v>100</v>
      </c>
      <c r="Q41" s="298"/>
      <c r="R41" s="275">
        <v>500000</v>
      </c>
      <c r="S41" s="162">
        <f>(G41-1525)/100</f>
        <v>0.75</v>
      </c>
      <c r="T41" s="94"/>
      <c r="U41" s="270">
        <f t="shared" si="7"/>
        <v>0</v>
      </c>
      <c r="V41" s="347">
        <f t="shared" ref="V41:V48" si="8">U41</f>
        <v>0</v>
      </c>
    </row>
    <row r="42" spans="1:25" s="82" customFormat="1" ht="14">
      <c r="A42" s="81">
        <f t="shared" si="2"/>
        <v>36</v>
      </c>
      <c r="B42" s="81">
        <v>36</v>
      </c>
      <c r="C42" s="258" t="s">
        <v>518</v>
      </c>
      <c r="D42" s="259" t="s">
        <v>43</v>
      </c>
      <c r="E42" s="258" t="s">
        <v>519</v>
      </c>
      <c r="F42" s="86">
        <v>1600</v>
      </c>
      <c r="G42" s="86">
        <v>1700</v>
      </c>
      <c r="H42" s="261" t="s">
        <v>520</v>
      </c>
      <c r="I42" s="140" t="s">
        <v>87</v>
      </c>
      <c r="J42" s="140" t="s">
        <v>88</v>
      </c>
      <c r="K42" s="315" t="s">
        <v>76</v>
      </c>
      <c r="L42" s="132"/>
      <c r="M42" s="295" t="s">
        <v>89</v>
      </c>
      <c r="N42" s="278">
        <v>45081.603113425925</v>
      </c>
      <c r="O42" s="276" t="s">
        <v>40</v>
      </c>
      <c r="P42" s="272"/>
      <c r="Q42" s="298"/>
      <c r="R42" s="275">
        <v>500000</v>
      </c>
      <c r="S42" s="162">
        <f t="shared" si="3"/>
        <v>1</v>
      </c>
      <c r="T42" s="94"/>
      <c r="U42" s="270">
        <f t="shared" si="7"/>
        <v>500000</v>
      </c>
      <c r="V42" s="345">
        <f t="shared" si="8"/>
        <v>500000</v>
      </c>
    </row>
    <row r="43" spans="1:25" s="82" customFormat="1">
      <c r="A43" s="81">
        <f t="shared" si="2"/>
        <v>37</v>
      </c>
      <c r="B43" s="81">
        <v>37</v>
      </c>
      <c r="C43" s="258" t="s">
        <v>521</v>
      </c>
      <c r="D43" s="259" t="s">
        <v>43</v>
      </c>
      <c r="E43" s="258" t="s">
        <v>519</v>
      </c>
      <c r="F43" s="86">
        <v>1330</v>
      </c>
      <c r="G43" s="86">
        <v>1430</v>
      </c>
      <c r="H43" s="261" t="s">
        <v>522</v>
      </c>
      <c r="I43" s="140" t="s">
        <v>87</v>
      </c>
      <c r="J43" s="140" t="s">
        <v>88</v>
      </c>
      <c r="K43" s="315" t="s">
        <v>76</v>
      </c>
      <c r="L43" s="132"/>
      <c r="M43" s="295" t="s">
        <v>47</v>
      </c>
      <c r="N43" s="278">
        <v>45081.602673611109</v>
      </c>
      <c r="O43" s="276" t="s">
        <v>40</v>
      </c>
      <c r="P43" s="279"/>
      <c r="Q43" s="298"/>
      <c r="R43" s="275">
        <v>500000</v>
      </c>
      <c r="S43" s="162">
        <f t="shared" si="3"/>
        <v>1</v>
      </c>
      <c r="T43" s="46"/>
      <c r="U43" s="270">
        <f t="shared" si="7"/>
        <v>500000</v>
      </c>
      <c r="V43" s="347">
        <f t="shared" si="8"/>
        <v>500000</v>
      </c>
    </row>
    <row r="44" spans="1:25" s="82" customFormat="1" ht="13">
      <c r="A44" s="81">
        <f t="shared" si="2"/>
        <v>38</v>
      </c>
      <c r="B44" s="81">
        <v>38</v>
      </c>
      <c r="C44" s="258" t="s">
        <v>523</v>
      </c>
      <c r="D44" s="259" t="s">
        <v>43</v>
      </c>
      <c r="E44" s="258" t="s">
        <v>491</v>
      </c>
      <c r="F44" s="86">
        <v>1500</v>
      </c>
      <c r="G44" s="86">
        <v>1630</v>
      </c>
      <c r="H44" s="261" t="s">
        <v>45</v>
      </c>
      <c r="I44" s="261" t="s">
        <v>35</v>
      </c>
      <c r="J44" s="261" t="s">
        <v>36</v>
      </c>
      <c r="K44" s="315" t="s">
        <v>366</v>
      </c>
      <c r="L44" s="132"/>
      <c r="M44" s="132" t="s">
        <v>47</v>
      </c>
      <c r="N44" s="280" t="s">
        <v>524</v>
      </c>
      <c r="O44" s="276" t="s">
        <v>40</v>
      </c>
      <c r="P44" s="297"/>
      <c r="Q44" s="298"/>
      <c r="R44" s="275">
        <v>500000</v>
      </c>
      <c r="S44" s="162">
        <f>(1650-F44)/100</f>
        <v>1.5</v>
      </c>
      <c r="T44" s="259"/>
      <c r="U44" s="270">
        <f t="shared" si="7"/>
        <v>750000</v>
      </c>
      <c r="V44" s="347">
        <f t="shared" si="8"/>
        <v>750000</v>
      </c>
      <c r="W44" s="90"/>
      <c r="X44" s="91"/>
      <c r="Y44" s="90"/>
    </row>
    <row r="45" spans="1:25" s="82" customFormat="1" ht="13">
      <c r="A45" s="81">
        <f t="shared" si="2"/>
        <v>39</v>
      </c>
      <c r="B45" s="81">
        <v>39</v>
      </c>
      <c r="C45" s="258" t="s">
        <v>525</v>
      </c>
      <c r="D45" s="259" t="s">
        <v>43</v>
      </c>
      <c r="E45" s="258" t="s">
        <v>491</v>
      </c>
      <c r="F45" s="86">
        <v>1030</v>
      </c>
      <c r="G45" s="86">
        <v>1200</v>
      </c>
      <c r="H45" s="261" t="s">
        <v>45</v>
      </c>
      <c r="I45" s="261" t="s">
        <v>35</v>
      </c>
      <c r="J45" s="261" t="s">
        <v>36</v>
      </c>
      <c r="K45" s="315" t="s">
        <v>366</v>
      </c>
      <c r="L45" s="132"/>
      <c r="M45" s="309" t="s">
        <v>47</v>
      </c>
      <c r="N45" s="280" t="s">
        <v>526</v>
      </c>
      <c r="O45" s="276" t="s">
        <v>40</v>
      </c>
      <c r="P45" s="297"/>
      <c r="Q45" s="275"/>
      <c r="R45" s="275">
        <v>500000</v>
      </c>
      <c r="S45" s="162">
        <f>(G45-1050)/100</f>
        <v>1.5</v>
      </c>
      <c r="T45" s="259"/>
      <c r="U45" s="122">
        <f t="shared" si="7"/>
        <v>750000</v>
      </c>
      <c r="V45" s="347">
        <f t="shared" si="8"/>
        <v>750000</v>
      </c>
      <c r="W45" s="90"/>
      <c r="X45" s="91"/>
      <c r="Y45" s="90"/>
    </row>
    <row r="46" spans="1:25" s="82" customFormat="1" ht="13" hidden="1">
      <c r="A46" s="81">
        <f t="shared" si="2"/>
        <v>40</v>
      </c>
      <c r="B46" s="81">
        <v>40</v>
      </c>
      <c r="C46" s="94">
        <v>4073</v>
      </c>
      <c r="D46" s="94" t="s">
        <v>43</v>
      </c>
      <c r="E46" s="139">
        <v>45264</v>
      </c>
      <c r="F46" s="96">
        <v>1500</v>
      </c>
      <c r="G46" s="96">
        <v>1630</v>
      </c>
      <c r="H46" s="95" t="s">
        <v>45</v>
      </c>
      <c r="I46" s="140" t="s">
        <v>35</v>
      </c>
      <c r="J46" s="140" t="s">
        <v>36</v>
      </c>
      <c r="K46" s="316">
        <v>4</v>
      </c>
      <c r="L46" s="132" t="s">
        <v>527</v>
      </c>
      <c r="M46" s="295" t="s">
        <v>47</v>
      </c>
      <c r="N46" s="310">
        <v>45081.437569444446</v>
      </c>
      <c r="O46" s="311" t="s">
        <v>174</v>
      </c>
      <c r="P46" s="311"/>
      <c r="Q46" s="298"/>
      <c r="R46" s="275"/>
      <c r="S46" s="162">
        <f t="shared" si="3"/>
        <v>1.3</v>
      </c>
      <c r="T46" s="95"/>
      <c r="U46" s="270">
        <f t="shared" si="7"/>
        <v>0</v>
      </c>
      <c r="V46" s="124">
        <f t="shared" si="8"/>
        <v>0</v>
      </c>
    </row>
    <row r="47" spans="1:25" s="82" customFormat="1" ht="13" hidden="1">
      <c r="A47" s="81">
        <f t="shared" si="2"/>
        <v>41</v>
      </c>
      <c r="B47" s="81">
        <v>41</v>
      </c>
      <c r="C47" s="94">
        <v>4072</v>
      </c>
      <c r="D47" s="94" t="s">
        <v>43</v>
      </c>
      <c r="E47" s="102">
        <v>45264</v>
      </c>
      <c r="F47" s="86">
        <v>1030</v>
      </c>
      <c r="G47" s="86">
        <v>1200</v>
      </c>
      <c r="H47" s="94" t="s">
        <v>45</v>
      </c>
      <c r="I47" s="140" t="s">
        <v>35</v>
      </c>
      <c r="J47" s="140" t="s">
        <v>36</v>
      </c>
      <c r="K47" s="316">
        <v>4</v>
      </c>
      <c r="L47" s="132" t="s">
        <v>527</v>
      </c>
      <c r="M47" s="295" t="s">
        <v>47</v>
      </c>
      <c r="N47" s="310">
        <v>45081.437256944446</v>
      </c>
      <c r="O47" s="132" t="s">
        <v>174</v>
      </c>
      <c r="P47" s="132"/>
      <c r="Q47" s="298"/>
      <c r="R47" s="275"/>
      <c r="S47" s="162">
        <f t="shared" si="3"/>
        <v>1.7</v>
      </c>
      <c r="T47" s="94"/>
      <c r="U47" s="122">
        <f t="shared" si="7"/>
        <v>0</v>
      </c>
      <c r="V47" s="124">
        <f t="shared" si="8"/>
        <v>0</v>
      </c>
    </row>
    <row r="48" spans="1:25" s="82" customFormat="1" ht="13">
      <c r="A48" s="81">
        <f t="shared" si="2"/>
        <v>42</v>
      </c>
      <c r="B48" s="81">
        <v>42</v>
      </c>
      <c r="C48" s="258" t="s">
        <v>528</v>
      </c>
      <c r="D48" s="259" t="s">
        <v>32</v>
      </c>
      <c r="E48" s="258" t="s">
        <v>500</v>
      </c>
      <c r="F48" s="86">
        <v>1300</v>
      </c>
      <c r="G48" s="86">
        <v>1530</v>
      </c>
      <c r="H48" s="261" t="s">
        <v>254</v>
      </c>
      <c r="I48" s="261" t="s">
        <v>35</v>
      </c>
      <c r="J48" s="261" t="s">
        <v>36</v>
      </c>
      <c r="K48" s="315" t="s">
        <v>37</v>
      </c>
      <c r="L48" s="132" t="s">
        <v>529</v>
      </c>
      <c r="M48" s="295" t="s">
        <v>255</v>
      </c>
      <c r="N48" s="280" t="s">
        <v>530</v>
      </c>
      <c r="O48" s="276" t="s">
        <v>40</v>
      </c>
      <c r="P48" s="297"/>
      <c r="Q48" s="298"/>
      <c r="R48" s="275">
        <v>950000</v>
      </c>
      <c r="S48" s="162">
        <f>(1550-F48)/100</f>
        <v>2.5</v>
      </c>
      <c r="T48" s="259"/>
      <c r="U48" s="270">
        <f t="shared" si="7"/>
        <v>2375000</v>
      </c>
      <c r="V48" s="347">
        <f t="shared" si="8"/>
        <v>2375000</v>
      </c>
      <c r="W48" s="90"/>
      <c r="X48" s="91"/>
      <c r="Y48" s="90"/>
    </row>
    <row r="49" spans="1:25" s="82" customFormat="1" ht="26" hidden="1">
      <c r="A49" s="81">
        <f t="shared" si="2"/>
        <v>43</v>
      </c>
      <c r="B49" s="81">
        <v>43</v>
      </c>
      <c r="C49" s="258" t="s">
        <v>531</v>
      </c>
      <c r="D49" s="259" t="s">
        <v>43</v>
      </c>
      <c r="E49" s="258" t="s">
        <v>532</v>
      </c>
      <c r="F49" s="86">
        <v>1500</v>
      </c>
      <c r="G49" s="86">
        <v>1600</v>
      </c>
      <c r="H49" s="261" t="s">
        <v>533</v>
      </c>
      <c r="I49" s="261" t="s">
        <v>87</v>
      </c>
      <c r="J49" s="261" t="s">
        <v>88</v>
      </c>
      <c r="K49" s="315" t="s">
        <v>56</v>
      </c>
      <c r="L49" s="132"/>
      <c r="M49" s="295" t="s">
        <v>72</v>
      </c>
      <c r="N49" s="280" t="s">
        <v>534</v>
      </c>
      <c r="O49" s="276" t="s">
        <v>40</v>
      </c>
      <c r="P49" s="297" t="s">
        <v>41</v>
      </c>
      <c r="Q49" s="298"/>
      <c r="R49" s="275">
        <v>500000</v>
      </c>
      <c r="S49" s="162">
        <f t="shared" si="3"/>
        <v>1</v>
      </c>
      <c r="T49" s="259"/>
      <c r="U49" s="270">
        <f t="shared" si="7"/>
        <v>0</v>
      </c>
      <c r="V49" s="347">
        <f>U49</f>
        <v>0</v>
      </c>
      <c r="W49" s="90"/>
      <c r="X49" s="91"/>
      <c r="Y49" s="90"/>
    </row>
    <row r="50" spans="1:25" s="82" customFormat="1" ht="13">
      <c r="A50" s="81">
        <f t="shared" si="2"/>
        <v>44</v>
      </c>
      <c r="B50" s="81">
        <v>44</v>
      </c>
      <c r="C50" s="94">
        <v>4063</v>
      </c>
      <c r="D50" s="94" t="s">
        <v>32</v>
      </c>
      <c r="E50" s="102">
        <v>45264</v>
      </c>
      <c r="F50" s="86">
        <v>930</v>
      </c>
      <c r="G50" s="86">
        <v>1130</v>
      </c>
      <c r="H50" s="94" t="s">
        <v>535</v>
      </c>
      <c r="I50" s="140" t="s">
        <v>35</v>
      </c>
      <c r="J50" s="140" t="s">
        <v>36</v>
      </c>
      <c r="K50" s="316">
        <v>7</v>
      </c>
      <c r="L50" s="132"/>
      <c r="M50" s="295" t="s">
        <v>107</v>
      </c>
      <c r="N50" s="281" t="s">
        <v>536</v>
      </c>
      <c r="O50" s="132" t="s">
        <v>40</v>
      </c>
      <c r="P50" s="132"/>
      <c r="Q50" s="298"/>
      <c r="R50" s="275">
        <v>950000</v>
      </c>
      <c r="S50" s="162">
        <f t="shared" si="3"/>
        <v>2</v>
      </c>
      <c r="T50" s="94"/>
      <c r="U50" s="270">
        <f t="shared" si="7"/>
        <v>1900000</v>
      </c>
      <c r="V50" s="347">
        <f>U50</f>
        <v>1900000</v>
      </c>
    </row>
    <row r="51" spans="1:25" s="82" customFormat="1" ht="13">
      <c r="A51" s="81">
        <f t="shared" si="2"/>
        <v>45</v>
      </c>
      <c r="B51" s="81">
        <v>45</v>
      </c>
      <c r="C51" s="94">
        <v>4058</v>
      </c>
      <c r="D51" s="94" t="s">
        <v>32</v>
      </c>
      <c r="E51" s="102">
        <v>45081</v>
      </c>
      <c r="F51" s="86">
        <v>900</v>
      </c>
      <c r="G51" s="86">
        <v>1800</v>
      </c>
      <c r="H51" s="94" t="s">
        <v>45</v>
      </c>
      <c r="I51" s="140" t="s">
        <v>35</v>
      </c>
      <c r="J51" s="140" t="s">
        <v>36</v>
      </c>
      <c r="K51" s="316">
        <v>16</v>
      </c>
      <c r="L51" s="132"/>
      <c r="M51" s="295" t="s">
        <v>47</v>
      </c>
      <c r="N51" s="281" t="s">
        <v>537</v>
      </c>
      <c r="O51" s="132" t="s">
        <v>40</v>
      </c>
      <c r="P51" s="132"/>
      <c r="Q51" s="298">
        <f>R51*6</f>
        <v>5700000</v>
      </c>
      <c r="R51" s="275">
        <v>950000</v>
      </c>
      <c r="S51" s="162">
        <f t="shared" si="3"/>
        <v>9</v>
      </c>
      <c r="T51" s="94"/>
      <c r="U51" s="122">
        <f t="shared" si="7"/>
        <v>8550000</v>
      </c>
      <c r="V51" s="347">
        <f t="shared" si="4"/>
        <v>6650000</v>
      </c>
    </row>
    <row r="52" spans="1:25" s="82" customFormat="1" ht="13">
      <c r="A52" s="81">
        <f t="shared" si="2"/>
        <v>46</v>
      </c>
      <c r="B52" s="81">
        <v>46</v>
      </c>
      <c r="C52" s="94">
        <v>4057</v>
      </c>
      <c r="D52" s="94" t="s">
        <v>32</v>
      </c>
      <c r="E52" s="102">
        <v>45111</v>
      </c>
      <c r="F52" s="86">
        <v>900</v>
      </c>
      <c r="G52" s="86">
        <v>1800</v>
      </c>
      <c r="H52" s="94" t="s">
        <v>45</v>
      </c>
      <c r="I52" s="140" t="s">
        <v>35</v>
      </c>
      <c r="J52" s="140" t="s">
        <v>36</v>
      </c>
      <c r="K52" s="316">
        <v>16</v>
      </c>
      <c r="L52" s="132"/>
      <c r="M52" s="295" t="s">
        <v>47</v>
      </c>
      <c r="N52" s="281" t="s">
        <v>538</v>
      </c>
      <c r="O52" s="132" t="s">
        <v>40</v>
      </c>
      <c r="P52" s="132"/>
      <c r="Q52" s="298">
        <f t="shared" ref="Q52:Q53" si="9">R52*6</f>
        <v>5700000</v>
      </c>
      <c r="R52" s="275">
        <v>950000</v>
      </c>
      <c r="S52" s="162">
        <f t="shared" si="3"/>
        <v>9</v>
      </c>
      <c r="T52" s="94"/>
      <c r="U52" s="270">
        <f t="shared" si="7"/>
        <v>8550000</v>
      </c>
      <c r="V52" s="347">
        <f t="shared" si="4"/>
        <v>6650000</v>
      </c>
    </row>
    <row r="53" spans="1:25" s="82" customFormat="1" ht="13">
      <c r="A53" s="81">
        <f t="shared" si="2"/>
        <v>47</v>
      </c>
      <c r="B53" s="81">
        <v>47</v>
      </c>
      <c r="C53" s="258" t="s">
        <v>539</v>
      </c>
      <c r="D53" s="259" t="s">
        <v>32</v>
      </c>
      <c r="E53" s="258" t="s">
        <v>532</v>
      </c>
      <c r="F53" s="86">
        <v>900</v>
      </c>
      <c r="G53" s="86">
        <v>1800</v>
      </c>
      <c r="H53" s="261" t="s">
        <v>45</v>
      </c>
      <c r="I53" s="261" t="s">
        <v>35</v>
      </c>
      <c r="J53" s="261" t="s">
        <v>36</v>
      </c>
      <c r="K53" s="315" t="s">
        <v>171</v>
      </c>
      <c r="L53" s="132"/>
      <c r="M53" s="295" t="s">
        <v>47</v>
      </c>
      <c r="N53" s="280" t="s">
        <v>540</v>
      </c>
      <c r="O53" s="276" t="s">
        <v>40</v>
      </c>
      <c r="P53" s="295"/>
      <c r="Q53" s="298">
        <f t="shared" si="9"/>
        <v>5700000</v>
      </c>
      <c r="R53" s="275">
        <v>950000</v>
      </c>
      <c r="S53" s="162">
        <f t="shared" si="3"/>
        <v>9</v>
      </c>
      <c r="T53" s="259"/>
      <c r="U53" s="270">
        <f t="shared" si="7"/>
        <v>8550000</v>
      </c>
      <c r="V53" s="347">
        <f t="shared" si="4"/>
        <v>6650000</v>
      </c>
      <c r="W53" s="90"/>
      <c r="X53" s="91"/>
      <c r="Y53" s="90"/>
    </row>
    <row r="54" spans="1:25" s="82" customFormat="1" ht="13">
      <c r="A54" s="81">
        <f>ROW()-6</f>
        <v>48</v>
      </c>
      <c r="B54" s="81">
        <v>1</v>
      </c>
      <c r="C54" s="103" t="s">
        <v>197</v>
      </c>
      <c r="D54" s="94" t="s">
        <v>198</v>
      </c>
      <c r="E54" s="102">
        <v>45111</v>
      </c>
      <c r="F54" s="86">
        <v>1000</v>
      </c>
      <c r="G54" s="86">
        <v>1200</v>
      </c>
      <c r="H54" s="132" t="s">
        <v>172</v>
      </c>
      <c r="I54" s="292"/>
      <c r="J54" s="132" t="s">
        <v>40</v>
      </c>
      <c r="K54" s="132"/>
      <c r="L54" s="275"/>
      <c r="M54" s="275" t="s">
        <v>172</v>
      </c>
      <c r="N54" s="162"/>
      <c r="O54" s="132" t="s">
        <v>40</v>
      </c>
      <c r="P54" s="122"/>
      <c r="Q54" s="124"/>
      <c r="R54" s="275">
        <v>2200000</v>
      </c>
      <c r="S54" s="162">
        <f>(G54-F54)/100</f>
        <v>2</v>
      </c>
      <c r="T54" s="259"/>
      <c r="U54" s="270">
        <f>S54*R54*(100-P54)/100</f>
        <v>4400000</v>
      </c>
      <c r="V54" s="347">
        <f t="shared" ref="V54" si="10">U54</f>
        <v>4400000</v>
      </c>
      <c r="W54" s="90"/>
      <c r="X54" s="91"/>
      <c r="Y54" s="90"/>
    </row>
    <row r="55" spans="1:25" s="82" customFormat="1" ht="13" hidden="1">
      <c r="A55" s="81">
        <f t="shared" si="2"/>
        <v>49</v>
      </c>
      <c r="B55" s="81"/>
      <c r="C55" s="94"/>
      <c r="D55" s="94"/>
      <c r="E55" s="102"/>
      <c r="F55" s="86"/>
      <c r="G55" s="86"/>
      <c r="H55" s="94"/>
      <c r="I55" s="140"/>
      <c r="J55" s="140"/>
      <c r="K55" s="316"/>
      <c r="L55" s="132"/>
      <c r="M55" s="132"/>
      <c r="N55" s="310"/>
      <c r="O55" s="132"/>
      <c r="P55" s="132"/>
      <c r="Q55" s="303"/>
      <c r="R55" s="275"/>
      <c r="S55" s="162"/>
      <c r="T55" s="94"/>
      <c r="U55" s="122">
        <f t="shared" si="7"/>
        <v>0</v>
      </c>
      <c r="V55" s="165">
        <f t="shared" si="4"/>
        <v>0</v>
      </c>
    </row>
    <row r="56" spans="1:25" s="82" customFormat="1" ht="13" hidden="1">
      <c r="A56" s="81">
        <f t="shared" si="2"/>
        <v>50</v>
      </c>
      <c r="B56" s="81"/>
      <c r="C56" s="94"/>
      <c r="D56" s="94"/>
      <c r="E56" s="102"/>
      <c r="F56" s="86"/>
      <c r="G56" s="86"/>
      <c r="H56" s="94"/>
      <c r="I56" s="140"/>
      <c r="J56" s="140"/>
      <c r="K56" s="316"/>
      <c r="L56" s="132"/>
      <c r="M56" s="132"/>
      <c r="N56" s="281"/>
      <c r="O56" s="132"/>
      <c r="P56" s="132"/>
      <c r="Q56" s="275"/>
      <c r="R56" s="275"/>
      <c r="S56" s="162"/>
      <c r="T56" s="94"/>
      <c r="U56" s="122">
        <f t="shared" si="7"/>
        <v>0</v>
      </c>
      <c r="V56" s="124">
        <f>Q56+((S56-4)*R56)</f>
        <v>0</v>
      </c>
    </row>
    <row r="57" spans="1:25" s="82" customFormat="1" ht="13" hidden="1">
      <c r="A57" s="81">
        <f t="shared" si="2"/>
        <v>51</v>
      </c>
      <c r="B57" s="81"/>
      <c r="C57" s="94"/>
      <c r="D57" s="94"/>
      <c r="E57" s="102"/>
      <c r="F57" s="86"/>
      <c r="G57" s="86"/>
      <c r="H57" s="94"/>
      <c r="I57" s="140"/>
      <c r="J57" s="140"/>
      <c r="K57" s="316"/>
      <c r="L57" s="132"/>
      <c r="M57" s="132"/>
      <c r="N57" s="281"/>
      <c r="O57" s="132"/>
      <c r="P57" s="312"/>
      <c r="Q57" s="275"/>
      <c r="R57" s="275"/>
      <c r="S57" s="162"/>
      <c r="T57" s="94"/>
      <c r="U57" s="270">
        <f t="shared" si="7"/>
        <v>0</v>
      </c>
      <c r="V57" s="124">
        <f t="shared" ref="V57:V71" si="11">Q57+((S57-8)*R57)</f>
        <v>0</v>
      </c>
    </row>
    <row r="58" spans="1:25" s="82" customFormat="1" ht="13" hidden="1">
      <c r="A58" s="81">
        <f t="shared" si="2"/>
        <v>52</v>
      </c>
      <c r="B58" s="81"/>
      <c r="C58" s="87"/>
      <c r="D58" s="88"/>
      <c r="E58" s="87"/>
      <c r="F58" s="86"/>
      <c r="G58" s="86"/>
      <c r="H58" s="89"/>
      <c r="I58" s="89"/>
      <c r="J58" s="89"/>
      <c r="K58" s="318"/>
      <c r="L58" s="294"/>
      <c r="M58" s="132"/>
      <c r="N58" s="313"/>
      <c r="O58" s="306"/>
      <c r="P58" s="294"/>
      <c r="Q58" s="298"/>
      <c r="R58" s="275"/>
      <c r="S58" s="162"/>
      <c r="T58" s="88"/>
      <c r="U58" s="122">
        <f t="shared" si="7"/>
        <v>0</v>
      </c>
      <c r="V58" s="124">
        <f>Q58+((S58-4)*R58)</f>
        <v>0</v>
      </c>
      <c r="W58" s="90"/>
      <c r="X58" s="91"/>
      <c r="Y58" s="90"/>
    </row>
    <row r="59" spans="1:25" s="82" customFormat="1" ht="13" hidden="1">
      <c r="A59" s="81">
        <f t="shared" si="2"/>
        <v>53</v>
      </c>
      <c r="B59" s="81"/>
      <c r="C59" s="94"/>
      <c r="D59" s="94"/>
      <c r="E59" s="102"/>
      <c r="F59" s="86"/>
      <c r="G59" s="86"/>
      <c r="H59" s="94"/>
      <c r="I59" s="140"/>
      <c r="J59" s="140"/>
      <c r="K59" s="316"/>
      <c r="L59" s="132"/>
      <c r="M59" s="132"/>
      <c r="N59" s="310"/>
      <c r="O59" s="132"/>
      <c r="P59" s="132"/>
      <c r="Q59" s="298"/>
      <c r="R59" s="275"/>
      <c r="S59" s="162"/>
      <c r="T59" s="94"/>
      <c r="U59" s="122">
        <f t="shared" si="7"/>
        <v>0</v>
      </c>
      <c r="V59" s="124">
        <f>Q59+((S59-4)*R59)</f>
        <v>0</v>
      </c>
    </row>
    <row r="60" spans="1:25" s="82" customFormat="1" ht="13" hidden="1">
      <c r="A60" s="81">
        <f t="shared" si="2"/>
        <v>54</v>
      </c>
      <c r="B60" s="81"/>
      <c r="C60" s="94"/>
      <c r="D60" s="94"/>
      <c r="E60" s="102"/>
      <c r="F60" s="86"/>
      <c r="G60" s="86"/>
      <c r="H60" s="94"/>
      <c r="I60" s="140"/>
      <c r="J60" s="140"/>
      <c r="K60" s="316"/>
      <c r="L60" s="132"/>
      <c r="M60" s="132"/>
      <c r="N60" s="281"/>
      <c r="O60" s="132"/>
      <c r="P60" s="132"/>
      <c r="Q60" s="275"/>
      <c r="R60" s="275"/>
      <c r="S60" s="162"/>
      <c r="T60" s="94"/>
      <c r="U60" s="270">
        <f t="shared" si="7"/>
        <v>0</v>
      </c>
      <c r="V60" s="124">
        <f>U60</f>
        <v>0</v>
      </c>
    </row>
    <row r="61" spans="1:25" s="82" customFormat="1" ht="13" hidden="1">
      <c r="A61" s="81">
        <f t="shared" si="2"/>
        <v>55</v>
      </c>
      <c r="B61" s="81"/>
      <c r="C61" s="103"/>
      <c r="D61" s="94"/>
      <c r="E61" s="102"/>
      <c r="F61" s="86"/>
      <c r="G61" s="86"/>
      <c r="H61" s="94"/>
      <c r="I61" s="140"/>
      <c r="J61" s="140"/>
      <c r="K61" s="316"/>
      <c r="L61" s="132"/>
      <c r="M61" s="132"/>
      <c r="N61" s="281"/>
      <c r="O61" s="132"/>
      <c r="P61" s="132"/>
      <c r="Q61" s="308"/>
      <c r="R61" s="275"/>
      <c r="S61" s="162"/>
      <c r="T61" s="94"/>
      <c r="U61" s="270">
        <f t="shared" si="7"/>
        <v>0</v>
      </c>
      <c r="V61" s="124">
        <f>U61</f>
        <v>0</v>
      </c>
    </row>
    <row r="62" spans="1:25" s="82" customFormat="1" ht="13" hidden="1">
      <c r="A62" s="81">
        <f t="shared" si="2"/>
        <v>56</v>
      </c>
      <c r="B62" s="81"/>
      <c r="C62" s="103"/>
      <c r="D62" s="94"/>
      <c r="E62" s="102"/>
      <c r="F62" s="86"/>
      <c r="G62" s="86"/>
      <c r="H62" s="94"/>
      <c r="I62" s="140"/>
      <c r="J62" s="140"/>
      <c r="K62" s="316"/>
      <c r="L62" s="132"/>
      <c r="M62" s="132"/>
      <c r="N62" s="281"/>
      <c r="O62" s="132"/>
      <c r="P62" s="132"/>
      <c r="Q62" s="275"/>
      <c r="R62" s="275"/>
      <c r="S62" s="162"/>
      <c r="T62" s="94"/>
      <c r="U62" s="270">
        <f t="shared" si="7"/>
        <v>0</v>
      </c>
      <c r="V62" s="124">
        <f t="shared" si="11"/>
        <v>0</v>
      </c>
    </row>
    <row r="63" spans="1:25" s="82" customFormat="1" ht="13" hidden="1">
      <c r="A63" s="81">
        <f t="shared" si="2"/>
        <v>57</v>
      </c>
      <c r="B63" s="81"/>
      <c r="C63" s="103"/>
      <c r="D63" s="94"/>
      <c r="E63" s="102"/>
      <c r="F63" s="86"/>
      <c r="G63" s="86"/>
      <c r="H63" s="94"/>
      <c r="I63" s="140"/>
      <c r="J63" s="140"/>
      <c r="K63" s="316"/>
      <c r="L63" s="132"/>
      <c r="M63" s="132"/>
      <c r="N63" s="281"/>
      <c r="O63" s="132"/>
      <c r="P63" s="132"/>
      <c r="Q63" s="275"/>
      <c r="R63" s="275"/>
      <c r="S63" s="162"/>
      <c r="T63" s="94"/>
      <c r="U63" s="270">
        <f t="shared" si="7"/>
        <v>0</v>
      </c>
      <c r="V63" s="124">
        <f>(Q63+((S63-8)*R63))*50/100</f>
        <v>0</v>
      </c>
    </row>
    <row r="64" spans="1:25" s="82" customFormat="1" ht="13" hidden="1">
      <c r="A64" s="81">
        <f t="shared" si="2"/>
        <v>58</v>
      </c>
      <c r="B64" s="81"/>
      <c r="C64" s="103"/>
      <c r="D64" s="94"/>
      <c r="E64" s="102"/>
      <c r="F64" s="86"/>
      <c r="G64" s="86"/>
      <c r="H64" s="94"/>
      <c r="I64" s="140"/>
      <c r="J64" s="140"/>
      <c r="K64" s="316"/>
      <c r="L64" s="132"/>
      <c r="M64" s="132"/>
      <c r="N64" s="281"/>
      <c r="O64" s="132"/>
      <c r="P64" s="132"/>
      <c r="Q64" s="275"/>
      <c r="R64" s="275"/>
      <c r="S64" s="162"/>
      <c r="T64" s="94"/>
      <c r="U64" s="122">
        <f t="shared" si="7"/>
        <v>0</v>
      </c>
      <c r="V64" s="124">
        <f t="shared" si="11"/>
        <v>0</v>
      </c>
    </row>
    <row r="65" spans="1:22" s="82" customFormat="1" ht="13" hidden="1">
      <c r="A65" s="81">
        <f t="shared" si="2"/>
        <v>59</v>
      </c>
      <c r="B65" s="81"/>
      <c r="C65" s="103"/>
      <c r="D65" s="94"/>
      <c r="E65" s="102"/>
      <c r="F65" s="86"/>
      <c r="G65" s="86"/>
      <c r="H65" s="94"/>
      <c r="I65" s="140"/>
      <c r="J65" s="140"/>
      <c r="K65" s="316"/>
      <c r="L65" s="132"/>
      <c r="M65" s="132"/>
      <c r="N65" s="281"/>
      <c r="O65" s="132"/>
      <c r="P65" s="132"/>
      <c r="Q65" s="275"/>
      <c r="R65" s="275"/>
      <c r="S65" s="162"/>
      <c r="T65" s="94"/>
      <c r="U65" s="122">
        <f t="shared" si="7"/>
        <v>0</v>
      </c>
      <c r="V65" s="124">
        <f>U65</f>
        <v>0</v>
      </c>
    </row>
    <row r="66" spans="1:22" s="82" customFormat="1" ht="13" hidden="1">
      <c r="A66" s="81">
        <f t="shared" si="2"/>
        <v>60</v>
      </c>
      <c r="B66" s="81"/>
      <c r="C66" s="103"/>
      <c r="D66" s="94"/>
      <c r="E66" s="102"/>
      <c r="F66" s="86"/>
      <c r="G66" s="86"/>
      <c r="H66" s="94"/>
      <c r="I66" s="140"/>
      <c r="J66" s="140"/>
      <c r="K66" s="316"/>
      <c r="L66" s="132"/>
      <c r="M66" s="132"/>
      <c r="N66" s="281"/>
      <c r="O66" s="132"/>
      <c r="P66" s="132"/>
      <c r="Q66" s="275"/>
      <c r="R66" s="275"/>
      <c r="S66" s="162"/>
      <c r="T66" s="94"/>
      <c r="U66" s="122">
        <f t="shared" si="7"/>
        <v>0</v>
      </c>
      <c r="V66" s="124">
        <f t="shared" si="11"/>
        <v>0</v>
      </c>
    </row>
    <row r="67" spans="1:22" s="82" customFormat="1" ht="13" hidden="1">
      <c r="A67" s="81">
        <f t="shared" si="2"/>
        <v>61</v>
      </c>
      <c r="B67" s="81"/>
      <c r="C67" s="103"/>
      <c r="D67" s="94"/>
      <c r="E67" s="102"/>
      <c r="F67" s="86"/>
      <c r="G67" s="86"/>
      <c r="H67" s="94"/>
      <c r="I67" s="140"/>
      <c r="J67" s="140"/>
      <c r="K67" s="316"/>
      <c r="L67" s="132"/>
      <c r="M67" s="132"/>
      <c r="N67" s="281"/>
      <c r="O67" s="132"/>
      <c r="P67" s="132"/>
      <c r="Q67" s="275"/>
      <c r="R67" s="275"/>
      <c r="S67" s="162"/>
      <c r="T67" s="94"/>
      <c r="U67" s="122">
        <f t="shared" si="7"/>
        <v>0</v>
      </c>
      <c r="V67" s="124">
        <f t="shared" si="11"/>
        <v>0</v>
      </c>
    </row>
    <row r="68" spans="1:22" s="82" customFormat="1" ht="13" hidden="1">
      <c r="A68" s="81">
        <f t="shared" si="2"/>
        <v>62</v>
      </c>
      <c r="B68" s="81"/>
      <c r="C68" s="103"/>
      <c r="D68" s="94"/>
      <c r="E68" s="102"/>
      <c r="F68" s="86"/>
      <c r="G68" s="86"/>
      <c r="H68" s="94"/>
      <c r="I68" s="140"/>
      <c r="J68" s="140"/>
      <c r="K68" s="316"/>
      <c r="L68" s="132"/>
      <c r="M68" s="132"/>
      <c r="N68" s="281"/>
      <c r="O68" s="132"/>
      <c r="P68" s="132"/>
      <c r="Q68" s="275"/>
      <c r="R68" s="275"/>
      <c r="S68" s="162"/>
      <c r="T68" s="94"/>
      <c r="U68" s="122">
        <f t="shared" si="7"/>
        <v>0</v>
      </c>
      <c r="V68" s="124">
        <f t="shared" si="11"/>
        <v>0</v>
      </c>
    </row>
    <row r="69" spans="1:22" s="82" customFormat="1" ht="13" hidden="1">
      <c r="A69" s="81">
        <f t="shared" si="2"/>
        <v>63</v>
      </c>
      <c r="B69" s="81"/>
      <c r="C69" s="103"/>
      <c r="D69" s="94"/>
      <c r="E69" s="102"/>
      <c r="F69" s="86"/>
      <c r="G69" s="86"/>
      <c r="H69" s="94"/>
      <c r="I69" s="140"/>
      <c r="J69" s="140"/>
      <c r="K69" s="316"/>
      <c r="L69" s="132"/>
      <c r="M69" s="132"/>
      <c r="N69" s="281"/>
      <c r="O69" s="132"/>
      <c r="P69" s="132"/>
      <c r="Q69" s="275"/>
      <c r="R69" s="275"/>
      <c r="S69" s="162"/>
      <c r="T69" s="94"/>
      <c r="U69" s="122">
        <f t="shared" si="7"/>
        <v>0</v>
      </c>
      <c r="V69" s="124">
        <f>Q69+((S69-4)*R69)</f>
        <v>0</v>
      </c>
    </row>
    <row r="70" spans="1:22" s="82" customFormat="1" ht="13" hidden="1">
      <c r="A70" s="81">
        <f t="shared" si="2"/>
        <v>64</v>
      </c>
      <c r="B70" s="81"/>
      <c r="C70" s="103"/>
      <c r="D70" s="94"/>
      <c r="E70" s="102"/>
      <c r="F70" s="86"/>
      <c r="G70" s="86"/>
      <c r="H70" s="94"/>
      <c r="I70" s="140"/>
      <c r="J70" s="140"/>
      <c r="K70" s="316"/>
      <c r="L70" s="132"/>
      <c r="M70" s="132"/>
      <c r="N70" s="281"/>
      <c r="O70" s="132"/>
      <c r="P70" s="132"/>
      <c r="Q70" s="275"/>
      <c r="R70" s="275"/>
      <c r="S70" s="162"/>
      <c r="T70" s="94"/>
      <c r="U70" s="122">
        <f t="shared" si="7"/>
        <v>0</v>
      </c>
      <c r="V70" s="124">
        <f t="shared" si="11"/>
        <v>0</v>
      </c>
    </row>
    <row r="71" spans="1:22" s="82" customFormat="1" ht="13" hidden="1">
      <c r="A71" s="81">
        <f t="shared" si="2"/>
        <v>65</v>
      </c>
      <c r="B71" s="81"/>
      <c r="C71" s="103"/>
      <c r="D71" s="94"/>
      <c r="E71" s="102"/>
      <c r="F71" s="86"/>
      <c r="G71" s="86"/>
      <c r="H71" s="94"/>
      <c r="I71" s="140"/>
      <c r="J71" s="140"/>
      <c r="K71" s="316"/>
      <c r="L71" s="132"/>
      <c r="M71" s="132"/>
      <c r="N71" s="281"/>
      <c r="O71" s="132"/>
      <c r="P71" s="132"/>
      <c r="Q71" s="275"/>
      <c r="R71" s="275"/>
      <c r="S71" s="162"/>
      <c r="T71" s="94"/>
      <c r="U71" s="122">
        <f t="shared" si="7"/>
        <v>0</v>
      </c>
      <c r="V71" s="124">
        <f t="shared" si="11"/>
        <v>0</v>
      </c>
    </row>
    <row r="72" spans="1:22" s="82" customFormat="1" ht="13" hidden="1">
      <c r="A72" s="81">
        <f t="shared" si="2"/>
        <v>66</v>
      </c>
      <c r="B72" s="81"/>
      <c r="C72" s="103"/>
      <c r="D72" s="94"/>
      <c r="E72" s="102"/>
      <c r="F72" s="86"/>
      <c r="G72" s="86"/>
      <c r="H72" s="94"/>
      <c r="I72" s="140"/>
      <c r="J72" s="140"/>
      <c r="K72" s="316"/>
      <c r="L72" s="132"/>
      <c r="M72" s="132"/>
      <c r="N72" s="292"/>
      <c r="O72" s="132"/>
      <c r="P72" s="132"/>
      <c r="Q72" s="275"/>
      <c r="R72" s="275"/>
      <c r="S72" s="162"/>
      <c r="T72" s="94"/>
      <c r="U72" s="122">
        <f t="shared" si="7"/>
        <v>0</v>
      </c>
      <c r="V72" s="124">
        <f>U72</f>
        <v>0</v>
      </c>
    </row>
    <row r="73" spans="1:22" s="82" customFormat="1" ht="13">
      <c r="A73" s="94"/>
      <c r="B73" s="94"/>
      <c r="C73" s="94"/>
      <c r="D73" s="94"/>
      <c r="E73" s="103"/>
      <c r="F73" s="94"/>
      <c r="G73" s="94"/>
      <c r="H73" s="94"/>
      <c r="I73" s="140"/>
      <c r="J73" s="140"/>
      <c r="K73" s="94"/>
      <c r="L73" s="282"/>
      <c r="M73" s="282"/>
      <c r="N73" s="322"/>
      <c r="O73" s="282"/>
      <c r="P73" s="282"/>
      <c r="Q73" s="323"/>
      <c r="R73" s="83"/>
      <c r="S73" s="94"/>
      <c r="T73" s="94"/>
      <c r="U73" s="120">
        <f>SUBTOTAL(109,U7:U72)</f>
        <v>84950000</v>
      </c>
      <c r="V73" s="123">
        <f>SUBTOTAL(109,V7:V72)</f>
        <v>70650000</v>
      </c>
    </row>
    <row r="74" spans="1:22" s="82" customFormat="1" ht="13">
      <c r="E74" s="104"/>
      <c r="I74" s="160"/>
      <c r="J74" s="160"/>
      <c r="N74" s="104"/>
      <c r="Q74" s="99"/>
      <c r="V74" s="99"/>
    </row>
    <row r="75" spans="1:22">
      <c r="N75" s="68"/>
      <c r="V75" s="98" t="e">
        <f>V73-#REF!</f>
        <v>#REF!</v>
      </c>
    </row>
    <row r="76" spans="1:22">
      <c r="N76" s="68"/>
    </row>
    <row r="77" spans="1:22">
      <c r="N77" s="68"/>
      <c r="R77" s="356"/>
    </row>
    <row r="78" spans="1:22">
      <c r="N78" s="68"/>
      <c r="Q78" s="100"/>
      <c r="V78" s="100"/>
    </row>
    <row r="79" spans="1:22">
      <c r="N79" s="68"/>
      <c r="Q79" s="100"/>
      <c r="V79" s="100"/>
    </row>
    <row r="80" spans="1:22">
      <c r="N80" s="68"/>
      <c r="Q80" s="100"/>
      <c r="V80" s="100"/>
    </row>
    <row r="81" spans="14:14">
      <c r="N81" s="68"/>
    </row>
    <row r="82" spans="14:14">
      <c r="N82" s="68"/>
    </row>
    <row r="83" spans="14:14">
      <c r="N83" s="68"/>
    </row>
    <row r="84" spans="14:14">
      <c r="N84" s="68"/>
    </row>
  </sheetData>
  <autoFilter ref="A6:AE72" xr:uid="{1028D278-910A-4D41-890F-0D5DC76C3F25}">
    <filterColumn colId="21">
      <filters>
        <filter val="1,000,000"/>
        <filter val="1,250,000"/>
        <filter val="1,500,000"/>
        <filter val="1,750,000"/>
        <filter val="1,900,000"/>
        <filter val="2,375,000"/>
        <filter val="250,000"/>
        <filter val="375,000"/>
        <filter val="4,400,000"/>
        <filter val="5,700,000"/>
        <filter val="500,000"/>
        <filter val="6,650,000"/>
        <filter val="750,000"/>
        <filter val="950,000"/>
      </filters>
    </filterColumn>
  </autoFilter>
  <mergeCells count="3">
    <mergeCell ref="A2:U2"/>
    <mergeCell ref="A3:U3"/>
    <mergeCell ref="A4:U4"/>
  </mergeCells>
  <pageMargins left="0.7" right="0.7" top="0.75" bottom="0.75" header="0.3" footer="0.3"/>
  <pageSetup scale="30" fitToHeight="0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AF6F5-6E5C-4BB2-B60C-40CA69C9E833}">
  <sheetPr codeName="Sheet8">
    <tabColor rgb="FFED7D31"/>
    <pageSetUpPr fitToPage="1"/>
  </sheetPr>
  <dimension ref="A2:AE84"/>
  <sheetViews>
    <sheetView workbookViewId="0">
      <selection activeCell="A7" sqref="A7:XFD7"/>
    </sheetView>
  </sheetViews>
  <sheetFormatPr defaultColWidth="9.1796875" defaultRowHeight="14.5"/>
  <cols>
    <col min="1" max="2" width="8.81640625" style="100" customWidth="1"/>
    <col min="3" max="3" width="8.81640625" style="100" bestFit="1" customWidth="1"/>
    <col min="4" max="4" width="27.26953125" style="100" customWidth="1"/>
    <col min="5" max="5" width="13.81640625" style="68" customWidth="1"/>
    <col min="6" max="6" width="8.81640625" style="100" bestFit="1" customWidth="1"/>
    <col min="7" max="7" width="10" style="100" customWidth="1"/>
    <col min="8" max="8" width="25.54296875" style="100" hidden="1" customWidth="1"/>
    <col min="9" max="9" width="11.26953125" style="59" hidden="1" customWidth="1"/>
    <col min="10" max="10" width="12" style="59" hidden="1" customWidth="1"/>
    <col min="11" max="11" width="9.26953125" style="100" hidden="1" customWidth="1"/>
    <col min="12" max="12" width="14.1796875" style="100" hidden="1" customWidth="1"/>
    <col min="13" max="13" width="10.26953125" style="100" customWidth="1"/>
    <col min="14" max="14" width="22.26953125" style="157" customWidth="1"/>
    <col min="15" max="15" width="12.54296875" style="100" customWidth="1"/>
    <col min="16" max="16" width="9.1796875" style="100"/>
    <col min="17" max="17" width="13.26953125" style="101" customWidth="1"/>
    <col min="18" max="18" width="11.26953125" style="100" bestFit="1" customWidth="1"/>
    <col min="19" max="20" width="9.1796875" style="100"/>
    <col min="21" max="21" width="16.81640625" style="100" bestFit="1" customWidth="1"/>
    <col min="22" max="22" width="15.26953125" style="101" bestFit="1" customWidth="1"/>
    <col min="23" max="23" width="10.26953125" style="100" bestFit="1" customWidth="1"/>
    <col min="24" max="16384" width="9.1796875" style="100"/>
  </cols>
  <sheetData>
    <row r="2" spans="1:31" s="57" customFormat="1" ht="20.25" customHeight="1">
      <c r="A2" s="2112" t="s">
        <v>0</v>
      </c>
      <c r="B2" s="2112"/>
      <c r="C2" s="2112"/>
      <c r="D2" s="2112"/>
      <c r="E2" s="2113"/>
      <c r="F2" s="2112"/>
      <c r="G2" s="2112"/>
      <c r="H2" s="2112"/>
      <c r="I2" s="2112"/>
      <c r="J2" s="2112"/>
      <c r="K2" s="2114"/>
      <c r="L2" s="2112"/>
      <c r="M2" s="2113"/>
      <c r="N2" s="2115"/>
      <c r="O2" s="2114"/>
      <c r="P2" s="2112"/>
      <c r="Q2" s="2112"/>
      <c r="R2" s="2112"/>
      <c r="S2" s="2112"/>
      <c r="T2" s="2112"/>
      <c r="U2" s="2112"/>
      <c r="V2" s="53"/>
      <c r="W2" s="54"/>
      <c r="X2" s="52"/>
      <c r="Y2" s="55"/>
      <c r="Z2" s="56"/>
      <c r="AD2" s="58"/>
      <c r="AE2" s="59" t="s">
        <v>1</v>
      </c>
    </row>
    <row r="3" spans="1:31" s="57" customFormat="1" ht="20.25" customHeight="1">
      <c r="A3" s="2116" t="s">
        <v>2</v>
      </c>
      <c r="B3" s="2116"/>
      <c r="C3" s="2116"/>
      <c r="D3" s="2116"/>
      <c r="E3" s="2117"/>
      <c r="F3" s="2116"/>
      <c r="G3" s="2116"/>
      <c r="H3" s="2116"/>
      <c r="I3" s="2116"/>
      <c r="J3" s="2116"/>
      <c r="K3" s="2118"/>
      <c r="L3" s="2116"/>
      <c r="M3" s="2117"/>
      <c r="N3" s="2119"/>
      <c r="O3" s="2118"/>
      <c r="P3" s="2116"/>
      <c r="Q3" s="2116"/>
      <c r="R3" s="2116"/>
      <c r="S3" s="2116"/>
      <c r="T3" s="2116"/>
      <c r="U3" s="2116"/>
      <c r="V3" s="61"/>
      <c r="W3" s="62"/>
      <c r="X3" s="60"/>
      <c r="Y3" s="63"/>
      <c r="Z3" s="56"/>
      <c r="AD3" s="64"/>
      <c r="AE3" s="59" t="s">
        <v>3</v>
      </c>
    </row>
    <row r="4" spans="1:31" s="57" customFormat="1" ht="20.25" customHeight="1">
      <c r="A4" s="2116" t="s">
        <v>4</v>
      </c>
      <c r="B4" s="2116"/>
      <c r="C4" s="2116"/>
      <c r="D4" s="2116"/>
      <c r="E4" s="2117"/>
      <c r="F4" s="2116"/>
      <c r="G4" s="2116"/>
      <c r="H4" s="2116"/>
      <c r="I4" s="2116"/>
      <c r="J4" s="2116"/>
      <c r="K4" s="2118"/>
      <c r="L4" s="2116"/>
      <c r="M4" s="2117"/>
      <c r="N4" s="2119"/>
      <c r="O4" s="2118"/>
      <c r="P4" s="2116"/>
      <c r="Q4" s="2116"/>
      <c r="R4" s="2116"/>
      <c r="S4" s="2116"/>
      <c r="T4" s="2116"/>
      <c r="U4" s="2116"/>
      <c r="V4" s="61"/>
      <c r="W4" s="62"/>
      <c r="X4" s="60"/>
      <c r="Y4" s="63"/>
      <c r="Z4" s="56"/>
      <c r="AD4" s="65"/>
      <c r="AE4" s="59" t="s">
        <v>5</v>
      </c>
    </row>
    <row r="5" spans="1:31" s="57" customFormat="1" ht="6" customHeight="1">
      <c r="D5" s="66"/>
      <c r="E5" s="67"/>
      <c r="F5" s="67"/>
      <c r="G5" s="67"/>
      <c r="H5" s="66"/>
      <c r="I5" s="66"/>
      <c r="J5" s="66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</row>
    <row r="6" spans="1:31" s="79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61" t="s">
        <v>13</v>
      </c>
      <c r="J6" s="159" t="s">
        <v>14</v>
      </c>
      <c r="K6" s="159" t="s">
        <v>15</v>
      </c>
      <c r="L6" s="134" t="s">
        <v>16</v>
      </c>
      <c r="M6" s="134" t="s">
        <v>17</v>
      </c>
      <c r="N6" s="319" t="s">
        <v>18</v>
      </c>
      <c r="O6" s="320" t="s">
        <v>19</v>
      </c>
      <c r="P6" s="134" t="s">
        <v>20</v>
      </c>
      <c r="Q6" s="321" t="s">
        <v>21</v>
      </c>
      <c r="R6" s="74" t="s">
        <v>22</v>
      </c>
      <c r="S6" s="74" t="s">
        <v>23</v>
      </c>
      <c r="T6" s="74" t="s">
        <v>24</v>
      </c>
      <c r="U6" s="78" t="s">
        <v>25</v>
      </c>
      <c r="V6" s="134" t="s">
        <v>26</v>
      </c>
      <c r="Z6" s="72" t="s">
        <v>27</v>
      </c>
      <c r="AA6" s="80" t="s">
        <v>28</v>
      </c>
      <c r="AB6" s="74" t="s">
        <v>29</v>
      </c>
      <c r="AC6" s="72" t="s">
        <v>30</v>
      </c>
    </row>
    <row r="7" spans="1:31" s="82" customFormat="1" ht="13">
      <c r="A7" s="81">
        <f>ROW()-6</f>
        <v>1</v>
      </c>
      <c r="B7" s="81">
        <v>1</v>
      </c>
      <c r="C7" s="103" t="s">
        <v>197</v>
      </c>
      <c r="D7" s="94" t="s">
        <v>198</v>
      </c>
      <c r="E7" s="102">
        <v>45111</v>
      </c>
      <c r="F7" s="86">
        <v>1000</v>
      </c>
      <c r="G7" s="86">
        <v>1200</v>
      </c>
      <c r="H7" s="132" t="s">
        <v>172</v>
      </c>
      <c r="I7" s="292"/>
      <c r="J7" s="132" t="s">
        <v>40</v>
      </c>
      <c r="K7" s="132"/>
      <c r="L7" s="275"/>
      <c r="M7" s="275" t="s">
        <v>172</v>
      </c>
      <c r="N7" s="162"/>
      <c r="O7" s="132" t="s">
        <v>40</v>
      </c>
      <c r="P7" s="122"/>
      <c r="Q7" s="124"/>
      <c r="R7" s="275">
        <v>2200000</v>
      </c>
      <c r="S7" s="162">
        <f>(G7-F7)/100</f>
        <v>2</v>
      </c>
      <c r="T7" s="259"/>
      <c r="U7" s="270">
        <f>S7*R7*(100-P7)/100</f>
        <v>4400000</v>
      </c>
      <c r="V7" s="165">
        <f t="shared" ref="V7:V14" si="0">U7</f>
        <v>4400000</v>
      </c>
      <c r="W7" s="90"/>
      <c r="X7" s="91"/>
      <c r="Y7" s="90"/>
    </row>
    <row r="8" spans="1:31" s="82" customFormat="1" ht="13">
      <c r="A8" s="81"/>
      <c r="B8" s="81"/>
      <c r="C8" s="258"/>
      <c r="D8" s="259"/>
      <c r="E8" s="260"/>
      <c r="F8" s="86"/>
      <c r="G8" s="86"/>
      <c r="H8" s="261" t="s">
        <v>45</v>
      </c>
      <c r="I8" s="261" t="s">
        <v>35</v>
      </c>
      <c r="J8" s="261" t="s">
        <v>36</v>
      </c>
      <c r="K8" s="315" t="s">
        <v>46</v>
      </c>
      <c r="L8" s="294"/>
      <c r="M8" s="295"/>
      <c r="N8" s="296"/>
      <c r="O8" s="276"/>
      <c r="P8" s="297"/>
      <c r="Q8" s="274"/>
      <c r="R8" s="275"/>
      <c r="S8" s="162"/>
      <c r="T8" s="259"/>
      <c r="U8" s="270"/>
      <c r="V8" s="124">
        <f t="shared" si="0"/>
        <v>0</v>
      </c>
      <c r="W8" s="90"/>
      <c r="X8" s="91"/>
      <c r="Y8" s="90"/>
    </row>
    <row r="9" spans="1:31" s="82" customFormat="1" ht="13">
      <c r="A9" s="81"/>
      <c r="B9" s="81"/>
      <c r="C9" s="258"/>
      <c r="D9" s="259"/>
      <c r="E9" s="260"/>
      <c r="F9" s="86"/>
      <c r="G9" s="86"/>
      <c r="H9" s="293" t="s">
        <v>51</v>
      </c>
      <c r="I9" s="262" t="s">
        <v>35</v>
      </c>
      <c r="J9" s="262" t="s">
        <v>52</v>
      </c>
      <c r="K9" s="315" t="s">
        <v>46</v>
      </c>
      <c r="L9" s="294"/>
      <c r="M9" s="295"/>
      <c r="N9" s="296"/>
      <c r="O9" s="276"/>
      <c r="P9" s="297"/>
      <c r="Q9" s="298"/>
      <c r="R9" s="275"/>
      <c r="S9" s="162"/>
      <c r="T9" s="259"/>
      <c r="U9" s="270"/>
      <c r="V9" s="124">
        <f t="shared" si="0"/>
        <v>0</v>
      </c>
      <c r="W9" s="90"/>
      <c r="X9" s="91"/>
      <c r="Y9" s="90"/>
    </row>
    <row r="10" spans="1:31" s="82" customFormat="1" ht="13">
      <c r="A10" s="81"/>
      <c r="B10" s="81"/>
      <c r="C10" s="258"/>
      <c r="D10" s="259"/>
      <c r="E10" s="260"/>
      <c r="F10" s="86"/>
      <c r="G10" s="86"/>
      <c r="H10" s="293" t="s">
        <v>51</v>
      </c>
      <c r="I10" s="262" t="s">
        <v>35</v>
      </c>
      <c r="J10" s="262" t="s">
        <v>52</v>
      </c>
      <c r="K10" s="315" t="s">
        <v>56</v>
      </c>
      <c r="L10" s="294"/>
      <c r="M10" s="295"/>
      <c r="N10" s="296"/>
      <c r="O10" s="276"/>
      <c r="P10" s="297"/>
      <c r="Q10" s="298"/>
      <c r="R10" s="275"/>
      <c r="S10" s="162"/>
      <c r="T10" s="259"/>
      <c r="U10" s="270"/>
      <c r="V10" s="124">
        <f t="shared" si="0"/>
        <v>0</v>
      </c>
      <c r="W10" s="91"/>
      <c r="X10" s="91"/>
      <c r="Y10" s="90"/>
    </row>
    <row r="11" spans="1:31" s="82" customFormat="1" ht="13">
      <c r="A11" s="81"/>
      <c r="B11" s="81"/>
      <c r="C11" s="94"/>
      <c r="D11" s="259"/>
      <c r="E11" s="258"/>
      <c r="F11" s="86"/>
      <c r="G11" s="86"/>
      <c r="H11" s="94" t="s">
        <v>51</v>
      </c>
      <c r="I11" s="140" t="s">
        <v>35</v>
      </c>
      <c r="J11" s="140" t="s">
        <v>52</v>
      </c>
      <c r="K11" s="316">
        <v>5</v>
      </c>
      <c r="L11" s="132"/>
      <c r="M11" s="295"/>
      <c r="N11" s="281"/>
      <c r="O11" s="276"/>
      <c r="P11" s="132"/>
      <c r="Q11" s="298"/>
      <c r="R11" s="275"/>
      <c r="S11" s="162"/>
      <c r="T11" s="94"/>
      <c r="U11" s="270"/>
      <c r="V11" s="124">
        <f t="shared" si="0"/>
        <v>0</v>
      </c>
      <c r="W11" s="83"/>
    </row>
    <row r="12" spans="1:31" s="82" customFormat="1" ht="26">
      <c r="A12" s="81"/>
      <c r="B12" s="81"/>
      <c r="C12" s="258"/>
      <c r="D12" s="259"/>
      <c r="E12" s="258"/>
      <c r="F12" s="86"/>
      <c r="G12" s="86"/>
      <c r="H12" s="261" t="s">
        <v>60</v>
      </c>
      <c r="I12" s="261" t="s">
        <v>35</v>
      </c>
      <c r="J12" s="261" t="s">
        <v>36</v>
      </c>
      <c r="K12" s="315" t="s">
        <v>61</v>
      </c>
      <c r="L12" s="132"/>
      <c r="M12" s="295"/>
      <c r="N12" s="280"/>
      <c r="O12" s="276"/>
      <c r="P12" s="297"/>
      <c r="Q12" s="298"/>
      <c r="R12" s="275"/>
      <c r="S12" s="162"/>
      <c r="T12" s="259"/>
      <c r="U12" s="270"/>
      <c r="V12" s="124">
        <f t="shared" si="0"/>
        <v>0</v>
      </c>
      <c r="W12" s="90"/>
      <c r="X12" s="91"/>
      <c r="Y12" s="90"/>
    </row>
    <row r="13" spans="1:31" s="82" customFormat="1" ht="13">
      <c r="A13" s="81"/>
      <c r="B13" s="81"/>
      <c r="C13" s="94"/>
      <c r="D13" s="259"/>
      <c r="E13" s="258"/>
      <c r="F13" s="86"/>
      <c r="G13" s="86"/>
      <c r="H13" s="94" t="s">
        <v>67</v>
      </c>
      <c r="I13" s="140" t="s">
        <v>35</v>
      </c>
      <c r="J13" s="140" t="s">
        <v>36</v>
      </c>
      <c r="K13" s="315" t="s">
        <v>61</v>
      </c>
      <c r="L13" s="132"/>
      <c r="M13" s="132"/>
      <c r="N13" s="281"/>
      <c r="O13" s="276"/>
      <c r="P13" s="297"/>
      <c r="Q13" s="298"/>
      <c r="R13" s="275"/>
      <c r="S13" s="162"/>
      <c r="T13" s="94"/>
      <c r="U13" s="270"/>
      <c r="V13" s="124">
        <f t="shared" si="0"/>
        <v>0</v>
      </c>
    </row>
    <row r="14" spans="1:31" s="82" customFormat="1">
      <c r="A14" s="81"/>
      <c r="B14" s="81"/>
      <c r="C14" s="258"/>
      <c r="D14" s="259"/>
      <c r="E14" s="258"/>
      <c r="F14" s="86"/>
      <c r="G14" s="86"/>
      <c r="H14" s="261" t="s">
        <v>71</v>
      </c>
      <c r="I14" s="140" t="s">
        <v>35</v>
      </c>
      <c r="J14" s="140" t="s">
        <v>36</v>
      </c>
      <c r="K14" s="315" t="s">
        <v>37</v>
      </c>
      <c r="L14" s="132"/>
      <c r="M14" s="132"/>
      <c r="N14" s="271"/>
      <c r="O14" s="276"/>
      <c r="P14" s="272"/>
      <c r="Q14" s="274"/>
      <c r="R14" s="275"/>
      <c r="S14" s="162"/>
      <c r="T14" s="259"/>
      <c r="U14" s="270"/>
      <c r="V14" s="124">
        <f t="shared" si="0"/>
        <v>0</v>
      </c>
      <c r="W14" s="90"/>
      <c r="X14" s="91"/>
      <c r="Y14" s="90"/>
    </row>
    <row r="15" spans="1:31" s="82" customFormat="1" ht="14">
      <c r="A15" s="263"/>
      <c r="B15" s="263"/>
      <c r="C15" s="264"/>
      <c r="D15" s="265"/>
      <c r="E15" s="264"/>
      <c r="F15" s="266"/>
      <c r="G15" s="266"/>
      <c r="H15" s="267" t="s">
        <v>45</v>
      </c>
      <c r="I15" s="268" t="s">
        <v>35</v>
      </c>
      <c r="J15" s="268" t="s">
        <v>36</v>
      </c>
      <c r="K15" s="317" t="s">
        <v>76</v>
      </c>
      <c r="L15" s="132"/>
      <c r="M15" s="299"/>
      <c r="N15" s="324"/>
      <c r="O15" s="300"/>
      <c r="P15" s="301"/>
      <c r="Q15" s="302"/>
      <c r="R15" s="275"/>
      <c r="S15" s="162"/>
      <c r="T15" s="265"/>
      <c r="U15" s="273"/>
      <c r="V15" s="124">
        <f t="shared" ref="V15:V55" si="1">Q15+((S15-8)*R15)</f>
        <v>0</v>
      </c>
      <c r="W15" s="90"/>
      <c r="X15" s="91"/>
      <c r="Y15" s="90"/>
    </row>
    <row r="16" spans="1:31" s="82" customFormat="1">
      <c r="A16" s="81"/>
      <c r="B16" s="81"/>
      <c r="C16" s="258"/>
      <c r="D16" s="259"/>
      <c r="E16" s="258"/>
      <c r="F16" s="86"/>
      <c r="G16" s="86"/>
      <c r="H16" s="261" t="s">
        <v>45</v>
      </c>
      <c r="I16" s="140" t="s">
        <v>35</v>
      </c>
      <c r="J16" s="140" t="s">
        <v>36</v>
      </c>
      <c r="K16" s="315" t="s">
        <v>76</v>
      </c>
      <c r="L16" s="132"/>
      <c r="M16" s="132"/>
      <c r="N16" s="325"/>
      <c r="O16" s="276"/>
      <c r="P16" s="272"/>
      <c r="Q16" s="298"/>
      <c r="R16" s="275"/>
      <c r="S16" s="162"/>
      <c r="T16" s="259"/>
      <c r="U16" s="270"/>
      <c r="V16" s="124">
        <f t="shared" si="1"/>
        <v>0</v>
      </c>
      <c r="W16" s="90"/>
      <c r="X16" s="91"/>
      <c r="Y16" s="90"/>
    </row>
    <row r="17" spans="1:25" s="82" customFormat="1">
      <c r="A17" s="81"/>
      <c r="B17" s="81"/>
      <c r="C17" s="258"/>
      <c r="D17" s="259"/>
      <c r="E17" s="258"/>
      <c r="F17" s="86"/>
      <c r="G17" s="86"/>
      <c r="H17" s="261" t="s">
        <v>82</v>
      </c>
      <c r="I17" s="140" t="s">
        <v>35</v>
      </c>
      <c r="J17" s="140" t="s">
        <v>36</v>
      </c>
      <c r="K17" s="315" t="s">
        <v>76</v>
      </c>
      <c r="L17" s="132"/>
      <c r="M17" s="132"/>
      <c r="N17" s="271"/>
      <c r="O17" s="276"/>
      <c r="P17" s="272"/>
      <c r="Q17" s="274"/>
      <c r="R17" s="275"/>
      <c r="S17" s="162"/>
      <c r="T17" s="259"/>
      <c r="U17" s="270"/>
      <c r="V17" s="124">
        <f>U17</f>
        <v>0</v>
      </c>
      <c r="W17" s="90"/>
      <c r="X17" s="91"/>
      <c r="Y17" s="90"/>
    </row>
    <row r="18" spans="1:25" s="82" customFormat="1">
      <c r="A18" s="81">
        <f t="shared" ref="A18:A55" si="2">ROW()-6</f>
        <v>12</v>
      </c>
      <c r="B18" s="81">
        <v>12</v>
      </c>
      <c r="C18" s="258" t="s">
        <v>85</v>
      </c>
      <c r="D18" s="259" t="s">
        <v>32</v>
      </c>
      <c r="E18" s="258" t="s">
        <v>66</v>
      </c>
      <c r="F18" s="86">
        <v>1300</v>
      </c>
      <c r="G18" s="86">
        <v>1700</v>
      </c>
      <c r="H18" s="261" t="s">
        <v>86</v>
      </c>
      <c r="I18" s="140" t="s">
        <v>87</v>
      </c>
      <c r="J18" s="140" t="s">
        <v>88</v>
      </c>
      <c r="K18" s="315" t="s">
        <v>61</v>
      </c>
      <c r="L18" s="132"/>
      <c r="M18" s="132" t="s">
        <v>89</v>
      </c>
      <c r="N18" s="271" t="s">
        <v>90</v>
      </c>
      <c r="O18" s="276" t="s">
        <v>40</v>
      </c>
      <c r="P18" s="272"/>
      <c r="Q18" s="303"/>
      <c r="R18" s="275">
        <v>950000</v>
      </c>
      <c r="S18" s="162">
        <f t="shared" ref="S18:S55" si="3">(G18-F18)/100</f>
        <v>4</v>
      </c>
      <c r="T18" s="94"/>
      <c r="U18" s="270">
        <f t="shared" ref="U18:U28" si="4">S18*R18*(100-P18)/100</f>
        <v>3800000</v>
      </c>
      <c r="V18" s="165">
        <f t="shared" si="1"/>
        <v>-3800000</v>
      </c>
    </row>
    <row r="19" spans="1:25" s="82" customFormat="1">
      <c r="A19" s="81"/>
      <c r="B19" s="81"/>
      <c r="C19" s="258"/>
      <c r="D19" s="259"/>
      <c r="E19" s="258"/>
      <c r="F19" s="86"/>
      <c r="G19" s="86"/>
      <c r="H19" s="261" t="s">
        <v>92</v>
      </c>
      <c r="I19" s="140" t="s">
        <v>35</v>
      </c>
      <c r="J19" s="140" t="s">
        <v>36</v>
      </c>
      <c r="K19" s="315" t="s">
        <v>76</v>
      </c>
      <c r="L19" s="132"/>
      <c r="M19" s="132"/>
      <c r="N19" s="271"/>
      <c r="O19" s="276"/>
      <c r="P19" s="272"/>
      <c r="Q19" s="274"/>
      <c r="R19" s="275"/>
      <c r="S19" s="162"/>
      <c r="T19" s="259"/>
      <c r="U19" s="270"/>
      <c r="V19" s="124">
        <f t="shared" ref="V19:V25" si="5">U19</f>
        <v>0</v>
      </c>
      <c r="W19" s="90"/>
      <c r="X19" s="91"/>
      <c r="Y19" s="90"/>
    </row>
    <row r="20" spans="1:25" s="82" customFormat="1">
      <c r="A20" s="81"/>
      <c r="B20" s="81"/>
      <c r="C20" s="87"/>
      <c r="D20" s="88"/>
      <c r="E20" s="87"/>
      <c r="F20" s="86"/>
      <c r="G20" s="86"/>
      <c r="H20" s="89" t="s">
        <v>97</v>
      </c>
      <c r="I20" s="140" t="s">
        <v>35</v>
      </c>
      <c r="J20" s="140" t="s">
        <v>36</v>
      </c>
      <c r="K20" s="318" t="s">
        <v>56</v>
      </c>
      <c r="L20" s="304"/>
      <c r="M20" s="132"/>
      <c r="N20" s="305"/>
      <c r="O20" s="306"/>
      <c r="P20" s="304"/>
      <c r="Q20" s="307"/>
      <c r="R20" s="275"/>
      <c r="S20" s="162"/>
      <c r="T20" s="88"/>
      <c r="U20" s="122"/>
      <c r="V20" s="124">
        <f t="shared" si="5"/>
        <v>0</v>
      </c>
      <c r="W20" s="90"/>
      <c r="X20" s="91"/>
      <c r="Y20" s="90"/>
    </row>
    <row r="21" spans="1:25" s="82" customFormat="1">
      <c r="A21" s="81"/>
      <c r="B21" s="81"/>
      <c r="C21" s="87"/>
      <c r="D21" s="88"/>
      <c r="E21" s="87"/>
      <c r="F21" s="86"/>
      <c r="G21" s="86"/>
      <c r="H21" s="89" t="s">
        <v>82</v>
      </c>
      <c r="I21" s="140" t="s">
        <v>87</v>
      </c>
      <c r="J21" s="140" t="s">
        <v>88</v>
      </c>
      <c r="K21" s="318" t="s">
        <v>100</v>
      </c>
      <c r="L21" s="304"/>
      <c r="M21" s="132"/>
      <c r="N21" s="305"/>
      <c r="O21" s="306"/>
      <c r="P21" s="304"/>
      <c r="Q21" s="298"/>
      <c r="R21" s="275"/>
      <c r="S21" s="162"/>
      <c r="T21" s="88"/>
      <c r="U21" s="122"/>
      <c r="V21" s="124">
        <f t="shared" si="5"/>
        <v>0</v>
      </c>
      <c r="W21" s="90"/>
      <c r="X21" s="91"/>
      <c r="Y21" s="90"/>
    </row>
    <row r="22" spans="1:25" s="82" customFormat="1">
      <c r="A22" s="81"/>
      <c r="B22" s="81"/>
      <c r="C22" s="87"/>
      <c r="D22" s="88"/>
      <c r="E22" s="87"/>
      <c r="F22" s="86"/>
      <c r="G22" s="86"/>
      <c r="H22" s="89" t="s">
        <v>71</v>
      </c>
      <c r="I22" s="140" t="s">
        <v>35</v>
      </c>
      <c r="J22" s="140" t="s">
        <v>36</v>
      </c>
      <c r="K22" s="318" t="s">
        <v>56</v>
      </c>
      <c r="L22" s="304"/>
      <c r="M22" s="132"/>
      <c r="N22" s="305"/>
      <c r="O22" s="306"/>
      <c r="P22" s="298"/>
      <c r="Q22" s="298"/>
      <c r="R22" s="275"/>
      <c r="S22" s="162"/>
      <c r="T22" s="94"/>
      <c r="U22" s="122"/>
      <c r="V22" s="165">
        <f t="shared" si="5"/>
        <v>0</v>
      </c>
    </row>
    <row r="23" spans="1:25" s="82" customFormat="1" ht="26">
      <c r="A23" s="81"/>
      <c r="B23" s="81"/>
      <c r="C23" s="87"/>
      <c r="D23" s="88"/>
      <c r="E23" s="87"/>
      <c r="F23" s="86"/>
      <c r="G23" s="86"/>
      <c r="H23" s="89" t="s">
        <v>106</v>
      </c>
      <c r="I23" s="140" t="s">
        <v>35</v>
      </c>
      <c r="J23" s="140" t="s">
        <v>36</v>
      </c>
      <c r="K23" s="318" t="s">
        <v>46</v>
      </c>
      <c r="L23" s="304"/>
      <c r="M23" s="132"/>
      <c r="N23" s="305"/>
      <c r="O23" s="306"/>
      <c r="P23" s="304"/>
      <c r="Q23" s="298"/>
      <c r="R23" s="275"/>
      <c r="S23" s="162"/>
      <c r="T23" s="88"/>
      <c r="U23" s="122"/>
      <c r="V23" s="124">
        <f t="shared" si="5"/>
        <v>0</v>
      </c>
      <c r="W23" s="90"/>
      <c r="X23" s="91"/>
      <c r="Y23" s="90"/>
    </row>
    <row r="24" spans="1:25" s="82" customFormat="1">
      <c r="A24" s="81"/>
      <c r="B24" s="81"/>
      <c r="C24" s="258"/>
      <c r="D24" s="259"/>
      <c r="E24" s="258"/>
      <c r="F24" s="86"/>
      <c r="G24" s="86"/>
      <c r="H24" s="261" t="s">
        <v>111</v>
      </c>
      <c r="I24" s="140" t="s">
        <v>35</v>
      </c>
      <c r="J24" s="140" t="s">
        <v>36</v>
      </c>
      <c r="K24" s="315" t="s">
        <v>61</v>
      </c>
      <c r="L24" s="132"/>
      <c r="M24" s="132"/>
      <c r="N24" s="271"/>
      <c r="O24" s="276"/>
      <c r="P24" s="272"/>
      <c r="Q24" s="274"/>
      <c r="R24" s="275"/>
      <c r="S24" s="162"/>
      <c r="T24" s="259"/>
      <c r="U24" s="270"/>
      <c r="V24" s="124">
        <f t="shared" si="5"/>
        <v>0</v>
      </c>
      <c r="W24" s="90"/>
      <c r="X24" s="91"/>
      <c r="Y24" s="90"/>
    </row>
    <row r="25" spans="1:25" s="82" customFormat="1">
      <c r="A25" s="81"/>
      <c r="B25" s="81"/>
      <c r="C25" s="258"/>
      <c r="D25" s="259"/>
      <c r="E25" s="258"/>
      <c r="F25" s="86"/>
      <c r="G25" s="86"/>
      <c r="H25" s="261" t="s">
        <v>116</v>
      </c>
      <c r="I25" s="140" t="s">
        <v>35</v>
      </c>
      <c r="J25" s="140" t="s">
        <v>36</v>
      </c>
      <c r="K25" s="315" t="s">
        <v>56</v>
      </c>
      <c r="L25" s="132"/>
      <c r="M25" s="132"/>
      <c r="N25" s="271"/>
      <c r="O25" s="276"/>
      <c r="P25" s="298"/>
      <c r="Q25" s="303"/>
      <c r="R25" s="275"/>
      <c r="S25" s="162"/>
      <c r="T25" s="94"/>
      <c r="U25" s="270"/>
      <c r="V25" s="165">
        <f t="shared" si="5"/>
        <v>0</v>
      </c>
    </row>
    <row r="26" spans="1:25" s="82" customFormat="1">
      <c r="A26" s="81">
        <f t="shared" si="2"/>
        <v>20</v>
      </c>
      <c r="B26" s="81">
        <v>20</v>
      </c>
      <c r="C26" s="258" t="s">
        <v>118</v>
      </c>
      <c r="D26" s="259" t="s">
        <v>43</v>
      </c>
      <c r="E26" s="258" t="s">
        <v>119</v>
      </c>
      <c r="F26" s="86">
        <v>1400</v>
      </c>
      <c r="G26" s="86">
        <v>1500</v>
      </c>
      <c r="H26" s="261" t="s">
        <v>120</v>
      </c>
      <c r="I26" s="140" t="s">
        <v>87</v>
      </c>
      <c r="J26" s="140" t="s">
        <v>88</v>
      </c>
      <c r="K26" s="315" t="s">
        <v>61</v>
      </c>
      <c r="L26" s="132"/>
      <c r="M26" s="132" t="s">
        <v>89</v>
      </c>
      <c r="N26" s="271" t="s">
        <v>121</v>
      </c>
      <c r="O26" s="276" t="s">
        <v>40</v>
      </c>
      <c r="P26" s="298"/>
      <c r="Q26" s="274"/>
      <c r="R26" s="275">
        <v>500000</v>
      </c>
      <c r="S26" s="162">
        <f t="shared" si="3"/>
        <v>1</v>
      </c>
      <c r="T26" s="259"/>
      <c r="U26" s="270">
        <f t="shared" si="4"/>
        <v>500000</v>
      </c>
      <c r="V26" s="165">
        <f t="shared" si="1"/>
        <v>-3500000</v>
      </c>
      <c r="W26" s="90"/>
      <c r="X26" s="91"/>
      <c r="Y26" s="90"/>
    </row>
    <row r="27" spans="1:25" s="82" customFormat="1">
      <c r="A27" s="81"/>
      <c r="B27" s="81"/>
      <c r="C27" s="258"/>
      <c r="D27" s="259"/>
      <c r="E27" s="258"/>
      <c r="F27" s="86"/>
      <c r="G27" s="86"/>
      <c r="H27" s="261" t="s">
        <v>123</v>
      </c>
      <c r="I27" s="140" t="s">
        <v>87</v>
      </c>
      <c r="J27" s="140" t="s">
        <v>88</v>
      </c>
      <c r="K27" s="315" t="s">
        <v>76</v>
      </c>
      <c r="L27" s="132"/>
      <c r="M27" s="132"/>
      <c r="N27" s="271"/>
      <c r="O27" s="276"/>
      <c r="P27" s="298"/>
      <c r="Q27" s="298"/>
      <c r="R27" s="275"/>
      <c r="S27" s="162"/>
      <c r="T27" s="94"/>
      <c r="U27" s="270"/>
      <c r="V27" s="124">
        <f>U27</f>
        <v>0</v>
      </c>
    </row>
    <row r="28" spans="1:25" s="82" customFormat="1">
      <c r="A28" s="81">
        <f t="shared" si="2"/>
        <v>22</v>
      </c>
      <c r="B28" s="81">
        <v>22</v>
      </c>
      <c r="C28" s="87" t="s">
        <v>126</v>
      </c>
      <c r="D28" s="88" t="s">
        <v>32</v>
      </c>
      <c r="E28" s="87" t="s">
        <v>110</v>
      </c>
      <c r="F28" s="86">
        <v>800</v>
      </c>
      <c r="G28" s="86">
        <v>1230</v>
      </c>
      <c r="H28" s="89" t="s">
        <v>127</v>
      </c>
      <c r="I28" s="140" t="s">
        <v>36</v>
      </c>
      <c r="J28" s="140" t="s">
        <v>36</v>
      </c>
      <c r="K28" s="318" t="s">
        <v>100</v>
      </c>
      <c r="L28" s="304"/>
      <c r="M28" s="132" t="s">
        <v>89</v>
      </c>
      <c r="N28" s="305" t="s">
        <v>128</v>
      </c>
      <c r="O28" s="306" t="s">
        <v>40</v>
      </c>
      <c r="P28" s="304"/>
      <c r="Q28" s="298"/>
      <c r="R28" s="275">
        <v>950000</v>
      </c>
      <c r="S28" s="162">
        <f>(1250-F28)/100</f>
        <v>4.5</v>
      </c>
      <c r="T28" s="88"/>
      <c r="U28" s="122">
        <f t="shared" si="4"/>
        <v>4275000</v>
      </c>
      <c r="V28" s="165">
        <f t="shared" si="1"/>
        <v>-3325000</v>
      </c>
      <c r="W28" s="90"/>
      <c r="X28" s="91"/>
      <c r="Y28" s="90"/>
    </row>
    <row r="29" spans="1:25" s="82" customFormat="1">
      <c r="A29" s="81"/>
      <c r="B29" s="81"/>
      <c r="C29" s="258"/>
      <c r="D29" s="259"/>
      <c r="E29" s="258"/>
      <c r="F29" s="86"/>
      <c r="G29" s="86"/>
      <c r="H29" s="261" t="s">
        <v>131</v>
      </c>
      <c r="I29" s="140" t="s">
        <v>132</v>
      </c>
      <c r="J29" s="140" t="s">
        <v>88</v>
      </c>
      <c r="K29" s="315" t="s">
        <v>133</v>
      </c>
      <c r="L29" s="132"/>
      <c r="M29" s="132"/>
      <c r="N29" s="277"/>
      <c r="O29" s="276"/>
      <c r="P29" s="272"/>
      <c r="Q29" s="303"/>
      <c r="R29" s="275"/>
      <c r="S29" s="162"/>
      <c r="T29" s="94"/>
      <c r="U29" s="270"/>
      <c r="V29" s="124">
        <f>U29</f>
        <v>0</v>
      </c>
    </row>
    <row r="30" spans="1:25" s="82" customFormat="1" ht="13">
      <c r="A30" s="81"/>
      <c r="B30" s="81"/>
      <c r="C30" s="258"/>
      <c r="D30" s="259"/>
      <c r="E30" s="258"/>
      <c r="F30" s="86"/>
      <c r="G30" s="86"/>
      <c r="H30" s="261" t="s">
        <v>135</v>
      </c>
      <c r="I30" s="140" t="s">
        <v>87</v>
      </c>
      <c r="J30" s="140" t="s">
        <v>88</v>
      </c>
      <c r="K30" s="315" t="s">
        <v>136</v>
      </c>
      <c r="L30" s="132"/>
      <c r="M30" s="132"/>
      <c r="N30" s="278"/>
      <c r="O30" s="276"/>
      <c r="P30" s="298"/>
      <c r="Q30" s="303"/>
      <c r="R30" s="275"/>
      <c r="S30" s="162"/>
      <c r="T30" s="259"/>
      <c r="U30" s="270"/>
      <c r="V30" s="124">
        <f>U30</f>
        <v>0</v>
      </c>
      <c r="W30" s="90"/>
      <c r="X30" s="91"/>
      <c r="Y30" s="90"/>
    </row>
    <row r="31" spans="1:25" s="82" customFormat="1" ht="13">
      <c r="A31" s="81"/>
      <c r="B31" s="81"/>
      <c r="C31" s="258"/>
      <c r="D31" s="259"/>
      <c r="E31" s="258"/>
      <c r="F31" s="86"/>
      <c r="G31" s="86"/>
      <c r="H31" s="261" t="s">
        <v>135</v>
      </c>
      <c r="I31" s="140" t="s">
        <v>87</v>
      </c>
      <c r="J31" s="140" t="s">
        <v>88</v>
      </c>
      <c r="K31" s="315" t="s">
        <v>136</v>
      </c>
      <c r="L31" s="132"/>
      <c r="M31" s="132"/>
      <c r="N31" s="278"/>
      <c r="O31" s="276"/>
      <c r="P31" s="298"/>
      <c r="Q31" s="308"/>
      <c r="R31" s="275"/>
      <c r="S31" s="162"/>
      <c r="T31" s="259"/>
      <c r="U31" s="270"/>
      <c r="V31" s="124">
        <f>U31</f>
        <v>0</v>
      </c>
      <c r="W31" s="90"/>
      <c r="X31" s="91"/>
      <c r="Y31" s="90"/>
    </row>
    <row r="32" spans="1:25" s="82" customFormat="1">
      <c r="A32" s="81"/>
      <c r="B32" s="81"/>
      <c r="C32" s="258"/>
      <c r="D32" s="259"/>
      <c r="E32" s="258"/>
      <c r="F32" s="86"/>
      <c r="G32" s="86"/>
      <c r="H32" s="261" t="s">
        <v>139</v>
      </c>
      <c r="I32" s="140" t="s">
        <v>87</v>
      </c>
      <c r="J32" s="140" t="s">
        <v>140</v>
      </c>
      <c r="K32" s="315" t="s">
        <v>37</v>
      </c>
      <c r="L32" s="132"/>
      <c r="M32" s="132"/>
      <c r="N32" s="277"/>
      <c r="O32" s="276"/>
      <c r="P32" s="272"/>
      <c r="Q32" s="274"/>
      <c r="R32" s="275"/>
      <c r="S32" s="162"/>
      <c r="T32" s="259"/>
      <c r="U32" s="270"/>
      <c r="V32" s="124">
        <f>U32</f>
        <v>0</v>
      </c>
      <c r="W32" s="90"/>
      <c r="X32" s="91"/>
      <c r="Y32" s="90"/>
    </row>
    <row r="33" spans="1:25" s="82" customFormat="1" ht="14">
      <c r="A33" s="81"/>
      <c r="B33" s="81"/>
      <c r="C33" s="258"/>
      <c r="D33" s="259"/>
      <c r="E33" s="258"/>
      <c r="F33" s="86"/>
      <c r="G33" s="86"/>
      <c r="H33" s="261" t="s">
        <v>143</v>
      </c>
      <c r="I33" s="140" t="s">
        <v>35</v>
      </c>
      <c r="J33" s="140" t="s">
        <v>36</v>
      </c>
      <c r="K33" s="315" t="s">
        <v>133</v>
      </c>
      <c r="L33" s="132"/>
      <c r="M33" s="132"/>
      <c r="N33" s="278"/>
      <c r="O33" s="276"/>
      <c r="P33" s="272"/>
      <c r="Q33" s="298"/>
      <c r="R33" s="275"/>
      <c r="S33" s="162"/>
      <c r="T33" s="259"/>
      <c r="U33" s="270"/>
      <c r="V33" s="124">
        <f>U33</f>
        <v>0</v>
      </c>
      <c r="W33" s="90"/>
      <c r="X33" s="91"/>
      <c r="Y33" s="90"/>
    </row>
    <row r="34" spans="1:25" s="82" customFormat="1" ht="14">
      <c r="A34" s="81"/>
      <c r="B34" s="81"/>
      <c r="C34" s="258"/>
      <c r="D34" s="259"/>
      <c r="E34" s="258"/>
      <c r="F34" s="86"/>
      <c r="G34" s="86"/>
      <c r="H34" s="261" t="s">
        <v>143</v>
      </c>
      <c r="I34" s="140" t="s">
        <v>35</v>
      </c>
      <c r="J34" s="140" t="s">
        <v>36</v>
      </c>
      <c r="K34" s="315" t="s">
        <v>133</v>
      </c>
      <c r="L34" s="132"/>
      <c r="M34" s="132"/>
      <c r="N34" s="278"/>
      <c r="O34" s="276"/>
      <c r="P34" s="272"/>
      <c r="Q34" s="298"/>
      <c r="R34" s="275"/>
      <c r="S34" s="162"/>
      <c r="T34" s="259"/>
      <c r="U34" s="270"/>
      <c r="V34" s="124">
        <f>Q34+((S34-4)*R34)</f>
        <v>0</v>
      </c>
      <c r="W34" s="90"/>
      <c r="X34" s="91"/>
      <c r="Y34" s="90"/>
    </row>
    <row r="35" spans="1:25" s="82" customFormat="1" ht="13">
      <c r="A35" s="81"/>
      <c r="B35" s="81"/>
      <c r="C35" s="258"/>
      <c r="D35" s="259"/>
      <c r="E35" s="258"/>
      <c r="F35" s="86"/>
      <c r="G35" s="86"/>
      <c r="H35" s="261" t="s">
        <v>147</v>
      </c>
      <c r="I35" s="140" t="s">
        <v>35</v>
      </c>
      <c r="J35" s="140" t="s">
        <v>36</v>
      </c>
      <c r="K35" s="315" t="s">
        <v>61</v>
      </c>
      <c r="L35" s="132"/>
      <c r="M35" s="132"/>
      <c r="N35" s="278"/>
      <c r="O35" s="276"/>
      <c r="P35" s="297"/>
      <c r="Q35" s="298"/>
      <c r="R35" s="275"/>
      <c r="S35" s="162"/>
      <c r="T35" s="259"/>
      <c r="U35" s="270"/>
      <c r="V35" s="124">
        <f>U35</f>
        <v>0</v>
      </c>
      <c r="W35" s="90"/>
      <c r="X35" s="91"/>
      <c r="Y35" s="90"/>
    </row>
    <row r="36" spans="1:25" s="82" customFormat="1">
      <c r="A36" s="81">
        <f t="shared" si="2"/>
        <v>30</v>
      </c>
      <c r="B36" s="81">
        <v>30</v>
      </c>
      <c r="C36" s="258" t="s">
        <v>148</v>
      </c>
      <c r="D36" s="259" t="s">
        <v>65</v>
      </c>
      <c r="E36" s="269">
        <v>45141</v>
      </c>
      <c r="F36" s="86">
        <v>1100</v>
      </c>
      <c r="G36" s="86">
        <v>1600</v>
      </c>
      <c r="H36" s="261" t="s">
        <v>149</v>
      </c>
      <c r="I36" s="140" t="s">
        <v>35</v>
      </c>
      <c r="J36" s="140" t="s">
        <v>36</v>
      </c>
      <c r="K36" s="315" t="s">
        <v>61</v>
      </c>
      <c r="L36" s="132"/>
      <c r="M36" s="132" t="s">
        <v>62</v>
      </c>
      <c r="N36" s="277">
        <v>45080.785752314812</v>
      </c>
      <c r="O36" s="276" t="s">
        <v>150</v>
      </c>
      <c r="P36" s="297">
        <v>10</v>
      </c>
      <c r="Q36" s="303"/>
      <c r="R36" s="275">
        <v>180000</v>
      </c>
      <c r="S36" s="162">
        <f t="shared" si="3"/>
        <v>5</v>
      </c>
      <c r="T36" s="259"/>
      <c r="U36" s="270">
        <f>S36*R36*(100-P36)/100</f>
        <v>810000</v>
      </c>
      <c r="V36" s="124">
        <f>U36</f>
        <v>810000</v>
      </c>
      <c r="W36" s="90"/>
      <c r="X36" s="91"/>
      <c r="Y36" s="90"/>
    </row>
    <row r="37" spans="1:25" s="82" customFormat="1">
      <c r="A37" s="81"/>
      <c r="B37" s="81"/>
      <c r="C37" s="258"/>
      <c r="D37" s="259"/>
      <c r="E37" s="258"/>
      <c r="F37" s="86"/>
      <c r="G37" s="86"/>
      <c r="H37" s="261" t="s">
        <v>153</v>
      </c>
      <c r="I37" s="140" t="s">
        <v>35</v>
      </c>
      <c r="J37" s="140" t="s">
        <v>36</v>
      </c>
      <c r="K37" s="315" t="s">
        <v>37</v>
      </c>
      <c r="L37" s="132"/>
      <c r="M37" s="132"/>
      <c r="N37" s="277"/>
      <c r="O37" s="276"/>
      <c r="P37" s="272"/>
      <c r="Q37" s="298"/>
      <c r="R37" s="275"/>
      <c r="S37" s="162"/>
      <c r="T37" s="259"/>
      <c r="U37" s="270"/>
      <c r="V37" s="124">
        <f t="shared" si="1"/>
        <v>0</v>
      </c>
      <c r="W37" s="90"/>
      <c r="X37" s="91"/>
      <c r="Y37" s="90"/>
    </row>
    <row r="38" spans="1:25" s="82" customFormat="1">
      <c r="A38" s="81"/>
      <c r="B38" s="81"/>
      <c r="C38" s="258"/>
      <c r="D38" s="259"/>
      <c r="E38" s="258"/>
      <c r="F38" s="86"/>
      <c r="G38" s="86"/>
      <c r="H38" s="261" t="s">
        <v>153</v>
      </c>
      <c r="I38" s="140" t="s">
        <v>35</v>
      </c>
      <c r="J38" s="140" t="s">
        <v>36</v>
      </c>
      <c r="K38" s="315" t="s">
        <v>37</v>
      </c>
      <c r="L38" s="132"/>
      <c r="M38" s="132"/>
      <c r="N38" s="277"/>
      <c r="O38" s="276"/>
      <c r="P38" s="272"/>
      <c r="Q38" s="298"/>
      <c r="R38" s="275"/>
      <c r="S38" s="162"/>
      <c r="T38" s="259"/>
      <c r="U38" s="270"/>
      <c r="V38" s="124">
        <f t="shared" si="1"/>
        <v>0</v>
      </c>
      <c r="W38" s="90"/>
      <c r="X38" s="91"/>
      <c r="Y38" s="90"/>
    </row>
    <row r="39" spans="1:25" s="82" customFormat="1">
      <c r="A39" s="81"/>
      <c r="B39" s="81"/>
      <c r="C39" s="258"/>
      <c r="D39" s="259"/>
      <c r="E39" s="258"/>
      <c r="F39" s="86"/>
      <c r="G39" s="86"/>
      <c r="H39" s="261" t="s">
        <v>153</v>
      </c>
      <c r="I39" s="140" t="s">
        <v>35</v>
      </c>
      <c r="J39" s="140" t="s">
        <v>36</v>
      </c>
      <c r="K39" s="315" t="s">
        <v>37</v>
      </c>
      <c r="L39" s="132"/>
      <c r="M39" s="132"/>
      <c r="N39" s="277"/>
      <c r="O39" s="276"/>
      <c r="P39" s="272"/>
      <c r="Q39" s="298"/>
      <c r="R39" s="275"/>
      <c r="S39" s="162"/>
      <c r="T39" s="259"/>
      <c r="U39" s="270"/>
      <c r="V39" s="124">
        <f t="shared" si="1"/>
        <v>0</v>
      </c>
      <c r="W39" s="90"/>
      <c r="X39" s="90"/>
      <c r="Y39" s="90"/>
    </row>
    <row r="40" spans="1:25" s="82" customFormat="1">
      <c r="A40" s="81"/>
      <c r="B40" s="81"/>
      <c r="C40" s="258"/>
      <c r="D40" s="259"/>
      <c r="E40" s="258"/>
      <c r="F40" s="86"/>
      <c r="G40" s="86"/>
      <c r="H40" s="261" t="s">
        <v>153</v>
      </c>
      <c r="I40" s="140" t="s">
        <v>35</v>
      </c>
      <c r="J40" s="140" t="s">
        <v>36</v>
      </c>
      <c r="K40" s="315" t="s">
        <v>37</v>
      </c>
      <c r="L40" s="132"/>
      <c r="M40" s="132"/>
      <c r="N40" s="277"/>
      <c r="O40" s="276"/>
      <c r="P40" s="272"/>
      <c r="Q40" s="298"/>
      <c r="R40" s="275"/>
      <c r="S40" s="162"/>
      <c r="T40" s="94"/>
      <c r="U40" s="270"/>
      <c r="V40" s="124">
        <f t="shared" si="1"/>
        <v>0</v>
      </c>
    </row>
    <row r="41" spans="1:25" s="82" customFormat="1" ht="14">
      <c r="A41" s="81"/>
      <c r="B41" s="81"/>
      <c r="C41" s="258"/>
      <c r="D41" s="259"/>
      <c r="E41" s="258"/>
      <c r="F41" s="86"/>
      <c r="G41" s="86"/>
      <c r="H41" s="261" t="s">
        <v>160</v>
      </c>
      <c r="I41" s="140" t="s">
        <v>35</v>
      </c>
      <c r="J41" s="140" t="s">
        <v>52</v>
      </c>
      <c r="K41" s="315" t="s">
        <v>76</v>
      </c>
      <c r="L41" s="132"/>
      <c r="M41" s="132"/>
      <c r="N41" s="278"/>
      <c r="O41" s="276"/>
      <c r="P41" s="272"/>
      <c r="Q41" s="298"/>
      <c r="R41" s="275"/>
      <c r="S41" s="162"/>
      <c r="T41" s="94"/>
      <c r="U41" s="270"/>
      <c r="V41" s="124">
        <f t="shared" ref="V41:V48" si="6">U41</f>
        <v>0</v>
      </c>
    </row>
    <row r="42" spans="1:25" s="82" customFormat="1" ht="14">
      <c r="A42" s="81"/>
      <c r="B42" s="81"/>
      <c r="C42" s="258"/>
      <c r="D42" s="259"/>
      <c r="E42" s="258"/>
      <c r="F42" s="86"/>
      <c r="G42" s="86"/>
      <c r="H42" s="261" t="s">
        <v>160</v>
      </c>
      <c r="I42" s="140" t="s">
        <v>35</v>
      </c>
      <c r="J42" s="140" t="s">
        <v>36</v>
      </c>
      <c r="K42" s="315" t="s">
        <v>56</v>
      </c>
      <c r="L42" s="132"/>
      <c r="M42" s="132"/>
      <c r="N42" s="278"/>
      <c r="O42" s="276"/>
      <c r="P42" s="272"/>
      <c r="Q42" s="298"/>
      <c r="R42" s="275"/>
      <c r="S42" s="162"/>
      <c r="T42" s="94"/>
      <c r="U42" s="270"/>
      <c r="V42" s="124">
        <f t="shared" si="6"/>
        <v>0</v>
      </c>
    </row>
    <row r="43" spans="1:25" s="82" customFormat="1">
      <c r="A43" s="81"/>
      <c r="B43" s="81"/>
      <c r="C43" s="258"/>
      <c r="D43" s="259"/>
      <c r="E43" s="258"/>
      <c r="F43" s="86"/>
      <c r="G43" s="86"/>
      <c r="H43" s="261" t="s">
        <v>160</v>
      </c>
      <c r="I43" s="140" t="s">
        <v>35</v>
      </c>
      <c r="J43" s="140" t="s">
        <v>52</v>
      </c>
      <c r="K43" s="315" t="s">
        <v>76</v>
      </c>
      <c r="L43" s="132"/>
      <c r="M43" s="132"/>
      <c r="N43" s="278"/>
      <c r="O43" s="276"/>
      <c r="P43" s="279"/>
      <c r="Q43" s="298"/>
      <c r="R43" s="275"/>
      <c r="S43" s="162"/>
      <c r="T43" s="46"/>
      <c r="U43" s="270"/>
      <c r="V43" s="124">
        <f t="shared" si="6"/>
        <v>0</v>
      </c>
    </row>
    <row r="44" spans="1:25" s="82" customFormat="1" ht="13">
      <c r="A44" s="81"/>
      <c r="B44" s="81"/>
      <c r="C44" s="258"/>
      <c r="D44" s="259"/>
      <c r="E44" s="258"/>
      <c r="F44" s="86"/>
      <c r="G44" s="86"/>
      <c r="H44" s="261" t="s">
        <v>166</v>
      </c>
      <c r="I44" s="261" t="s">
        <v>35</v>
      </c>
      <c r="J44" s="261" t="s">
        <v>36</v>
      </c>
      <c r="K44" s="315" t="s">
        <v>167</v>
      </c>
      <c r="L44" s="132"/>
      <c r="M44" s="132"/>
      <c r="N44" s="280"/>
      <c r="O44" s="276"/>
      <c r="P44" s="297"/>
      <c r="Q44" s="298"/>
      <c r="R44" s="275"/>
      <c r="S44" s="162"/>
      <c r="T44" s="259"/>
      <c r="U44" s="270"/>
      <c r="V44" s="124">
        <f t="shared" si="6"/>
        <v>0</v>
      </c>
      <c r="W44" s="90"/>
      <c r="X44" s="91"/>
      <c r="Y44" s="90"/>
    </row>
    <row r="45" spans="1:25" s="82" customFormat="1" ht="26">
      <c r="A45" s="81">
        <f t="shared" si="2"/>
        <v>39</v>
      </c>
      <c r="B45" s="81">
        <v>39</v>
      </c>
      <c r="C45" s="258" t="s">
        <v>169</v>
      </c>
      <c r="D45" s="259" t="s">
        <v>32</v>
      </c>
      <c r="E45" s="258" t="s">
        <v>50</v>
      </c>
      <c r="F45" s="86">
        <v>900</v>
      </c>
      <c r="G45" s="86">
        <v>1100</v>
      </c>
      <c r="H45" s="261" t="s">
        <v>170</v>
      </c>
      <c r="I45" s="261" t="s">
        <v>35</v>
      </c>
      <c r="J45" s="261" t="s">
        <v>36</v>
      </c>
      <c r="K45" s="315" t="s">
        <v>171</v>
      </c>
      <c r="L45" s="132"/>
      <c r="M45" s="309" t="s">
        <v>172</v>
      </c>
      <c r="N45" s="280" t="s">
        <v>173</v>
      </c>
      <c r="O45" s="276" t="s">
        <v>174</v>
      </c>
      <c r="P45" s="297"/>
      <c r="Q45" s="275"/>
      <c r="R45" s="275">
        <v>950000</v>
      </c>
      <c r="S45" s="162">
        <f t="shared" si="3"/>
        <v>2</v>
      </c>
      <c r="T45" s="259"/>
      <c r="U45" s="122">
        <f t="shared" ref="U45:U55" si="7">S45*R45*(100-P45)/100</f>
        <v>1900000</v>
      </c>
      <c r="V45" s="124">
        <f t="shared" si="6"/>
        <v>1900000</v>
      </c>
      <c r="W45" s="90"/>
      <c r="X45" s="91"/>
      <c r="Y45" s="90"/>
    </row>
    <row r="46" spans="1:25" s="82" customFormat="1" ht="13">
      <c r="A46" s="81"/>
      <c r="B46" s="81"/>
      <c r="C46" s="94"/>
      <c r="D46" s="94"/>
      <c r="E46" s="139"/>
      <c r="F46" s="96"/>
      <c r="G46" s="96"/>
      <c r="H46" s="95" t="s">
        <v>175</v>
      </c>
      <c r="I46" s="140" t="s">
        <v>87</v>
      </c>
      <c r="J46" s="140" t="s">
        <v>52</v>
      </c>
      <c r="K46" s="316">
        <v>5</v>
      </c>
      <c r="L46" s="132"/>
      <c r="M46" s="132"/>
      <c r="N46" s="310"/>
      <c r="O46" s="311"/>
      <c r="P46" s="311"/>
      <c r="Q46" s="298"/>
      <c r="R46" s="275"/>
      <c r="S46" s="162"/>
      <c r="T46" s="95"/>
      <c r="U46" s="270"/>
      <c r="V46" s="124">
        <f t="shared" si="6"/>
        <v>0</v>
      </c>
    </row>
    <row r="47" spans="1:25" s="82" customFormat="1" ht="13">
      <c r="A47" s="81"/>
      <c r="B47" s="81"/>
      <c r="C47" s="94"/>
      <c r="D47" s="94"/>
      <c r="E47" s="102"/>
      <c r="F47" s="86"/>
      <c r="G47" s="86"/>
      <c r="H47" s="94" t="s">
        <v>160</v>
      </c>
      <c r="I47" s="140" t="s">
        <v>35</v>
      </c>
      <c r="J47" s="140" t="s">
        <v>36</v>
      </c>
      <c r="K47" s="316">
        <v>6</v>
      </c>
      <c r="L47" s="132"/>
      <c r="M47" s="132"/>
      <c r="N47" s="310"/>
      <c r="O47" s="132"/>
      <c r="P47" s="132"/>
      <c r="Q47" s="298"/>
      <c r="R47" s="275"/>
      <c r="S47" s="162"/>
      <c r="T47" s="94"/>
      <c r="U47" s="122"/>
      <c r="V47" s="124">
        <f t="shared" si="6"/>
        <v>0</v>
      </c>
    </row>
    <row r="48" spans="1:25" s="82" customFormat="1" ht="13">
      <c r="A48" s="81"/>
      <c r="B48" s="81"/>
      <c r="C48" s="258"/>
      <c r="D48" s="259"/>
      <c r="E48" s="258"/>
      <c r="F48" s="86"/>
      <c r="G48" s="86"/>
      <c r="H48" s="261" t="s">
        <v>160</v>
      </c>
      <c r="I48" s="261" t="s">
        <v>35</v>
      </c>
      <c r="J48" s="261" t="s">
        <v>52</v>
      </c>
      <c r="K48" s="315" t="s">
        <v>37</v>
      </c>
      <c r="L48" s="132"/>
      <c r="M48" s="132"/>
      <c r="N48" s="280"/>
      <c r="O48" s="276"/>
      <c r="P48" s="297"/>
      <c r="Q48" s="298"/>
      <c r="R48" s="275"/>
      <c r="S48" s="162"/>
      <c r="T48" s="259"/>
      <c r="U48" s="270"/>
      <c r="V48" s="124">
        <f t="shared" si="6"/>
        <v>0</v>
      </c>
      <c r="W48" s="90"/>
      <c r="X48" s="91"/>
      <c r="Y48" s="90"/>
    </row>
    <row r="49" spans="1:25" s="82" customFormat="1" ht="13">
      <c r="A49" s="81">
        <f t="shared" si="2"/>
        <v>43</v>
      </c>
      <c r="B49" s="81">
        <v>43</v>
      </c>
      <c r="C49" s="258" t="s">
        <v>179</v>
      </c>
      <c r="D49" s="259" t="s">
        <v>43</v>
      </c>
      <c r="E49" s="258" t="s">
        <v>142</v>
      </c>
      <c r="F49" s="86">
        <v>1300</v>
      </c>
      <c r="G49" s="86">
        <v>1500</v>
      </c>
      <c r="H49" s="261" t="s">
        <v>160</v>
      </c>
      <c r="I49" s="261" t="s">
        <v>35</v>
      </c>
      <c r="J49" s="261" t="s">
        <v>52</v>
      </c>
      <c r="K49" s="315" t="s">
        <v>76</v>
      </c>
      <c r="L49" s="132"/>
      <c r="M49" s="132" t="s">
        <v>53</v>
      </c>
      <c r="N49" s="280" t="s">
        <v>180</v>
      </c>
      <c r="O49" s="276" t="s">
        <v>174</v>
      </c>
      <c r="P49" s="297"/>
      <c r="Q49" s="298"/>
      <c r="R49" s="275">
        <v>500000</v>
      </c>
      <c r="S49" s="162">
        <f t="shared" si="3"/>
        <v>2</v>
      </c>
      <c r="T49" s="259"/>
      <c r="U49" s="270">
        <f t="shared" si="7"/>
        <v>1000000</v>
      </c>
      <c r="V49" s="165">
        <f t="shared" si="1"/>
        <v>-3000000</v>
      </c>
      <c r="W49" s="90"/>
      <c r="X49" s="91"/>
      <c r="Y49" s="90"/>
    </row>
    <row r="50" spans="1:25" s="82" customFormat="1" ht="13">
      <c r="A50" s="81">
        <f t="shared" si="2"/>
        <v>44</v>
      </c>
      <c r="B50" s="81">
        <v>44</v>
      </c>
      <c r="C50" s="94">
        <v>4022</v>
      </c>
      <c r="D50" s="94" t="s">
        <v>43</v>
      </c>
      <c r="E50" s="102">
        <v>45110</v>
      </c>
      <c r="F50" s="86">
        <v>930</v>
      </c>
      <c r="G50" s="86">
        <v>1200</v>
      </c>
      <c r="H50" s="94" t="s">
        <v>160</v>
      </c>
      <c r="I50" s="140" t="s">
        <v>35</v>
      </c>
      <c r="J50" s="140" t="s">
        <v>52</v>
      </c>
      <c r="K50" s="316">
        <v>8</v>
      </c>
      <c r="L50" s="132" t="s">
        <v>181</v>
      </c>
      <c r="M50" s="132" t="s">
        <v>53</v>
      </c>
      <c r="N50" s="281" t="s">
        <v>182</v>
      </c>
      <c r="O50" s="132" t="s">
        <v>174</v>
      </c>
      <c r="P50" s="132"/>
      <c r="Q50" s="298"/>
      <c r="R50" s="275">
        <v>500000</v>
      </c>
      <c r="S50" s="162">
        <f>(G50-950)/100</f>
        <v>2.5</v>
      </c>
      <c r="T50" s="94"/>
      <c r="U50" s="270">
        <f t="shared" si="7"/>
        <v>1250000</v>
      </c>
      <c r="V50" s="165">
        <f t="shared" si="1"/>
        <v>-2750000</v>
      </c>
    </row>
    <row r="51" spans="1:25" s="82" customFormat="1" ht="13">
      <c r="A51" s="81"/>
      <c r="B51" s="81"/>
      <c r="C51" s="94"/>
      <c r="D51" s="94"/>
      <c r="E51" s="102"/>
      <c r="F51" s="86"/>
      <c r="G51" s="86"/>
      <c r="H51" s="94" t="s">
        <v>160</v>
      </c>
      <c r="I51" s="140" t="s">
        <v>35</v>
      </c>
      <c r="J51" s="140" t="s">
        <v>52</v>
      </c>
      <c r="K51" s="316">
        <v>12</v>
      </c>
      <c r="L51" s="132"/>
      <c r="M51" s="132"/>
      <c r="N51" s="281"/>
      <c r="O51" s="132"/>
      <c r="P51" s="132"/>
      <c r="Q51" s="298"/>
      <c r="R51" s="275"/>
      <c r="S51" s="162"/>
      <c r="T51" s="94"/>
      <c r="U51" s="122"/>
      <c r="V51" s="124">
        <f>U51</f>
        <v>0</v>
      </c>
    </row>
    <row r="52" spans="1:25" s="82" customFormat="1" ht="13">
      <c r="A52" s="81"/>
      <c r="B52" s="81"/>
      <c r="C52" s="94"/>
      <c r="D52" s="94"/>
      <c r="E52" s="102"/>
      <c r="F52" s="86"/>
      <c r="G52" s="86"/>
      <c r="H52" s="94" t="s">
        <v>160</v>
      </c>
      <c r="I52" s="140" t="s">
        <v>35</v>
      </c>
      <c r="J52" s="140" t="s">
        <v>52</v>
      </c>
      <c r="K52" s="316">
        <v>12</v>
      </c>
      <c r="L52" s="132"/>
      <c r="M52" s="132"/>
      <c r="N52" s="281"/>
      <c r="O52" s="132"/>
      <c r="P52" s="132"/>
      <c r="Q52" s="298"/>
      <c r="R52" s="275"/>
      <c r="S52" s="162"/>
      <c r="T52" s="94"/>
      <c r="U52" s="270"/>
      <c r="V52" s="124">
        <f>U52</f>
        <v>0</v>
      </c>
    </row>
    <row r="53" spans="1:25" s="82" customFormat="1" ht="13">
      <c r="A53" s="81">
        <f t="shared" si="2"/>
        <v>47</v>
      </c>
      <c r="B53" s="81">
        <v>47</v>
      </c>
      <c r="C53" s="258" t="s">
        <v>185</v>
      </c>
      <c r="D53" s="259" t="s">
        <v>75</v>
      </c>
      <c r="E53" s="258" t="s">
        <v>159</v>
      </c>
      <c r="F53" s="86">
        <v>900</v>
      </c>
      <c r="G53" s="86">
        <v>1800</v>
      </c>
      <c r="H53" s="261" t="s">
        <v>186</v>
      </c>
      <c r="I53" s="261" t="s">
        <v>35</v>
      </c>
      <c r="J53" s="261" t="s">
        <v>140</v>
      </c>
      <c r="K53" s="315" t="s">
        <v>76</v>
      </c>
      <c r="L53" s="132"/>
      <c r="M53" s="132" t="s">
        <v>112</v>
      </c>
      <c r="N53" s="280" t="s">
        <v>187</v>
      </c>
      <c r="O53" s="276" t="s">
        <v>174</v>
      </c>
      <c r="P53" s="295"/>
      <c r="Q53" s="303"/>
      <c r="R53" s="275">
        <v>500000</v>
      </c>
      <c r="S53" s="162">
        <f t="shared" si="3"/>
        <v>9</v>
      </c>
      <c r="T53" s="259"/>
      <c r="U53" s="270">
        <f t="shared" si="7"/>
        <v>4500000</v>
      </c>
      <c r="V53" s="165">
        <f t="shared" si="1"/>
        <v>500000</v>
      </c>
      <c r="W53" s="90"/>
      <c r="X53" s="91"/>
      <c r="Y53" s="90"/>
    </row>
    <row r="54" spans="1:25" s="82" customFormat="1" ht="13">
      <c r="A54" s="81">
        <f t="shared" si="2"/>
        <v>48</v>
      </c>
      <c r="B54" s="81">
        <v>48</v>
      </c>
      <c r="C54" s="94">
        <v>4017</v>
      </c>
      <c r="D54" s="94" t="s">
        <v>75</v>
      </c>
      <c r="E54" s="102">
        <v>44960</v>
      </c>
      <c r="F54" s="86">
        <v>900</v>
      </c>
      <c r="G54" s="86">
        <v>1800</v>
      </c>
      <c r="H54" s="94" t="s">
        <v>186</v>
      </c>
      <c r="I54" s="140" t="s">
        <v>35</v>
      </c>
      <c r="J54" s="140" t="s">
        <v>140</v>
      </c>
      <c r="K54" s="316">
        <v>6</v>
      </c>
      <c r="L54" s="132"/>
      <c r="M54" s="132" t="s">
        <v>112</v>
      </c>
      <c r="N54" s="310" t="s">
        <v>188</v>
      </c>
      <c r="O54" s="132" t="s">
        <v>174</v>
      </c>
      <c r="P54" s="132"/>
      <c r="Q54" s="303"/>
      <c r="R54" s="275">
        <v>500000</v>
      </c>
      <c r="S54" s="162">
        <f t="shared" si="3"/>
        <v>9</v>
      </c>
      <c r="T54" s="94"/>
      <c r="U54" s="270">
        <f t="shared" si="7"/>
        <v>4500000</v>
      </c>
      <c r="V54" s="165">
        <f t="shared" si="1"/>
        <v>500000</v>
      </c>
    </row>
    <row r="55" spans="1:25" s="82" customFormat="1" ht="13">
      <c r="A55" s="81">
        <f t="shared" si="2"/>
        <v>49</v>
      </c>
      <c r="B55" s="81">
        <v>49</v>
      </c>
      <c r="C55" s="94">
        <v>4016</v>
      </c>
      <c r="D55" s="94" t="s">
        <v>75</v>
      </c>
      <c r="E55" s="102">
        <v>44929</v>
      </c>
      <c r="F55" s="86">
        <v>900</v>
      </c>
      <c r="G55" s="86">
        <v>1800</v>
      </c>
      <c r="H55" s="94" t="s">
        <v>186</v>
      </c>
      <c r="I55" s="140" t="s">
        <v>35</v>
      </c>
      <c r="J55" s="140" t="s">
        <v>140</v>
      </c>
      <c r="K55" s="316">
        <v>6</v>
      </c>
      <c r="L55" s="132"/>
      <c r="M55" s="132" t="s">
        <v>112</v>
      </c>
      <c r="N55" s="310" t="s">
        <v>189</v>
      </c>
      <c r="O55" s="132" t="s">
        <v>174</v>
      </c>
      <c r="P55" s="132"/>
      <c r="Q55" s="303"/>
      <c r="R55" s="275">
        <v>500000</v>
      </c>
      <c r="S55" s="162">
        <f t="shared" si="3"/>
        <v>9</v>
      </c>
      <c r="T55" s="94"/>
      <c r="U55" s="122">
        <f t="shared" si="7"/>
        <v>4500000</v>
      </c>
      <c r="V55" s="165">
        <f t="shared" si="1"/>
        <v>500000</v>
      </c>
    </row>
    <row r="56" spans="1:25" s="82" customFormat="1" ht="13">
      <c r="A56" s="81"/>
      <c r="B56" s="81"/>
      <c r="C56" s="94"/>
      <c r="D56" s="94"/>
      <c r="E56" s="102"/>
      <c r="F56" s="86"/>
      <c r="G56" s="86"/>
      <c r="H56" s="94" t="s">
        <v>186</v>
      </c>
      <c r="I56" s="140" t="s">
        <v>35</v>
      </c>
      <c r="J56" s="140" t="s">
        <v>36</v>
      </c>
      <c r="K56" s="316">
        <v>6</v>
      </c>
      <c r="L56" s="132"/>
      <c r="M56" s="132"/>
      <c r="N56" s="281"/>
      <c r="O56" s="132"/>
      <c r="P56" s="132"/>
      <c r="Q56" s="275"/>
      <c r="R56" s="275"/>
      <c r="S56" s="162"/>
      <c r="T56" s="94"/>
      <c r="U56" s="122"/>
      <c r="V56" s="124">
        <f>Q56+((S56-4)*R56)</f>
        <v>0</v>
      </c>
    </row>
    <row r="57" spans="1:25" s="82" customFormat="1" ht="13">
      <c r="A57" s="81"/>
      <c r="B57" s="81"/>
      <c r="C57" s="94"/>
      <c r="D57" s="94"/>
      <c r="E57" s="102"/>
      <c r="F57" s="86"/>
      <c r="G57" s="86"/>
      <c r="H57" s="94" t="s">
        <v>186</v>
      </c>
      <c r="I57" s="140" t="s">
        <v>35</v>
      </c>
      <c r="J57" s="140" t="s">
        <v>36</v>
      </c>
      <c r="K57" s="316">
        <v>6</v>
      </c>
      <c r="L57" s="132"/>
      <c r="M57" s="132"/>
      <c r="N57" s="281"/>
      <c r="O57" s="132"/>
      <c r="P57" s="312"/>
      <c r="Q57" s="275"/>
      <c r="R57" s="275"/>
      <c r="S57" s="162"/>
      <c r="T57" s="94"/>
      <c r="U57" s="270"/>
      <c r="V57" s="124">
        <f t="shared" ref="V57:V70" si="8">Q57+((S57-8)*R57)</f>
        <v>0</v>
      </c>
    </row>
    <row r="58" spans="1:25" s="82" customFormat="1" ht="13">
      <c r="A58" s="81"/>
      <c r="B58" s="81"/>
      <c r="C58" s="87"/>
      <c r="D58" s="88"/>
      <c r="E58" s="87"/>
      <c r="F58" s="86"/>
      <c r="G58" s="86"/>
      <c r="H58" s="89" t="s">
        <v>153</v>
      </c>
      <c r="I58" s="89" t="s">
        <v>35</v>
      </c>
      <c r="J58" s="89" t="s">
        <v>36</v>
      </c>
      <c r="K58" s="318" t="s">
        <v>37</v>
      </c>
      <c r="L58" s="294"/>
      <c r="M58" s="132"/>
      <c r="N58" s="313"/>
      <c r="O58" s="306"/>
      <c r="P58" s="294"/>
      <c r="Q58" s="298"/>
      <c r="R58" s="275"/>
      <c r="S58" s="162"/>
      <c r="T58" s="88"/>
      <c r="U58" s="122"/>
      <c r="V58" s="124">
        <f>Q58+((S58-4)*R58)</f>
        <v>0</v>
      </c>
      <c r="W58" s="90"/>
      <c r="X58" s="91"/>
      <c r="Y58" s="90"/>
    </row>
    <row r="59" spans="1:25" s="82" customFormat="1" ht="13">
      <c r="A59" s="81"/>
      <c r="B59" s="81"/>
      <c r="C59" s="94"/>
      <c r="D59" s="94"/>
      <c r="E59" s="102"/>
      <c r="F59" s="86"/>
      <c r="G59" s="86"/>
      <c r="H59" s="94" t="s">
        <v>153</v>
      </c>
      <c r="I59" s="140" t="s">
        <v>35</v>
      </c>
      <c r="J59" s="140" t="s">
        <v>36</v>
      </c>
      <c r="K59" s="316">
        <v>12</v>
      </c>
      <c r="L59" s="132"/>
      <c r="M59" s="132"/>
      <c r="N59" s="310"/>
      <c r="O59" s="132"/>
      <c r="P59" s="132"/>
      <c r="Q59" s="298"/>
      <c r="R59" s="275"/>
      <c r="S59" s="162"/>
      <c r="T59" s="94"/>
      <c r="U59" s="122"/>
      <c r="V59" s="124">
        <f>Q59+((S59-4)*R59)</f>
        <v>0</v>
      </c>
    </row>
    <row r="60" spans="1:25" s="82" customFormat="1" ht="13">
      <c r="A60" s="81"/>
      <c r="B60" s="81"/>
      <c r="C60" s="94"/>
      <c r="D60" s="94"/>
      <c r="E60" s="102"/>
      <c r="F60" s="86"/>
      <c r="G60" s="86"/>
      <c r="H60" s="94" t="s">
        <v>195</v>
      </c>
      <c r="I60" s="140" t="s">
        <v>35</v>
      </c>
      <c r="J60" s="140" t="s">
        <v>36</v>
      </c>
      <c r="K60" s="316">
        <v>12</v>
      </c>
      <c r="L60" s="132"/>
      <c r="M60" s="132"/>
      <c r="N60" s="281"/>
      <c r="O60" s="132"/>
      <c r="P60" s="132"/>
      <c r="Q60" s="275"/>
      <c r="R60" s="275"/>
      <c r="S60" s="162"/>
      <c r="T60" s="94"/>
      <c r="U60" s="270"/>
      <c r="V60" s="124">
        <f>U60</f>
        <v>0</v>
      </c>
    </row>
    <row r="61" spans="1:25" s="82" customFormat="1" ht="13">
      <c r="A61" s="81"/>
      <c r="B61" s="81"/>
      <c r="C61" s="103"/>
      <c r="D61" s="94"/>
      <c r="E61" s="102"/>
      <c r="F61" s="86"/>
      <c r="G61" s="86"/>
      <c r="H61" s="94" t="s">
        <v>199</v>
      </c>
      <c r="I61" s="140" t="s">
        <v>88</v>
      </c>
      <c r="J61" s="140" t="s">
        <v>200</v>
      </c>
      <c r="K61" s="316">
        <v>50</v>
      </c>
      <c r="L61" s="132"/>
      <c r="M61" s="132"/>
      <c r="N61" s="281"/>
      <c r="O61" s="132"/>
      <c r="P61" s="132"/>
      <c r="Q61" s="308"/>
      <c r="R61" s="275"/>
      <c r="S61" s="162"/>
      <c r="T61" s="94"/>
      <c r="U61" s="270"/>
      <c r="V61" s="124">
        <f>U61</f>
        <v>0</v>
      </c>
    </row>
    <row r="62" spans="1:25" s="82" customFormat="1" ht="13">
      <c r="A62" s="81"/>
      <c r="B62" s="81"/>
      <c r="C62" s="103"/>
      <c r="D62" s="94"/>
      <c r="E62" s="102"/>
      <c r="F62" s="86"/>
      <c r="G62" s="86"/>
      <c r="H62" s="94" t="s">
        <v>186</v>
      </c>
      <c r="I62" s="140" t="s">
        <v>35</v>
      </c>
      <c r="J62" s="140" t="s">
        <v>201</v>
      </c>
      <c r="K62" s="316"/>
      <c r="L62" s="314" t="s">
        <v>202</v>
      </c>
      <c r="M62" s="132"/>
      <c r="N62" s="281"/>
      <c r="O62" s="132"/>
      <c r="P62" s="132"/>
      <c r="Q62" s="275"/>
      <c r="R62" s="275"/>
      <c r="S62" s="162"/>
      <c r="T62" s="94"/>
      <c r="U62" s="270"/>
      <c r="V62" s="124">
        <f t="shared" si="8"/>
        <v>0</v>
      </c>
    </row>
    <row r="63" spans="1:25" s="82" customFormat="1" ht="13">
      <c r="A63" s="81"/>
      <c r="B63" s="81"/>
      <c r="C63" s="103"/>
      <c r="D63" s="94"/>
      <c r="E63" s="102"/>
      <c r="F63" s="86"/>
      <c r="G63" s="86"/>
      <c r="H63" s="94" t="s">
        <v>186</v>
      </c>
      <c r="I63" s="140" t="s">
        <v>35</v>
      </c>
      <c r="J63" s="140" t="s">
        <v>201</v>
      </c>
      <c r="K63" s="316"/>
      <c r="L63" s="314" t="s">
        <v>203</v>
      </c>
      <c r="M63" s="132"/>
      <c r="N63" s="281"/>
      <c r="O63" s="132"/>
      <c r="P63" s="132"/>
      <c r="Q63" s="275"/>
      <c r="R63" s="275"/>
      <c r="S63" s="162"/>
      <c r="T63" s="94"/>
      <c r="U63" s="270"/>
      <c r="V63" s="124">
        <f>(Q63+((S63-8)*R63))*50/100</f>
        <v>0</v>
      </c>
    </row>
    <row r="64" spans="1:25" s="82" customFormat="1" ht="13">
      <c r="A64" s="81"/>
      <c r="B64" s="81"/>
      <c r="C64" s="103"/>
      <c r="D64" s="94"/>
      <c r="E64" s="102"/>
      <c r="F64" s="86"/>
      <c r="G64" s="86"/>
      <c r="H64" s="94" t="s">
        <v>204</v>
      </c>
      <c r="I64" s="140" t="s">
        <v>35</v>
      </c>
      <c r="J64" s="140" t="s">
        <v>205</v>
      </c>
      <c r="K64" s="316">
        <v>25</v>
      </c>
      <c r="L64" s="132" t="s">
        <v>206</v>
      </c>
      <c r="M64" s="132"/>
      <c r="N64" s="281"/>
      <c r="O64" s="132"/>
      <c r="P64" s="132"/>
      <c r="Q64" s="275"/>
      <c r="R64" s="275"/>
      <c r="S64" s="162"/>
      <c r="T64" s="94"/>
      <c r="U64" s="122"/>
      <c r="V64" s="124">
        <f t="shared" si="8"/>
        <v>0</v>
      </c>
    </row>
    <row r="65" spans="1:22" s="82" customFormat="1" ht="13">
      <c r="A65" s="81"/>
      <c r="B65" s="81"/>
      <c r="C65" s="103"/>
      <c r="D65" s="94"/>
      <c r="E65" s="102"/>
      <c r="F65" s="86"/>
      <c r="G65" s="86"/>
      <c r="H65" s="94" t="s">
        <v>204</v>
      </c>
      <c r="I65" s="140" t="s">
        <v>35</v>
      </c>
      <c r="J65" s="140" t="s">
        <v>205</v>
      </c>
      <c r="K65" s="316">
        <v>16</v>
      </c>
      <c r="L65" s="132"/>
      <c r="M65" s="132"/>
      <c r="N65" s="281"/>
      <c r="O65" s="132"/>
      <c r="P65" s="132"/>
      <c r="Q65" s="275"/>
      <c r="R65" s="275"/>
      <c r="S65" s="162"/>
      <c r="T65" s="94"/>
      <c r="U65" s="122"/>
      <c r="V65" s="124">
        <f>U65</f>
        <v>0</v>
      </c>
    </row>
    <row r="66" spans="1:22" s="82" customFormat="1" ht="13">
      <c r="A66" s="81"/>
      <c r="B66" s="81"/>
      <c r="C66" s="103"/>
      <c r="D66" s="94"/>
      <c r="E66" s="102"/>
      <c r="F66" s="86"/>
      <c r="G66" s="86"/>
      <c r="H66" s="94" t="s">
        <v>204</v>
      </c>
      <c r="I66" s="140" t="s">
        <v>35</v>
      </c>
      <c r="J66" s="140" t="s">
        <v>205</v>
      </c>
      <c r="K66" s="316">
        <v>25</v>
      </c>
      <c r="L66" s="132" t="s">
        <v>206</v>
      </c>
      <c r="M66" s="132"/>
      <c r="N66" s="281"/>
      <c r="O66" s="132"/>
      <c r="P66" s="132"/>
      <c r="Q66" s="275"/>
      <c r="R66" s="275"/>
      <c r="S66" s="162"/>
      <c r="T66" s="94"/>
      <c r="U66" s="122"/>
      <c r="V66" s="124">
        <f t="shared" si="8"/>
        <v>0</v>
      </c>
    </row>
    <row r="67" spans="1:22" s="82" customFormat="1" ht="13">
      <c r="A67" s="81"/>
      <c r="B67" s="81"/>
      <c r="C67" s="103"/>
      <c r="D67" s="94"/>
      <c r="E67" s="102"/>
      <c r="F67" s="86"/>
      <c r="G67" s="86"/>
      <c r="H67" s="94" t="s">
        <v>204</v>
      </c>
      <c r="I67" s="140" t="s">
        <v>35</v>
      </c>
      <c r="J67" s="140" t="s">
        <v>205</v>
      </c>
      <c r="K67" s="316">
        <v>25</v>
      </c>
      <c r="L67" s="132" t="s">
        <v>208</v>
      </c>
      <c r="M67" s="132"/>
      <c r="N67" s="281"/>
      <c r="O67" s="132"/>
      <c r="P67" s="132"/>
      <c r="Q67" s="275"/>
      <c r="R67" s="275"/>
      <c r="S67" s="162"/>
      <c r="T67" s="94"/>
      <c r="U67" s="122"/>
      <c r="V67" s="124">
        <f t="shared" si="8"/>
        <v>0</v>
      </c>
    </row>
    <row r="68" spans="1:22" s="82" customFormat="1" ht="13">
      <c r="A68" s="81"/>
      <c r="B68" s="81"/>
      <c r="C68" s="103"/>
      <c r="D68" s="94"/>
      <c r="E68" s="102"/>
      <c r="F68" s="86"/>
      <c r="G68" s="86"/>
      <c r="H68" s="94" t="s">
        <v>204</v>
      </c>
      <c r="I68" s="140" t="s">
        <v>35</v>
      </c>
      <c r="J68" s="140" t="s">
        <v>205</v>
      </c>
      <c r="K68" s="316">
        <v>25</v>
      </c>
      <c r="L68" s="132" t="s">
        <v>208</v>
      </c>
      <c r="M68" s="132"/>
      <c r="N68" s="281"/>
      <c r="O68" s="132"/>
      <c r="P68" s="132"/>
      <c r="Q68" s="275"/>
      <c r="R68" s="275"/>
      <c r="S68" s="162"/>
      <c r="T68" s="94"/>
      <c r="U68" s="122"/>
      <c r="V68" s="124">
        <f t="shared" si="8"/>
        <v>0</v>
      </c>
    </row>
    <row r="69" spans="1:22" s="82" customFormat="1" ht="13">
      <c r="A69" s="81"/>
      <c r="B69" s="81"/>
      <c r="C69" s="103"/>
      <c r="D69" s="94"/>
      <c r="E69" s="102"/>
      <c r="F69" s="86"/>
      <c r="G69" s="86"/>
      <c r="H69" s="94" t="s">
        <v>204</v>
      </c>
      <c r="I69" s="140" t="s">
        <v>35</v>
      </c>
      <c r="J69" s="140" t="s">
        <v>209</v>
      </c>
      <c r="K69" s="316">
        <v>17</v>
      </c>
      <c r="L69" s="132" t="s">
        <v>210</v>
      </c>
      <c r="M69" s="132"/>
      <c r="N69" s="281"/>
      <c r="O69" s="132"/>
      <c r="P69" s="132"/>
      <c r="Q69" s="275"/>
      <c r="R69" s="275"/>
      <c r="S69" s="162"/>
      <c r="T69" s="94"/>
      <c r="U69" s="122"/>
      <c r="V69" s="124">
        <f>Q69+((S69-4)*R69)</f>
        <v>0</v>
      </c>
    </row>
    <row r="70" spans="1:22" s="82" customFormat="1" ht="13">
      <c r="A70" s="81"/>
      <c r="B70" s="81"/>
      <c r="C70" s="103"/>
      <c r="D70" s="94"/>
      <c r="E70" s="102"/>
      <c r="F70" s="86"/>
      <c r="G70" s="86"/>
      <c r="H70" s="94" t="s">
        <v>204</v>
      </c>
      <c r="I70" s="140" t="s">
        <v>35</v>
      </c>
      <c r="J70" s="140" t="s">
        <v>209</v>
      </c>
      <c r="K70" s="316">
        <v>17</v>
      </c>
      <c r="L70" s="132" t="s">
        <v>210</v>
      </c>
      <c r="M70" s="132"/>
      <c r="N70" s="281"/>
      <c r="O70" s="132"/>
      <c r="P70" s="132"/>
      <c r="Q70" s="275"/>
      <c r="R70" s="275"/>
      <c r="S70" s="162"/>
      <c r="T70" s="94"/>
      <c r="U70" s="122"/>
      <c r="V70" s="124">
        <f t="shared" si="8"/>
        <v>0</v>
      </c>
    </row>
    <row r="71" spans="1:22" s="82" customFormat="1" ht="13">
      <c r="A71" s="81"/>
      <c r="B71" s="81"/>
      <c r="C71" s="103"/>
      <c r="D71" s="94"/>
      <c r="E71" s="102"/>
      <c r="F71" s="86"/>
      <c r="G71" s="86"/>
      <c r="H71" s="94" t="s">
        <v>204</v>
      </c>
      <c r="I71" s="140" t="s">
        <v>35</v>
      </c>
      <c r="J71" s="140" t="s">
        <v>209</v>
      </c>
      <c r="K71" s="316">
        <v>17</v>
      </c>
      <c r="L71" s="132" t="s">
        <v>210</v>
      </c>
      <c r="M71" s="132"/>
      <c r="N71" s="281"/>
      <c r="O71" s="132"/>
      <c r="P71" s="132"/>
      <c r="Q71" s="275"/>
      <c r="R71" s="275"/>
      <c r="S71" s="162"/>
      <c r="T71" s="94"/>
      <c r="U71" s="122"/>
      <c r="V71" s="124"/>
    </row>
    <row r="72" spans="1:22" s="82" customFormat="1" ht="13">
      <c r="A72" s="81"/>
      <c r="B72" s="81"/>
      <c r="C72" s="103"/>
      <c r="D72" s="94"/>
      <c r="E72" s="102"/>
      <c r="F72" s="86"/>
      <c r="G72" s="86"/>
      <c r="H72" s="94" t="s">
        <v>204</v>
      </c>
      <c r="I72" s="140" t="s">
        <v>35</v>
      </c>
      <c r="J72" s="140" t="s">
        <v>209</v>
      </c>
      <c r="K72" s="316">
        <v>17</v>
      </c>
      <c r="L72" s="132" t="s">
        <v>210</v>
      </c>
      <c r="M72" s="132"/>
      <c r="N72" s="292"/>
      <c r="O72" s="132"/>
      <c r="P72" s="132"/>
      <c r="Q72" s="275"/>
      <c r="R72" s="275"/>
      <c r="S72" s="162"/>
      <c r="T72" s="94"/>
      <c r="U72" s="122"/>
      <c r="V72" s="124"/>
    </row>
    <row r="73" spans="1:22" s="82" customFormat="1" ht="13">
      <c r="A73" s="94"/>
      <c r="B73" s="94"/>
      <c r="C73" s="94"/>
      <c r="D73" s="94"/>
      <c r="E73" s="103"/>
      <c r="F73" s="94"/>
      <c r="G73" s="94"/>
      <c r="H73" s="94"/>
      <c r="I73" s="140"/>
      <c r="J73" s="140"/>
      <c r="K73" s="94"/>
      <c r="L73" s="282"/>
      <c r="M73" s="282"/>
      <c r="N73" s="322"/>
      <c r="O73" s="282"/>
      <c r="P73" s="282"/>
      <c r="Q73" s="323"/>
      <c r="R73" s="83"/>
      <c r="S73" s="94"/>
      <c r="T73" s="94"/>
      <c r="U73" s="120">
        <f>SUBTOTAL(109,U7:U72)</f>
        <v>31435000</v>
      </c>
      <c r="V73" s="123">
        <f>SUBTOTAL(109,V7:V72)</f>
        <v>-7765000</v>
      </c>
    </row>
    <row r="74" spans="1:22" s="82" customFormat="1" ht="13">
      <c r="E74" s="104"/>
      <c r="I74" s="160"/>
      <c r="J74" s="160"/>
      <c r="N74" s="104"/>
      <c r="Q74" s="99"/>
      <c r="V74" s="99"/>
    </row>
    <row r="75" spans="1:22">
      <c r="N75" s="68"/>
      <c r="V75" s="98" t="e">
        <f>V73-#REF!</f>
        <v>#REF!</v>
      </c>
    </row>
    <row r="76" spans="1:22">
      <c r="N76" s="68"/>
    </row>
    <row r="77" spans="1:22">
      <c r="N77" s="68"/>
    </row>
    <row r="78" spans="1:22">
      <c r="N78" s="68"/>
    </row>
    <row r="79" spans="1:22">
      <c r="N79" s="68"/>
    </row>
    <row r="80" spans="1:22">
      <c r="N80" s="68"/>
    </row>
    <row r="81" spans="14:14">
      <c r="N81" s="68"/>
    </row>
    <row r="82" spans="14:14">
      <c r="N82" s="68"/>
    </row>
    <row r="83" spans="14:14">
      <c r="N83" s="68"/>
    </row>
    <row r="84" spans="14:14">
      <c r="N84" s="68"/>
    </row>
  </sheetData>
  <autoFilter ref="A6:AE72" xr:uid="{1028D278-910A-4D41-890F-0D5DC76C3F25}"/>
  <mergeCells count="3">
    <mergeCell ref="A2:U2"/>
    <mergeCell ref="A3:U3"/>
    <mergeCell ref="A4:U4"/>
  </mergeCells>
  <pageMargins left="0.7" right="0.7" top="0.75" bottom="0.75" header="0.3" footer="0.3"/>
  <pageSetup scale="36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5CFE4-B5AD-4BF5-8B66-BE37F08E8D33}">
  <sheetPr codeName="Sheet9"/>
  <dimension ref="A4:T16"/>
  <sheetViews>
    <sheetView zoomScale="70" zoomScaleNormal="70" workbookViewId="0">
      <selection activeCell="N10" sqref="N10"/>
    </sheetView>
  </sheetViews>
  <sheetFormatPr defaultRowHeight="14.5"/>
  <cols>
    <col min="5" max="5" width="10.26953125" bestFit="1" customWidth="1"/>
    <col min="7" max="7" width="20.26953125" customWidth="1"/>
  </cols>
  <sheetData>
    <row r="4" spans="1:20">
      <c r="A4" s="100"/>
      <c r="B4" s="100"/>
      <c r="C4" s="100"/>
      <c r="D4" s="68"/>
      <c r="E4" s="100"/>
      <c r="F4" s="100"/>
      <c r="G4" s="100"/>
      <c r="H4" s="59"/>
      <c r="I4" s="59"/>
      <c r="J4" s="100"/>
      <c r="K4" s="100"/>
      <c r="L4" s="100"/>
      <c r="M4" s="68"/>
      <c r="N4" s="100"/>
      <c r="O4" s="100"/>
      <c r="P4" s="101"/>
      <c r="Q4" s="100"/>
      <c r="R4" s="100"/>
      <c r="S4" s="100"/>
      <c r="T4" s="100"/>
    </row>
    <row r="5" spans="1:20" ht="21">
      <c r="A5" s="2112"/>
      <c r="B5" s="2112"/>
      <c r="C5" s="2112"/>
      <c r="D5" s="2113"/>
      <c r="E5" s="2112"/>
      <c r="F5" s="2112"/>
      <c r="G5" s="2112"/>
      <c r="H5" s="2112"/>
      <c r="I5" s="2112"/>
      <c r="J5" s="2114"/>
      <c r="K5" s="2112"/>
      <c r="L5" s="2113"/>
      <c r="M5" s="2115"/>
      <c r="N5" s="2114"/>
      <c r="O5" s="2112"/>
      <c r="P5" s="2112"/>
      <c r="Q5" s="2112"/>
      <c r="R5" s="2112"/>
      <c r="S5" s="2112"/>
      <c r="T5" s="2112"/>
    </row>
    <row r="6" spans="1:20">
      <c r="A6" s="2116"/>
      <c r="B6" s="2116"/>
      <c r="C6" s="2116"/>
      <c r="D6" s="2117"/>
      <c r="E6" s="2116"/>
      <c r="F6" s="2116"/>
      <c r="G6" s="2116"/>
      <c r="H6" s="2116"/>
      <c r="I6" s="2116"/>
      <c r="J6" s="2118"/>
      <c r="K6" s="2116"/>
      <c r="L6" s="2117"/>
      <c r="M6" s="2119"/>
      <c r="N6" s="2118"/>
      <c r="O6" s="2116"/>
      <c r="P6" s="2116"/>
      <c r="Q6" s="2116"/>
      <c r="R6" s="2116"/>
      <c r="S6" s="2116"/>
      <c r="T6" s="2116"/>
    </row>
    <row r="7" spans="1:20">
      <c r="A7" s="2116"/>
      <c r="B7" s="2116"/>
      <c r="C7" s="2116"/>
      <c r="D7" s="2117"/>
      <c r="E7" s="2116"/>
      <c r="F7" s="2116"/>
      <c r="G7" s="2116"/>
      <c r="H7" s="2116"/>
      <c r="I7" s="2116"/>
      <c r="J7" s="2118"/>
      <c r="K7" s="2116"/>
      <c r="L7" s="2117"/>
      <c r="M7" s="2119"/>
      <c r="N7" s="2118"/>
      <c r="O7" s="2116"/>
      <c r="P7" s="2116"/>
      <c r="Q7" s="2116"/>
      <c r="R7" s="2116"/>
      <c r="S7" s="2116"/>
      <c r="T7" s="2116"/>
    </row>
    <row r="8" spans="1:20">
      <c r="A8" s="57"/>
      <c r="B8" s="57"/>
      <c r="C8" s="66"/>
      <c r="D8" s="67"/>
      <c r="E8" s="67"/>
      <c r="F8" s="67"/>
      <c r="G8" s="66"/>
      <c r="H8" s="66"/>
      <c r="I8" s="66"/>
      <c r="J8" s="57"/>
      <c r="K8" s="66"/>
      <c r="L8" s="59"/>
      <c r="M8" s="68"/>
      <c r="N8" s="68"/>
      <c r="O8" s="66"/>
      <c r="P8" s="69"/>
      <c r="Q8" s="56"/>
      <c r="R8" s="56"/>
      <c r="S8" s="56"/>
      <c r="T8" s="67"/>
    </row>
    <row r="9" spans="1:20" ht="65">
      <c r="A9" s="72" t="s">
        <v>6</v>
      </c>
      <c r="B9" s="73" t="s">
        <v>7</v>
      </c>
      <c r="C9" s="72" t="s">
        <v>8</v>
      </c>
      <c r="D9" s="75" t="s">
        <v>9</v>
      </c>
      <c r="E9" s="72" t="s">
        <v>10</v>
      </c>
      <c r="F9" s="74" t="s">
        <v>11</v>
      </c>
      <c r="G9" s="72" t="s">
        <v>12</v>
      </c>
      <c r="H9" s="161" t="s">
        <v>13</v>
      </c>
      <c r="I9" s="159" t="s">
        <v>14</v>
      </c>
      <c r="J9" s="159" t="s">
        <v>15</v>
      </c>
      <c r="K9" s="134" t="s">
        <v>16</v>
      </c>
      <c r="L9" s="134" t="s">
        <v>17</v>
      </c>
      <c r="M9" s="319" t="s">
        <v>18</v>
      </c>
      <c r="N9" s="320" t="s">
        <v>19</v>
      </c>
      <c r="O9" s="134" t="s">
        <v>20</v>
      </c>
      <c r="P9" s="321" t="s">
        <v>21</v>
      </c>
      <c r="Q9" s="74" t="s">
        <v>22</v>
      </c>
      <c r="R9" s="74" t="s">
        <v>23</v>
      </c>
      <c r="S9" s="74" t="s">
        <v>24</v>
      </c>
      <c r="T9" s="78" t="s">
        <v>25</v>
      </c>
    </row>
    <row r="10" spans="1:20" ht="39">
      <c r="A10" s="364">
        <v>1</v>
      </c>
      <c r="B10" s="365"/>
      <c r="C10" s="366" t="s">
        <v>541</v>
      </c>
      <c r="D10" s="367" t="s">
        <v>542</v>
      </c>
      <c r="E10" s="368" t="s">
        <v>543</v>
      </c>
      <c r="F10" s="368" t="s">
        <v>544</v>
      </c>
      <c r="G10" s="369" t="s">
        <v>545</v>
      </c>
      <c r="H10" s="370" t="s">
        <v>35</v>
      </c>
      <c r="I10" s="370" t="s">
        <v>546</v>
      </c>
      <c r="J10" s="371" t="s">
        <v>37</v>
      </c>
      <c r="K10" s="372"/>
      <c r="L10" s="373"/>
      <c r="M10" s="374"/>
      <c r="N10" s="375" t="s">
        <v>547</v>
      </c>
      <c r="O10" s="272"/>
      <c r="P10" s="303"/>
      <c r="Q10" s="346"/>
      <c r="R10" s="162"/>
      <c r="S10" s="94"/>
      <c r="T10" s="270"/>
    </row>
    <row r="11" spans="1:20">
      <c r="A11" s="81"/>
      <c r="B11" s="258"/>
      <c r="C11" s="259"/>
      <c r="D11" s="258"/>
      <c r="E11" s="86"/>
      <c r="F11" s="86"/>
      <c r="G11" s="261"/>
      <c r="H11" s="140"/>
      <c r="I11" s="140"/>
      <c r="J11" s="315"/>
      <c r="K11" s="132"/>
      <c r="L11" s="295"/>
      <c r="M11" s="277"/>
      <c r="N11" s="276"/>
      <c r="O11" s="272"/>
      <c r="P11" s="298"/>
      <c r="Q11" s="346"/>
      <c r="R11" s="162"/>
      <c r="S11" s="259"/>
      <c r="T11" s="270"/>
    </row>
    <row r="12" spans="1:20">
      <c r="A12" s="81"/>
      <c r="B12" s="258"/>
      <c r="C12" s="259"/>
      <c r="D12" s="258"/>
      <c r="E12" s="86"/>
      <c r="F12" s="86"/>
      <c r="G12" s="261"/>
      <c r="H12" s="140"/>
      <c r="I12" s="140"/>
      <c r="J12" s="315"/>
      <c r="K12" s="132"/>
      <c r="L12" s="295"/>
      <c r="M12" s="277"/>
      <c r="N12" s="276"/>
      <c r="O12" s="272"/>
      <c r="P12" s="298"/>
      <c r="Q12" s="346"/>
      <c r="R12" s="162"/>
      <c r="S12" s="94"/>
      <c r="T12" s="270"/>
    </row>
    <row r="13" spans="1:20">
      <c r="A13" s="94"/>
      <c r="B13" s="94"/>
      <c r="C13" s="94"/>
      <c r="D13" s="103"/>
      <c r="E13" s="94"/>
      <c r="F13" s="94"/>
      <c r="G13" s="94"/>
      <c r="H13" s="140"/>
      <c r="I13" s="140"/>
      <c r="J13" s="94"/>
      <c r="K13" s="282"/>
      <c r="L13" s="282"/>
      <c r="M13" s="322"/>
      <c r="N13" s="282"/>
      <c r="O13" s="282"/>
      <c r="P13" s="323"/>
      <c r="Q13" s="83"/>
      <c r="R13" s="94"/>
      <c r="S13" s="94"/>
      <c r="T13" s="120"/>
    </row>
    <row r="14" spans="1:20">
      <c r="A14" s="82"/>
      <c r="B14" s="82"/>
      <c r="C14" s="82"/>
      <c r="D14" s="104"/>
      <c r="E14" s="82"/>
      <c r="F14" s="82"/>
      <c r="G14" s="82"/>
      <c r="H14" s="160"/>
      <c r="I14" s="160"/>
      <c r="J14" s="82"/>
      <c r="K14" s="82"/>
      <c r="L14" s="82"/>
      <c r="M14" s="104"/>
      <c r="N14" s="82"/>
      <c r="O14" s="82"/>
      <c r="P14" s="99"/>
      <c r="Q14" s="82"/>
      <c r="R14" s="82"/>
      <c r="S14" s="82"/>
      <c r="T14" s="82"/>
    </row>
    <row r="15" spans="1:20">
      <c r="A15" s="100"/>
      <c r="B15" s="100"/>
      <c r="C15" s="100"/>
      <c r="D15" s="68"/>
      <c r="E15" s="100"/>
      <c r="F15" s="100"/>
      <c r="G15" s="100"/>
      <c r="H15" s="59"/>
      <c r="I15" s="59"/>
      <c r="J15" s="100"/>
      <c r="K15" s="100"/>
      <c r="L15" s="100"/>
      <c r="M15" s="68"/>
      <c r="N15" s="100"/>
      <c r="O15" s="100"/>
      <c r="P15" s="101"/>
      <c r="Q15" s="100"/>
      <c r="R15" s="100"/>
      <c r="S15" s="100"/>
      <c r="T15" s="100"/>
    </row>
    <row r="16" spans="1:20">
      <c r="A16" s="100"/>
      <c r="B16" s="100"/>
      <c r="C16" s="100"/>
      <c r="D16" s="68"/>
      <c r="E16" s="100"/>
      <c r="F16" s="100"/>
      <c r="G16" s="100"/>
      <c r="H16" s="59"/>
      <c r="I16" s="59"/>
      <c r="J16" s="100"/>
      <c r="K16" s="100"/>
      <c r="L16" s="100"/>
      <c r="M16" s="68"/>
      <c r="N16" s="100"/>
      <c r="O16" s="100"/>
      <c r="P16" s="101"/>
      <c r="Q16" s="100"/>
      <c r="R16" s="100"/>
      <c r="S16" s="100"/>
      <c r="T16" s="100"/>
    </row>
  </sheetData>
  <mergeCells count="3">
    <mergeCell ref="A5:T5"/>
    <mergeCell ref="A6:T6"/>
    <mergeCell ref="A7:T7"/>
  </mergeCell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A49BD-AA7B-4F1B-9DDC-AE7FCFE57945}">
  <sheetPr codeName="Sheet10"/>
  <dimension ref="A1:U15"/>
  <sheetViews>
    <sheetView zoomScale="85" zoomScaleNormal="85" workbookViewId="0">
      <selection activeCell="A13" sqref="A13"/>
    </sheetView>
  </sheetViews>
  <sheetFormatPr defaultRowHeight="14.5"/>
  <cols>
    <col min="5" max="5" width="10" bestFit="1" customWidth="1"/>
    <col min="8" max="8" width="15" customWidth="1"/>
    <col min="9" max="9" width="12.7265625" bestFit="1" customWidth="1"/>
    <col min="10" max="10" width="11.26953125" customWidth="1"/>
    <col min="11" max="11" width="11.1796875" customWidth="1"/>
    <col min="13" max="13" width="17.1796875" customWidth="1"/>
  </cols>
  <sheetData>
    <row r="1" spans="1:21">
      <c r="A1" s="100"/>
      <c r="B1" s="100"/>
      <c r="C1" s="100"/>
      <c r="D1" s="100"/>
      <c r="E1" s="68"/>
      <c r="F1" s="100"/>
      <c r="G1" s="100"/>
      <c r="H1" s="100"/>
      <c r="I1" s="59"/>
      <c r="J1" s="59"/>
      <c r="K1" s="100"/>
      <c r="L1" s="100"/>
      <c r="M1" s="100"/>
      <c r="N1" s="68"/>
      <c r="O1" s="100"/>
      <c r="P1" s="100"/>
      <c r="Q1" s="101"/>
      <c r="R1" s="100"/>
      <c r="S1" s="100"/>
      <c r="T1" s="100"/>
      <c r="U1" s="100"/>
    </row>
    <row r="2" spans="1:21" ht="21">
      <c r="A2" s="2112" t="s">
        <v>0</v>
      </c>
      <c r="B2" s="2112"/>
      <c r="C2" s="2112"/>
      <c r="D2" s="2112"/>
      <c r="E2" s="2113"/>
      <c r="F2" s="2112"/>
      <c r="G2" s="2112"/>
      <c r="H2" s="2112"/>
      <c r="I2" s="2112"/>
      <c r="J2" s="2112"/>
      <c r="K2" s="2114"/>
      <c r="L2" s="2112"/>
      <c r="M2" s="2113"/>
      <c r="N2" s="2115"/>
      <c r="O2" s="2114"/>
      <c r="P2" s="2112"/>
      <c r="Q2" s="2112"/>
      <c r="R2" s="2112"/>
      <c r="S2" s="2112"/>
      <c r="T2" s="2112"/>
      <c r="U2" s="2112"/>
    </row>
    <row r="3" spans="1:21">
      <c r="A3" s="2116" t="s">
        <v>2</v>
      </c>
      <c r="B3" s="2116"/>
      <c r="C3" s="2116"/>
      <c r="D3" s="2116"/>
      <c r="E3" s="2117"/>
      <c r="F3" s="2116"/>
      <c r="G3" s="2116"/>
      <c r="H3" s="2116"/>
      <c r="I3" s="2116"/>
      <c r="J3" s="2116"/>
      <c r="K3" s="2118"/>
      <c r="L3" s="2116"/>
      <c r="M3" s="2117"/>
      <c r="N3" s="2119"/>
      <c r="O3" s="2118"/>
      <c r="P3" s="2116"/>
      <c r="Q3" s="2116"/>
      <c r="R3" s="2116"/>
      <c r="S3" s="2116"/>
      <c r="T3" s="2116"/>
      <c r="U3" s="2116"/>
    </row>
    <row r="4" spans="1:21">
      <c r="A4" s="2116" t="s">
        <v>548</v>
      </c>
      <c r="B4" s="2116"/>
      <c r="C4" s="2116"/>
      <c r="D4" s="2116"/>
      <c r="E4" s="2117"/>
      <c r="F4" s="2116"/>
      <c r="G4" s="2116"/>
      <c r="H4" s="2116"/>
      <c r="I4" s="2116"/>
      <c r="J4" s="2116"/>
      <c r="K4" s="2118"/>
      <c r="L4" s="2116"/>
      <c r="M4" s="2117"/>
      <c r="N4" s="2119"/>
      <c r="O4" s="2118"/>
      <c r="P4" s="2116"/>
      <c r="Q4" s="2116"/>
      <c r="R4" s="2116"/>
      <c r="S4" s="2116"/>
      <c r="T4" s="2116"/>
      <c r="U4" s="2116"/>
    </row>
    <row r="5" spans="1:21">
      <c r="A5" s="57"/>
      <c r="B5" s="57"/>
      <c r="C5" s="57"/>
      <c r="D5" s="66"/>
      <c r="E5" s="67"/>
      <c r="F5" s="67"/>
      <c r="G5" s="67"/>
      <c r="H5" s="66"/>
      <c r="I5" s="66"/>
      <c r="J5" s="66"/>
      <c r="K5" s="57"/>
      <c r="L5" s="66"/>
      <c r="M5" s="59"/>
      <c r="N5" s="68"/>
      <c r="O5" s="68"/>
      <c r="P5" s="66"/>
      <c r="Q5" s="69"/>
      <c r="R5" s="56"/>
      <c r="S5" s="56"/>
      <c r="T5" s="56"/>
      <c r="U5" s="67"/>
    </row>
    <row r="6" spans="1:21" s="4" customFormat="1" ht="65">
      <c r="A6" s="72" t="s">
        <v>6</v>
      </c>
      <c r="B6" s="72" t="s">
        <v>6</v>
      </c>
      <c r="C6" s="72" t="s">
        <v>7</v>
      </c>
      <c r="D6" s="72" t="s">
        <v>8</v>
      </c>
      <c r="E6" s="72" t="s">
        <v>9</v>
      </c>
      <c r="F6" s="72" t="s">
        <v>10</v>
      </c>
      <c r="G6" s="74" t="s">
        <v>11</v>
      </c>
      <c r="H6" s="72" t="s">
        <v>12</v>
      </c>
      <c r="I6" s="72" t="s">
        <v>13</v>
      </c>
      <c r="J6" s="74" t="s">
        <v>14</v>
      </c>
      <c r="K6" s="74" t="s">
        <v>15</v>
      </c>
      <c r="L6" s="134" t="s">
        <v>16</v>
      </c>
      <c r="M6" s="134" t="s">
        <v>17</v>
      </c>
      <c r="N6" s="377" t="s">
        <v>18</v>
      </c>
      <c r="O6" s="378" t="s">
        <v>19</v>
      </c>
      <c r="P6" s="134" t="s">
        <v>20</v>
      </c>
      <c r="Q6" s="321" t="s">
        <v>21</v>
      </c>
      <c r="R6" s="74" t="s">
        <v>22</v>
      </c>
      <c r="S6" s="74" t="s">
        <v>23</v>
      </c>
      <c r="T6" s="74" t="s">
        <v>24</v>
      </c>
      <c r="U6" s="78" t="s">
        <v>25</v>
      </c>
    </row>
    <row r="7" spans="1:21" s="363" customFormat="1" ht="26" hidden="1">
      <c r="A7" s="81"/>
      <c r="B7" s="81">
        <v>1</v>
      </c>
      <c r="C7" s="258"/>
      <c r="D7" s="259" t="s">
        <v>198</v>
      </c>
      <c r="E7" s="258" t="s">
        <v>549</v>
      </c>
      <c r="F7" s="86" t="s">
        <v>421</v>
      </c>
      <c r="G7" s="86" t="s">
        <v>425</v>
      </c>
      <c r="H7" s="261" t="s">
        <v>550</v>
      </c>
      <c r="I7" s="358" t="s">
        <v>35</v>
      </c>
      <c r="J7" s="358" t="s">
        <v>551</v>
      </c>
      <c r="K7" s="315"/>
      <c r="L7" s="309"/>
      <c r="M7" s="295" t="s">
        <v>552</v>
      </c>
      <c r="N7" s="359"/>
      <c r="O7" s="276" t="s">
        <v>547</v>
      </c>
      <c r="P7" s="360"/>
      <c r="Q7" s="361"/>
      <c r="R7" s="346"/>
      <c r="S7" s="162"/>
      <c r="T7" s="362"/>
      <c r="U7" s="270"/>
    </row>
    <row r="8" spans="1:21" s="363" customFormat="1" ht="32.9" customHeight="1">
      <c r="A8" s="81"/>
      <c r="B8" s="81">
        <f>B7+1</f>
        <v>2</v>
      </c>
      <c r="C8" s="258"/>
      <c r="D8" s="168" t="s">
        <v>198</v>
      </c>
      <c r="E8" s="167" t="s">
        <v>553</v>
      </c>
      <c r="F8" s="170" t="s">
        <v>414</v>
      </c>
      <c r="G8" s="170" t="s">
        <v>426</v>
      </c>
      <c r="H8" s="171" t="s">
        <v>554</v>
      </c>
      <c r="I8" s="381" t="s">
        <v>35</v>
      </c>
      <c r="J8" s="381" t="s">
        <v>555</v>
      </c>
      <c r="K8" s="382" t="s">
        <v>556</v>
      </c>
      <c r="L8" s="383"/>
      <c r="M8" s="384"/>
      <c r="N8" s="385"/>
      <c r="O8" s="180" t="s">
        <v>547</v>
      </c>
      <c r="P8" s="360"/>
      <c r="Q8" s="298"/>
      <c r="R8" s="346"/>
      <c r="S8" s="162"/>
      <c r="T8" s="259"/>
      <c r="U8" s="270"/>
    </row>
    <row r="9" spans="1:21" s="363" customFormat="1" ht="35.15" customHeight="1">
      <c r="A9" s="81"/>
      <c r="B9" s="81">
        <f t="shared" ref="B9:B12" si="0">B8+1</f>
        <v>3</v>
      </c>
      <c r="C9" s="258"/>
      <c r="D9" s="168" t="s">
        <v>198</v>
      </c>
      <c r="E9" s="167" t="s">
        <v>557</v>
      </c>
      <c r="F9" s="170" t="s">
        <v>414</v>
      </c>
      <c r="G9" s="170" t="s">
        <v>426</v>
      </c>
      <c r="H9" s="171" t="s">
        <v>554</v>
      </c>
      <c r="I9" s="381" t="s">
        <v>35</v>
      </c>
      <c r="J9" s="381" t="s">
        <v>555</v>
      </c>
      <c r="K9" s="382" t="s">
        <v>556</v>
      </c>
      <c r="L9" s="383"/>
      <c r="M9" s="384" t="s">
        <v>558</v>
      </c>
      <c r="N9" s="385"/>
      <c r="O9" s="180" t="s">
        <v>547</v>
      </c>
      <c r="P9" s="360"/>
      <c r="Q9" s="298"/>
      <c r="R9" s="346"/>
      <c r="S9" s="162"/>
      <c r="T9" s="259"/>
      <c r="U9" s="270"/>
    </row>
    <row r="10" spans="1:21" s="363" customFormat="1" ht="26">
      <c r="A10" s="81"/>
      <c r="B10" s="81">
        <f t="shared" si="0"/>
        <v>4</v>
      </c>
      <c r="C10" s="258"/>
      <c r="D10" s="168" t="s">
        <v>198</v>
      </c>
      <c r="E10" s="167" t="s">
        <v>559</v>
      </c>
      <c r="F10" s="170" t="s">
        <v>421</v>
      </c>
      <c r="G10" s="170" t="s">
        <v>426</v>
      </c>
      <c r="H10" s="171" t="s">
        <v>554</v>
      </c>
      <c r="I10" s="381" t="s">
        <v>35</v>
      </c>
      <c r="J10" s="381" t="s">
        <v>555</v>
      </c>
      <c r="K10" s="382" t="s">
        <v>556</v>
      </c>
      <c r="L10" s="383"/>
      <c r="M10" s="384" t="s">
        <v>560</v>
      </c>
      <c r="N10" s="385"/>
      <c r="O10" s="180" t="s">
        <v>547</v>
      </c>
      <c r="P10" s="360"/>
      <c r="Q10" s="298"/>
      <c r="R10" s="346"/>
      <c r="S10" s="162"/>
      <c r="T10" s="362"/>
      <c r="U10" s="270"/>
    </row>
    <row r="11" spans="1:21" s="363" customFormat="1">
      <c r="A11" s="81"/>
      <c r="B11" s="81">
        <f t="shared" si="0"/>
        <v>5</v>
      </c>
      <c r="C11" s="258"/>
      <c r="D11" s="168" t="s">
        <v>198</v>
      </c>
      <c r="E11" s="167" t="s">
        <v>561</v>
      </c>
      <c r="F11" s="170" t="s">
        <v>414</v>
      </c>
      <c r="G11" s="170" t="s">
        <v>426</v>
      </c>
      <c r="H11" s="171" t="s">
        <v>554</v>
      </c>
      <c r="I11" s="381" t="s">
        <v>35</v>
      </c>
      <c r="J11" s="381" t="s">
        <v>555</v>
      </c>
      <c r="K11" s="382" t="s">
        <v>556</v>
      </c>
      <c r="L11" s="383"/>
      <c r="M11" s="384"/>
      <c r="N11" s="385"/>
      <c r="O11" s="180" t="s">
        <v>547</v>
      </c>
      <c r="P11" s="360"/>
      <c r="Q11" s="298"/>
      <c r="R11" s="346"/>
      <c r="S11" s="162"/>
      <c r="T11" s="362"/>
      <c r="U11" s="270"/>
    </row>
    <row r="12" spans="1:21" s="363" customFormat="1" ht="29.15" customHeight="1">
      <c r="A12" s="81"/>
      <c r="B12" s="81">
        <f t="shared" si="0"/>
        <v>6</v>
      </c>
      <c r="C12" s="258"/>
      <c r="D12" s="168" t="s">
        <v>198</v>
      </c>
      <c r="E12" s="167" t="s">
        <v>561</v>
      </c>
      <c r="F12" s="170" t="s">
        <v>562</v>
      </c>
      <c r="G12" s="170" t="s">
        <v>563</v>
      </c>
      <c r="H12" s="171" t="s">
        <v>554</v>
      </c>
      <c r="I12" s="381" t="s">
        <v>35</v>
      </c>
      <c r="J12" s="381" t="s">
        <v>555</v>
      </c>
      <c r="K12" s="382" t="s">
        <v>556</v>
      </c>
      <c r="L12" s="383"/>
      <c r="M12" s="384" t="s">
        <v>564</v>
      </c>
      <c r="N12" s="385"/>
      <c r="O12" s="180" t="s">
        <v>547</v>
      </c>
      <c r="P12" s="360"/>
      <c r="Q12" s="298"/>
      <c r="R12" s="346"/>
      <c r="S12" s="162"/>
      <c r="T12" s="362"/>
      <c r="U12" s="270"/>
    </row>
    <row r="13" spans="1:21">
      <c r="A13" s="81"/>
      <c r="B13" s="81"/>
      <c r="C13" s="258"/>
      <c r="D13" s="259"/>
      <c r="E13" s="258"/>
      <c r="F13" s="86"/>
      <c r="G13" s="86"/>
      <c r="H13" s="261"/>
      <c r="I13" s="358"/>
      <c r="J13" s="358"/>
      <c r="K13" s="315"/>
      <c r="L13" s="132"/>
      <c r="M13" s="295"/>
      <c r="N13" s="277"/>
      <c r="O13" s="379"/>
      <c r="P13" s="272"/>
      <c r="Q13" s="380"/>
      <c r="R13" s="346"/>
      <c r="S13" s="162"/>
      <c r="T13" s="94"/>
      <c r="U13" s="270"/>
    </row>
    <row r="14" spans="1:21">
      <c r="A14" s="81"/>
      <c r="B14" s="81"/>
      <c r="C14" s="258"/>
      <c r="D14" s="259"/>
      <c r="E14" s="258"/>
      <c r="F14" s="86"/>
      <c r="G14" s="86"/>
      <c r="H14" s="261"/>
      <c r="I14" s="140"/>
      <c r="J14" s="140"/>
      <c r="K14" s="315"/>
      <c r="L14" s="132"/>
      <c r="M14" s="295"/>
      <c r="N14" s="277"/>
      <c r="O14" s="276"/>
      <c r="P14" s="272"/>
      <c r="Q14" s="298"/>
      <c r="R14" s="346"/>
      <c r="S14" s="162"/>
      <c r="T14" s="94"/>
      <c r="U14" s="270"/>
    </row>
    <row r="15" spans="1:21">
      <c r="A15" s="81"/>
      <c r="B15" s="81"/>
      <c r="C15" s="258"/>
      <c r="D15" s="259"/>
      <c r="E15" s="258"/>
      <c r="F15" s="86"/>
      <c r="G15" s="86"/>
      <c r="H15" s="261"/>
      <c r="I15" s="140"/>
      <c r="J15" s="140"/>
      <c r="K15" s="315"/>
      <c r="L15" s="132"/>
      <c r="M15" s="295"/>
      <c r="N15" s="277"/>
      <c r="O15" s="276"/>
      <c r="P15" s="272"/>
      <c r="Q15" s="298"/>
      <c r="R15" s="346"/>
      <c r="S15" s="162"/>
      <c r="T15" s="94"/>
      <c r="U15" s="270"/>
    </row>
  </sheetData>
  <mergeCells count="3">
    <mergeCell ref="A2:U2"/>
    <mergeCell ref="A3:U3"/>
    <mergeCell ref="A4:U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C3CCE-1D4D-496B-8874-2E8428624C0F}">
  <sheetPr codeName="Sheet14" filterMode="1">
    <pageSetUpPr fitToPage="1"/>
  </sheetPr>
  <dimension ref="A2:AE89"/>
  <sheetViews>
    <sheetView topLeftCell="A18" zoomScale="80" zoomScaleNormal="80" workbookViewId="0">
      <selection activeCell="V7" sqref="V7:V70"/>
    </sheetView>
  </sheetViews>
  <sheetFormatPr defaultColWidth="9.1796875" defaultRowHeight="14.5"/>
  <cols>
    <col min="1" max="2" width="8.81640625" style="100" customWidth="1"/>
    <col min="3" max="3" width="8.81640625" style="100" bestFit="1" customWidth="1"/>
    <col min="4" max="4" width="27.26953125" style="100" customWidth="1"/>
    <col min="5" max="5" width="13.81640625" style="68" customWidth="1"/>
    <col min="6" max="6" width="8.81640625" style="100" bestFit="1" customWidth="1"/>
    <col min="7" max="7" width="10" style="100" customWidth="1"/>
    <col min="8" max="8" width="25.54296875" style="100" customWidth="1"/>
    <col min="9" max="9" width="11.26953125" style="59" customWidth="1"/>
    <col min="10" max="10" width="12" style="59" customWidth="1"/>
    <col min="11" max="11" width="9.26953125" style="100" customWidth="1"/>
    <col min="12" max="12" width="14.1796875" style="100" customWidth="1"/>
    <col min="13" max="13" width="10.26953125" style="100" customWidth="1"/>
    <col min="14" max="14" width="22.26953125" style="157" customWidth="1"/>
    <col min="15" max="15" width="12.54296875" style="100" customWidth="1"/>
    <col min="16" max="16" width="9.1796875" style="100"/>
    <col min="17" max="17" width="13.26953125" style="101" customWidth="1"/>
    <col min="18" max="18" width="11.26953125" style="100" bestFit="1" customWidth="1"/>
    <col min="19" max="20" width="9.1796875" style="100"/>
    <col min="21" max="21" width="12.54296875" style="100" bestFit="1" customWidth="1"/>
    <col min="22" max="22" width="14.26953125" style="101" customWidth="1"/>
    <col min="23" max="23" width="10.26953125" style="100" bestFit="1" customWidth="1"/>
    <col min="24" max="24" width="9.1796875" style="100"/>
    <col min="25" max="25" width="13.7265625" style="100" customWidth="1"/>
    <col min="26" max="16384" width="9.1796875" style="100"/>
  </cols>
  <sheetData>
    <row r="2" spans="1:31" s="57" customFormat="1" ht="20.25" customHeight="1">
      <c r="A2" s="2112" t="s">
        <v>0</v>
      </c>
      <c r="B2" s="2112"/>
      <c r="C2" s="2112"/>
      <c r="D2" s="2112"/>
      <c r="E2" s="2113"/>
      <c r="F2" s="2112"/>
      <c r="G2" s="2112"/>
      <c r="H2" s="2112"/>
      <c r="I2" s="2112"/>
      <c r="J2" s="2112"/>
      <c r="K2" s="2114"/>
      <c r="L2" s="2112"/>
      <c r="M2" s="2113"/>
      <c r="N2" s="2115"/>
      <c r="O2" s="2114"/>
      <c r="P2" s="2112"/>
      <c r="Q2" s="2112"/>
      <c r="R2" s="2112"/>
      <c r="S2" s="2112"/>
      <c r="T2" s="2112"/>
      <c r="U2" s="2112"/>
      <c r="V2" s="53"/>
      <c r="W2" s="54"/>
      <c r="X2" s="52"/>
      <c r="Y2" s="120">
        <f>18287500+30500000</f>
        <v>48787500</v>
      </c>
      <c r="Z2" s="56"/>
      <c r="AD2" s="58"/>
      <c r="AE2" s="59" t="s">
        <v>1</v>
      </c>
    </row>
    <row r="3" spans="1:31" s="57" customFormat="1" ht="20.25" customHeight="1">
      <c r="A3" s="2116" t="s">
        <v>2</v>
      </c>
      <c r="B3" s="2116"/>
      <c r="C3" s="2116"/>
      <c r="D3" s="2116"/>
      <c r="E3" s="2117"/>
      <c r="F3" s="2116"/>
      <c r="G3" s="2116"/>
      <c r="H3" s="2116"/>
      <c r="I3" s="2116"/>
      <c r="J3" s="2116"/>
      <c r="K3" s="2118"/>
      <c r="L3" s="2116"/>
      <c r="M3" s="2117"/>
      <c r="N3" s="2119"/>
      <c r="O3" s="2118"/>
      <c r="P3" s="2116"/>
      <c r="Q3" s="2116"/>
      <c r="R3" s="2116"/>
      <c r="S3" s="2116"/>
      <c r="T3" s="2116"/>
      <c r="U3" s="2116"/>
      <c r="V3" s="61"/>
      <c r="W3" s="62"/>
      <c r="X3" s="60"/>
      <c r="Y3" s="63"/>
      <c r="Z3" s="56"/>
      <c r="AD3" s="64"/>
      <c r="AE3" s="59" t="s">
        <v>3</v>
      </c>
    </row>
    <row r="4" spans="1:31" s="57" customFormat="1" ht="20.25" customHeight="1">
      <c r="A4" s="2116" t="s">
        <v>565</v>
      </c>
      <c r="B4" s="2116"/>
      <c r="C4" s="2116"/>
      <c r="D4" s="2116"/>
      <c r="E4" s="2117"/>
      <c r="F4" s="2116"/>
      <c r="G4" s="2116"/>
      <c r="H4" s="2116"/>
      <c r="I4" s="2116"/>
      <c r="J4" s="2116"/>
      <c r="K4" s="2118"/>
      <c r="L4" s="2116"/>
      <c r="M4" s="2117"/>
      <c r="N4" s="2119"/>
      <c r="O4" s="2118"/>
      <c r="P4" s="2116"/>
      <c r="Q4" s="2116"/>
      <c r="R4" s="2116"/>
      <c r="S4" s="2116"/>
      <c r="T4" s="2116"/>
      <c r="U4" s="2116"/>
      <c r="V4" s="61"/>
      <c r="W4" s="62"/>
      <c r="X4" s="60"/>
      <c r="Y4" s="63"/>
      <c r="Z4" s="56"/>
      <c r="AD4" s="65"/>
      <c r="AE4" s="59" t="s">
        <v>5</v>
      </c>
    </row>
    <row r="5" spans="1:31" s="57" customFormat="1" ht="6" customHeight="1">
      <c r="D5" s="66"/>
      <c r="E5" s="67"/>
      <c r="F5" s="67"/>
      <c r="G5" s="67"/>
      <c r="H5" s="66"/>
      <c r="I5" s="66"/>
      <c r="J5" s="66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</row>
    <row r="6" spans="1:31" s="79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61" t="s">
        <v>13</v>
      </c>
      <c r="J6" s="159" t="s">
        <v>14</v>
      </c>
      <c r="K6" s="159" t="s">
        <v>15</v>
      </c>
      <c r="L6" s="134" t="s">
        <v>16</v>
      </c>
      <c r="M6" s="134" t="s">
        <v>17</v>
      </c>
      <c r="N6" s="319" t="s">
        <v>18</v>
      </c>
      <c r="O6" s="320" t="s">
        <v>19</v>
      </c>
      <c r="P6" s="134" t="s">
        <v>20</v>
      </c>
      <c r="Q6" s="321" t="s">
        <v>21</v>
      </c>
      <c r="R6" s="74" t="s">
        <v>22</v>
      </c>
      <c r="S6" s="74" t="s">
        <v>23</v>
      </c>
      <c r="T6" s="74" t="s">
        <v>24</v>
      </c>
      <c r="U6" s="78" t="s">
        <v>25</v>
      </c>
      <c r="V6" s="134" t="s">
        <v>26</v>
      </c>
      <c r="Z6" s="72" t="s">
        <v>27</v>
      </c>
      <c r="AA6" s="80" t="s">
        <v>28</v>
      </c>
      <c r="AB6" s="74" t="s">
        <v>29</v>
      </c>
      <c r="AC6" s="72" t="s">
        <v>30</v>
      </c>
    </row>
    <row r="7" spans="1:31" s="82" customFormat="1" ht="13">
      <c r="A7" s="81">
        <f>ROW()-6</f>
        <v>1</v>
      </c>
      <c r="B7" s="81">
        <v>1</v>
      </c>
      <c r="C7" s="258" t="s">
        <v>566</v>
      </c>
      <c r="D7" s="259" t="s">
        <v>75</v>
      </c>
      <c r="E7" s="260" t="s">
        <v>567</v>
      </c>
      <c r="F7" s="86">
        <v>1700</v>
      </c>
      <c r="G7" s="86">
        <v>1800</v>
      </c>
      <c r="H7" s="261" t="s">
        <v>288</v>
      </c>
      <c r="I7" s="261" t="s">
        <v>35</v>
      </c>
      <c r="J7" s="261" t="s">
        <v>36</v>
      </c>
      <c r="K7" s="315" t="s">
        <v>76</v>
      </c>
      <c r="L7" s="294" t="s">
        <v>284</v>
      </c>
      <c r="M7" s="295"/>
      <c r="N7" s="296" t="s">
        <v>568</v>
      </c>
      <c r="O7" s="276" t="s">
        <v>40</v>
      </c>
      <c r="P7" s="297"/>
      <c r="Q7" s="274"/>
      <c r="R7" s="275">
        <v>500000</v>
      </c>
      <c r="S7" s="162">
        <f>(G7-F7)/100</f>
        <v>1</v>
      </c>
      <c r="T7" s="259"/>
      <c r="U7" s="270">
        <f t="shared" ref="U7:U31" si="0">S7*R7*(100-P7)/100</f>
        <v>500000</v>
      </c>
      <c r="V7" s="347">
        <f t="shared" ref="V7:V14" si="1">U7</f>
        <v>500000</v>
      </c>
      <c r="W7" s="90"/>
      <c r="X7" s="91"/>
      <c r="Y7" s="90"/>
    </row>
    <row r="8" spans="1:31" s="82" customFormat="1" ht="26">
      <c r="A8" s="81" t="s">
        <v>569</v>
      </c>
      <c r="B8" s="81">
        <v>2</v>
      </c>
      <c r="C8" s="258" t="s">
        <v>570</v>
      </c>
      <c r="D8" s="259" t="s">
        <v>43</v>
      </c>
      <c r="E8" s="260" t="s">
        <v>567</v>
      </c>
      <c r="F8" s="86">
        <v>1500</v>
      </c>
      <c r="G8" s="86">
        <v>1630</v>
      </c>
      <c r="H8" s="261" t="s">
        <v>45</v>
      </c>
      <c r="I8" s="261" t="s">
        <v>35</v>
      </c>
      <c r="J8" s="261" t="s">
        <v>36</v>
      </c>
      <c r="K8" s="315" t="s">
        <v>76</v>
      </c>
      <c r="L8" s="294" t="s">
        <v>47</v>
      </c>
      <c r="M8" s="295" t="s">
        <v>571</v>
      </c>
      <c r="N8" s="296" t="s">
        <v>572</v>
      </c>
      <c r="O8" s="276" t="s">
        <v>40</v>
      </c>
      <c r="P8" s="297"/>
      <c r="Q8" s="274"/>
      <c r="R8" s="275">
        <v>500000</v>
      </c>
      <c r="S8" s="162">
        <f>(1650-F8)/100</f>
        <v>1.5</v>
      </c>
      <c r="T8" s="259"/>
      <c r="U8" s="270">
        <f t="shared" si="0"/>
        <v>750000</v>
      </c>
      <c r="V8" s="347">
        <f t="shared" si="1"/>
        <v>750000</v>
      </c>
      <c r="W8" s="90"/>
      <c r="X8" s="91"/>
      <c r="Y8" s="90"/>
    </row>
    <row r="9" spans="1:31" s="82" customFormat="1" ht="26">
      <c r="A9" s="81">
        <f t="shared" ref="A9:A77" si="2">ROW()-6</f>
        <v>3</v>
      </c>
      <c r="B9" s="81">
        <v>3</v>
      </c>
      <c r="C9" s="258" t="s">
        <v>573</v>
      </c>
      <c r="D9" s="259" t="s">
        <v>75</v>
      </c>
      <c r="E9" s="260" t="s">
        <v>574</v>
      </c>
      <c r="F9" s="86">
        <v>1600</v>
      </c>
      <c r="G9" s="86">
        <v>1700</v>
      </c>
      <c r="H9" s="293" t="s">
        <v>45</v>
      </c>
      <c r="I9" s="262" t="s">
        <v>35</v>
      </c>
      <c r="J9" s="262" t="s">
        <v>36</v>
      </c>
      <c r="K9" s="315" t="s">
        <v>76</v>
      </c>
      <c r="L9" s="294" t="s">
        <v>47</v>
      </c>
      <c r="M9" s="295" t="s">
        <v>575</v>
      </c>
      <c r="N9" s="296" t="s">
        <v>576</v>
      </c>
      <c r="O9" s="276" t="s">
        <v>40</v>
      </c>
      <c r="P9" s="297"/>
      <c r="Q9" s="298"/>
      <c r="R9" s="275">
        <v>500000</v>
      </c>
      <c r="S9" s="162">
        <f t="shared" ref="S9:S53" si="3">(G9-F9)/100</f>
        <v>1</v>
      </c>
      <c r="T9" s="259"/>
      <c r="U9" s="270">
        <f t="shared" si="0"/>
        <v>500000</v>
      </c>
      <c r="V9" s="347">
        <f t="shared" si="1"/>
        <v>500000</v>
      </c>
      <c r="W9" s="90"/>
      <c r="X9" s="91"/>
      <c r="Y9" s="90"/>
    </row>
    <row r="10" spans="1:31" s="82" customFormat="1" ht="26">
      <c r="A10" s="81">
        <f t="shared" si="2"/>
        <v>4</v>
      </c>
      <c r="B10" s="81">
        <v>4</v>
      </c>
      <c r="C10" s="258" t="s">
        <v>577</v>
      </c>
      <c r="D10" s="259" t="s">
        <v>43</v>
      </c>
      <c r="E10" s="260" t="s">
        <v>574</v>
      </c>
      <c r="F10" s="86">
        <v>1700</v>
      </c>
      <c r="G10" s="86">
        <v>1800</v>
      </c>
      <c r="H10" s="293" t="s">
        <v>166</v>
      </c>
      <c r="I10" s="262" t="s">
        <v>35</v>
      </c>
      <c r="J10" s="262" t="s">
        <v>36</v>
      </c>
      <c r="K10" s="315" t="s">
        <v>76</v>
      </c>
      <c r="L10" s="294" t="s">
        <v>47</v>
      </c>
      <c r="M10" s="295" t="s">
        <v>578</v>
      </c>
      <c r="N10" s="296" t="s">
        <v>579</v>
      </c>
      <c r="O10" s="276" t="s">
        <v>40</v>
      </c>
      <c r="P10" s="297"/>
      <c r="Q10" s="298"/>
      <c r="R10" s="275">
        <v>500000</v>
      </c>
      <c r="S10" s="162">
        <f t="shared" si="3"/>
        <v>1</v>
      </c>
      <c r="T10" s="259"/>
      <c r="U10" s="270">
        <f>S10*R10*(100-P10)/100</f>
        <v>500000</v>
      </c>
      <c r="V10" s="347">
        <f t="shared" si="1"/>
        <v>500000</v>
      </c>
      <c r="W10" s="91"/>
      <c r="X10" s="91"/>
      <c r="Y10" s="90"/>
    </row>
    <row r="11" spans="1:31" s="82" customFormat="1" ht="26">
      <c r="A11" s="81">
        <f t="shared" si="2"/>
        <v>5</v>
      </c>
      <c r="B11" s="81">
        <v>5</v>
      </c>
      <c r="C11" s="94">
        <v>4179</v>
      </c>
      <c r="D11" s="259" t="s">
        <v>43</v>
      </c>
      <c r="E11" s="258" t="s">
        <v>574</v>
      </c>
      <c r="F11" s="86">
        <v>1100</v>
      </c>
      <c r="G11" s="86">
        <v>1200</v>
      </c>
      <c r="H11" s="94" t="s">
        <v>166</v>
      </c>
      <c r="I11" s="140" t="s">
        <v>35</v>
      </c>
      <c r="J11" s="140" t="s">
        <v>36</v>
      </c>
      <c r="K11" s="316">
        <v>6</v>
      </c>
      <c r="L11" s="297" t="s">
        <v>47</v>
      </c>
      <c r="M11" s="352" t="s">
        <v>578</v>
      </c>
      <c r="N11" s="281" t="s">
        <v>580</v>
      </c>
      <c r="O11" s="276" t="s">
        <v>40</v>
      </c>
      <c r="P11" s="132"/>
      <c r="Q11" s="298"/>
      <c r="R11" s="275">
        <v>500000</v>
      </c>
      <c r="S11" s="162">
        <f t="shared" si="3"/>
        <v>1</v>
      </c>
      <c r="T11" s="94"/>
      <c r="U11" s="270">
        <f t="shared" si="0"/>
        <v>500000</v>
      </c>
      <c r="V11" s="347">
        <f t="shared" si="1"/>
        <v>500000</v>
      </c>
      <c r="W11" s="83"/>
    </row>
    <row r="12" spans="1:31" s="82" customFormat="1" ht="13">
      <c r="A12" s="81">
        <f t="shared" si="2"/>
        <v>6</v>
      </c>
      <c r="B12" s="81">
        <v>6</v>
      </c>
      <c r="C12" s="258" t="s">
        <v>581</v>
      </c>
      <c r="D12" s="259" t="s">
        <v>75</v>
      </c>
      <c r="E12" s="258" t="s">
        <v>582</v>
      </c>
      <c r="F12" s="86">
        <v>1300</v>
      </c>
      <c r="G12" s="86">
        <v>1345</v>
      </c>
      <c r="H12" s="261" t="s">
        <v>288</v>
      </c>
      <c r="I12" s="261" t="s">
        <v>35</v>
      </c>
      <c r="J12" s="261" t="s">
        <v>36</v>
      </c>
      <c r="K12" s="315" t="s">
        <v>56</v>
      </c>
      <c r="L12" s="412" t="s">
        <v>284</v>
      </c>
      <c r="M12" s="355"/>
      <c r="N12" s="350" t="s">
        <v>583</v>
      </c>
      <c r="O12" s="276" t="s">
        <v>40</v>
      </c>
      <c r="P12" s="297"/>
      <c r="Q12" s="298"/>
      <c r="R12" s="275">
        <v>500000</v>
      </c>
      <c r="S12" s="162">
        <f>(1375-F12)/100</f>
        <v>0.75</v>
      </c>
      <c r="T12" s="259"/>
      <c r="U12" s="270">
        <f t="shared" si="0"/>
        <v>375000</v>
      </c>
      <c r="V12" s="347">
        <f t="shared" si="1"/>
        <v>375000</v>
      </c>
      <c r="W12" s="90"/>
      <c r="X12" s="91"/>
      <c r="Y12" s="90"/>
    </row>
    <row r="13" spans="1:31" s="82" customFormat="1" ht="13" hidden="1">
      <c r="A13" s="81">
        <f t="shared" si="2"/>
        <v>7</v>
      </c>
      <c r="B13" s="81">
        <v>7</v>
      </c>
      <c r="C13" s="94">
        <v>4174</v>
      </c>
      <c r="D13" s="259" t="s">
        <v>65</v>
      </c>
      <c r="E13" s="258" t="s">
        <v>584</v>
      </c>
      <c r="F13" s="86">
        <v>830</v>
      </c>
      <c r="G13" s="86">
        <v>1000</v>
      </c>
      <c r="H13" s="94" t="s">
        <v>585</v>
      </c>
      <c r="I13" s="140" t="s">
        <v>35</v>
      </c>
      <c r="J13" s="140" t="s">
        <v>36</v>
      </c>
      <c r="K13" s="315" t="s">
        <v>61</v>
      </c>
      <c r="L13" s="297" t="s">
        <v>112</v>
      </c>
      <c r="M13" s="353"/>
      <c r="N13" s="281" t="s">
        <v>586</v>
      </c>
      <c r="O13" s="276" t="s">
        <v>40</v>
      </c>
      <c r="P13" s="297" t="s">
        <v>41</v>
      </c>
      <c r="Q13" s="298"/>
      <c r="R13" s="275">
        <v>180000</v>
      </c>
      <c r="S13" s="162">
        <f>(G13-850)/100</f>
        <v>1.5</v>
      </c>
      <c r="T13" s="94"/>
      <c r="U13" s="270">
        <f t="shared" si="0"/>
        <v>0</v>
      </c>
      <c r="V13" s="347">
        <f t="shared" si="1"/>
        <v>0</v>
      </c>
    </row>
    <row r="14" spans="1:31" s="82" customFormat="1">
      <c r="A14" s="81">
        <f t="shared" si="2"/>
        <v>8</v>
      </c>
      <c r="B14" s="81">
        <v>8</v>
      </c>
      <c r="C14" s="258" t="s">
        <v>587</v>
      </c>
      <c r="D14" s="259" t="s">
        <v>75</v>
      </c>
      <c r="E14" s="258" t="s">
        <v>582</v>
      </c>
      <c r="F14" s="86">
        <v>1400</v>
      </c>
      <c r="G14" s="86">
        <v>1600</v>
      </c>
      <c r="H14" s="261" t="s">
        <v>45</v>
      </c>
      <c r="I14" s="140" t="s">
        <v>35</v>
      </c>
      <c r="J14" s="140" t="s">
        <v>36</v>
      </c>
      <c r="K14" s="315" t="s">
        <v>76</v>
      </c>
      <c r="L14" s="297" t="s">
        <v>47</v>
      </c>
      <c r="M14" s="132" t="s">
        <v>588</v>
      </c>
      <c r="N14" s="325" t="s">
        <v>589</v>
      </c>
      <c r="O14" s="276" t="s">
        <v>40</v>
      </c>
      <c r="P14" s="272"/>
      <c r="Q14" s="274"/>
      <c r="R14" s="275">
        <v>500000</v>
      </c>
      <c r="S14" s="162">
        <f t="shared" si="3"/>
        <v>2</v>
      </c>
      <c r="T14" s="259"/>
      <c r="U14" s="270">
        <f t="shared" si="0"/>
        <v>1000000</v>
      </c>
      <c r="V14" s="347">
        <f t="shared" si="1"/>
        <v>1000000</v>
      </c>
      <c r="W14" s="90"/>
      <c r="X14" s="91"/>
      <c r="Y14" s="90"/>
    </row>
    <row r="15" spans="1:31" s="82" customFormat="1" ht="14">
      <c r="A15" s="263">
        <f t="shared" si="2"/>
        <v>9</v>
      </c>
      <c r="B15" s="263">
        <v>9</v>
      </c>
      <c r="C15" s="264" t="s">
        <v>590</v>
      </c>
      <c r="D15" s="265" t="s">
        <v>75</v>
      </c>
      <c r="E15" s="264" t="s">
        <v>582</v>
      </c>
      <c r="F15" s="266">
        <v>900</v>
      </c>
      <c r="G15" s="266">
        <v>1100</v>
      </c>
      <c r="H15" s="267" t="s">
        <v>45</v>
      </c>
      <c r="I15" s="268" t="s">
        <v>35</v>
      </c>
      <c r="J15" s="268" t="s">
        <v>36</v>
      </c>
      <c r="K15" s="317" t="s">
        <v>76</v>
      </c>
      <c r="L15" s="297" t="s">
        <v>47</v>
      </c>
      <c r="M15" s="299" t="s">
        <v>588</v>
      </c>
      <c r="N15" s="324" t="s">
        <v>591</v>
      </c>
      <c r="O15" s="300" t="s">
        <v>40</v>
      </c>
      <c r="P15" s="301"/>
      <c r="Q15" s="302"/>
      <c r="R15" s="275">
        <v>500000</v>
      </c>
      <c r="S15" s="162">
        <f t="shared" si="3"/>
        <v>2</v>
      </c>
      <c r="T15" s="265"/>
      <c r="U15" s="273">
        <f>S15*R15*(100-P15)/100</f>
        <v>1000000</v>
      </c>
      <c r="V15" s="347">
        <f>U15</f>
        <v>1000000</v>
      </c>
      <c r="W15" s="90"/>
      <c r="X15" s="91"/>
      <c r="Y15" s="90"/>
    </row>
    <row r="16" spans="1:31" s="82" customFormat="1">
      <c r="A16" s="81">
        <f t="shared" si="2"/>
        <v>10</v>
      </c>
      <c r="B16" s="81">
        <v>10</v>
      </c>
      <c r="C16" s="258" t="s">
        <v>592</v>
      </c>
      <c r="D16" s="259" t="s">
        <v>43</v>
      </c>
      <c r="E16" s="258" t="s">
        <v>582</v>
      </c>
      <c r="F16" s="86">
        <v>1400</v>
      </c>
      <c r="G16" s="86">
        <v>1600</v>
      </c>
      <c r="H16" s="261" t="s">
        <v>45</v>
      </c>
      <c r="I16" s="140" t="s">
        <v>35</v>
      </c>
      <c r="J16" s="140" t="s">
        <v>36</v>
      </c>
      <c r="K16" s="315" t="s">
        <v>76</v>
      </c>
      <c r="L16" s="297" t="s">
        <v>47</v>
      </c>
      <c r="M16" s="132" t="s">
        <v>588</v>
      </c>
      <c r="N16" s="325" t="s">
        <v>593</v>
      </c>
      <c r="O16" s="276" t="s">
        <v>40</v>
      </c>
      <c r="P16" s="272"/>
      <c r="Q16" s="298"/>
      <c r="R16" s="275">
        <v>500000</v>
      </c>
      <c r="S16" s="162">
        <f t="shared" si="3"/>
        <v>2</v>
      </c>
      <c r="T16" s="259"/>
      <c r="U16" s="270">
        <f t="shared" si="0"/>
        <v>1000000</v>
      </c>
      <c r="V16" s="347">
        <f>U16</f>
        <v>1000000</v>
      </c>
      <c r="W16" s="90"/>
      <c r="X16" s="91"/>
      <c r="Y16" s="90"/>
    </row>
    <row r="17" spans="1:25" s="82" customFormat="1">
      <c r="A17" s="81">
        <f t="shared" si="2"/>
        <v>11</v>
      </c>
      <c r="B17" s="81">
        <v>11</v>
      </c>
      <c r="C17" s="258" t="s">
        <v>594</v>
      </c>
      <c r="D17" s="259" t="s">
        <v>43</v>
      </c>
      <c r="E17" s="258" t="s">
        <v>582</v>
      </c>
      <c r="F17" s="86">
        <v>900</v>
      </c>
      <c r="G17" s="86">
        <v>1100</v>
      </c>
      <c r="H17" s="261" t="s">
        <v>45</v>
      </c>
      <c r="I17" s="140" t="s">
        <v>35</v>
      </c>
      <c r="J17" s="140" t="s">
        <v>36</v>
      </c>
      <c r="K17" s="315" t="s">
        <v>76</v>
      </c>
      <c r="L17" s="297" t="s">
        <v>47</v>
      </c>
      <c r="M17" s="132" t="s">
        <v>588</v>
      </c>
      <c r="N17" s="325" t="s">
        <v>595</v>
      </c>
      <c r="O17" s="276" t="s">
        <v>40</v>
      </c>
      <c r="P17" s="272"/>
      <c r="Q17" s="274"/>
      <c r="R17" s="275">
        <v>500000</v>
      </c>
      <c r="S17" s="162">
        <f t="shared" si="3"/>
        <v>2</v>
      </c>
      <c r="T17" s="259"/>
      <c r="U17" s="270">
        <f t="shared" si="0"/>
        <v>1000000</v>
      </c>
      <c r="V17" s="347">
        <f>U17</f>
        <v>1000000</v>
      </c>
      <c r="W17" s="90"/>
      <c r="X17" s="91"/>
      <c r="Y17" s="90"/>
    </row>
    <row r="18" spans="1:25" s="82" customFormat="1" ht="26">
      <c r="A18" s="81">
        <f t="shared" si="2"/>
        <v>12</v>
      </c>
      <c r="B18" s="81">
        <v>12</v>
      </c>
      <c r="C18" s="258" t="s">
        <v>596</v>
      </c>
      <c r="D18" s="259" t="s">
        <v>32</v>
      </c>
      <c r="E18" s="258" t="s">
        <v>584</v>
      </c>
      <c r="F18" s="86">
        <v>1600</v>
      </c>
      <c r="G18" s="86">
        <v>1800</v>
      </c>
      <c r="H18" s="261" t="s">
        <v>45</v>
      </c>
      <c r="I18" s="140" t="s">
        <v>35</v>
      </c>
      <c r="J18" s="140" t="s">
        <v>36</v>
      </c>
      <c r="K18" s="315" t="s">
        <v>37</v>
      </c>
      <c r="L18" s="297" t="s">
        <v>47</v>
      </c>
      <c r="M18" s="295" t="s">
        <v>588</v>
      </c>
      <c r="N18" s="271" t="s">
        <v>597</v>
      </c>
      <c r="O18" s="276" t="s">
        <v>40</v>
      </c>
      <c r="P18" s="272"/>
      <c r="Q18" s="303"/>
      <c r="R18" s="275">
        <v>950000</v>
      </c>
      <c r="S18" s="162">
        <f t="shared" si="3"/>
        <v>2</v>
      </c>
      <c r="T18" s="94"/>
      <c r="U18" s="270">
        <f>S18*R18*(100-P18)/100</f>
        <v>1900000</v>
      </c>
      <c r="V18" s="347">
        <f>U18</f>
        <v>1900000</v>
      </c>
    </row>
    <row r="19" spans="1:25" s="82" customFormat="1" ht="26" hidden="1">
      <c r="A19" s="81">
        <f t="shared" si="2"/>
        <v>13</v>
      </c>
      <c r="B19" s="81">
        <v>13</v>
      </c>
      <c r="C19" s="258" t="s">
        <v>598</v>
      </c>
      <c r="D19" s="259" t="s">
        <v>75</v>
      </c>
      <c r="E19" s="258" t="s">
        <v>582</v>
      </c>
      <c r="F19" s="86">
        <v>1400</v>
      </c>
      <c r="G19" s="86">
        <v>1530</v>
      </c>
      <c r="H19" s="261" t="s">
        <v>45</v>
      </c>
      <c r="I19" s="140" t="s">
        <v>35</v>
      </c>
      <c r="J19" s="140" t="s">
        <v>36</v>
      </c>
      <c r="K19" s="315" t="s">
        <v>76</v>
      </c>
      <c r="L19" s="297" t="s">
        <v>47</v>
      </c>
      <c r="M19" s="352" t="s">
        <v>588</v>
      </c>
      <c r="N19" s="271" t="s">
        <v>599</v>
      </c>
      <c r="O19" s="276" t="s">
        <v>174</v>
      </c>
      <c r="P19" s="297"/>
      <c r="Q19" s="274"/>
      <c r="R19" s="275"/>
      <c r="S19" s="162">
        <f>(1550-F19)/100</f>
        <v>1.5</v>
      </c>
      <c r="T19" s="259"/>
      <c r="U19" s="270">
        <f t="shared" si="0"/>
        <v>0</v>
      </c>
      <c r="V19" s="347">
        <f t="shared" ref="V19:V31" si="4">U19</f>
        <v>0</v>
      </c>
      <c r="W19" s="90"/>
      <c r="X19" s="91"/>
      <c r="Y19" s="90"/>
    </row>
    <row r="20" spans="1:25" s="82" customFormat="1" hidden="1">
      <c r="A20" s="81">
        <f t="shared" si="2"/>
        <v>14</v>
      </c>
      <c r="B20" s="81">
        <v>14</v>
      </c>
      <c r="C20" s="87" t="s">
        <v>600</v>
      </c>
      <c r="D20" s="88" t="s">
        <v>43</v>
      </c>
      <c r="E20" s="87" t="s">
        <v>582</v>
      </c>
      <c r="F20" s="86">
        <v>1400</v>
      </c>
      <c r="G20" s="86">
        <v>1530</v>
      </c>
      <c r="H20" s="89" t="s">
        <v>45</v>
      </c>
      <c r="I20" s="140" t="s">
        <v>35</v>
      </c>
      <c r="J20" s="140" t="s">
        <v>36</v>
      </c>
      <c r="K20" s="318" t="s">
        <v>76</v>
      </c>
      <c r="L20" s="412" t="s">
        <v>47</v>
      </c>
      <c r="M20" s="94" t="s">
        <v>588</v>
      </c>
      <c r="N20" s="351" t="s">
        <v>601</v>
      </c>
      <c r="O20" s="306" t="s">
        <v>174</v>
      </c>
      <c r="P20" s="304"/>
      <c r="Q20" s="307"/>
      <c r="R20" s="275"/>
      <c r="S20" s="162">
        <f>(1550-F20)/100</f>
        <v>1.5</v>
      </c>
      <c r="T20" s="88"/>
      <c r="U20" s="122">
        <f t="shared" si="0"/>
        <v>0</v>
      </c>
      <c r="V20" s="347">
        <f t="shared" si="4"/>
        <v>0</v>
      </c>
      <c r="W20" s="90"/>
      <c r="X20" s="91"/>
      <c r="Y20" s="90"/>
    </row>
    <row r="21" spans="1:25" s="82" customFormat="1" hidden="1">
      <c r="A21" s="81">
        <f t="shared" si="2"/>
        <v>15</v>
      </c>
      <c r="B21" s="81">
        <v>15</v>
      </c>
      <c r="C21" s="87" t="s">
        <v>602</v>
      </c>
      <c r="D21" s="88" t="s">
        <v>75</v>
      </c>
      <c r="E21" s="87" t="s">
        <v>582</v>
      </c>
      <c r="F21" s="86">
        <v>900</v>
      </c>
      <c r="G21" s="86">
        <v>1030</v>
      </c>
      <c r="H21" s="89" t="s">
        <v>45</v>
      </c>
      <c r="I21" s="140" t="s">
        <v>35</v>
      </c>
      <c r="J21" s="140" t="s">
        <v>36</v>
      </c>
      <c r="K21" s="318" t="s">
        <v>56</v>
      </c>
      <c r="L21" s="294" t="s">
        <v>47</v>
      </c>
      <c r="M21" s="354" t="s">
        <v>588</v>
      </c>
      <c r="N21" s="305" t="s">
        <v>603</v>
      </c>
      <c r="O21" s="306" t="s">
        <v>174</v>
      </c>
      <c r="P21" s="304"/>
      <c r="Q21" s="298"/>
      <c r="R21" s="275"/>
      <c r="S21" s="162">
        <f>(1050-F21)/100</f>
        <v>1.5</v>
      </c>
      <c r="T21" s="88"/>
      <c r="U21" s="122">
        <f t="shared" si="0"/>
        <v>0</v>
      </c>
      <c r="V21" s="347">
        <f t="shared" si="4"/>
        <v>0</v>
      </c>
      <c r="W21" s="90"/>
      <c r="X21" s="91"/>
      <c r="Y21" s="90"/>
    </row>
    <row r="22" spans="1:25" s="82" customFormat="1" hidden="1">
      <c r="A22" s="81">
        <f t="shared" si="2"/>
        <v>16</v>
      </c>
      <c r="B22" s="81">
        <v>16</v>
      </c>
      <c r="C22" s="87" t="s">
        <v>604</v>
      </c>
      <c r="D22" s="88" t="s">
        <v>43</v>
      </c>
      <c r="E22" s="87" t="s">
        <v>582</v>
      </c>
      <c r="F22" s="86">
        <v>900</v>
      </c>
      <c r="G22" s="86">
        <v>1030</v>
      </c>
      <c r="H22" s="89" t="s">
        <v>45</v>
      </c>
      <c r="I22" s="140" t="s">
        <v>35</v>
      </c>
      <c r="J22" s="140" t="s">
        <v>36</v>
      </c>
      <c r="K22" s="318" t="s">
        <v>76</v>
      </c>
      <c r="L22" s="294" t="s">
        <v>47</v>
      </c>
      <c r="M22" s="132" t="s">
        <v>588</v>
      </c>
      <c r="N22" s="305" t="s">
        <v>605</v>
      </c>
      <c r="O22" s="306" t="s">
        <v>174</v>
      </c>
      <c r="P22" s="298"/>
      <c r="Q22" s="298"/>
      <c r="R22" s="275"/>
      <c r="S22" s="162">
        <f>(1050-F22)/100</f>
        <v>1.5</v>
      </c>
      <c r="T22" s="94"/>
      <c r="U22" s="122">
        <f t="shared" si="0"/>
        <v>0</v>
      </c>
      <c r="V22" s="347">
        <f t="shared" si="4"/>
        <v>0</v>
      </c>
    </row>
    <row r="23" spans="1:25" s="82" customFormat="1" ht="26" hidden="1">
      <c r="A23" s="81">
        <f t="shared" si="2"/>
        <v>17</v>
      </c>
      <c r="B23" s="81">
        <v>17</v>
      </c>
      <c r="C23" s="87" t="s">
        <v>606</v>
      </c>
      <c r="D23" s="88" t="s">
        <v>375</v>
      </c>
      <c r="E23" s="87" t="s">
        <v>582</v>
      </c>
      <c r="F23" s="86">
        <v>900</v>
      </c>
      <c r="G23" s="86">
        <v>1030</v>
      </c>
      <c r="H23" s="89" t="s">
        <v>45</v>
      </c>
      <c r="I23" s="140" t="s">
        <v>35</v>
      </c>
      <c r="J23" s="140" t="s">
        <v>36</v>
      </c>
      <c r="K23" s="318" t="s">
        <v>76</v>
      </c>
      <c r="L23" s="294" t="s">
        <v>47</v>
      </c>
      <c r="M23" s="295" t="s">
        <v>588</v>
      </c>
      <c r="N23" s="305" t="s">
        <v>607</v>
      </c>
      <c r="O23" s="306" t="s">
        <v>174</v>
      </c>
      <c r="P23" s="304"/>
      <c r="Q23" s="298">
        <f>R23*3</f>
        <v>0</v>
      </c>
      <c r="R23" s="275"/>
      <c r="S23" s="162">
        <f>(G23-F23)/100</f>
        <v>1.3</v>
      </c>
      <c r="T23" s="88"/>
      <c r="U23" s="122">
        <f t="shared" si="0"/>
        <v>0</v>
      </c>
      <c r="V23" s="347">
        <f>Q23+((S23-4)*R23)</f>
        <v>0</v>
      </c>
      <c r="W23" s="90"/>
      <c r="X23" s="91"/>
      <c r="Y23" s="90"/>
    </row>
    <row r="24" spans="1:25" s="82" customFormat="1" hidden="1">
      <c r="A24" s="81">
        <f t="shared" si="2"/>
        <v>18</v>
      </c>
      <c r="B24" s="81">
        <v>18</v>
      </c>
      <c r="C24" s="258" t="s">
        <v>608</v>
      </c>
      <c r="D24" s="259" t="s">
        <v>32</v>
      </c>
      <c r="E24" s="258" t="s">
        <v>584</v>
      </c>
      <c r="F24" s="86">
        <v>1600</v>
      </c>
      <c r="G24" s="86">
        <v>1730</v>
      </c>
      <c r="H24" s="261" t="s">
        <v>45</v>
      </c>
      <c r="I24" s="140" t="s">
        <v>35</v>
      </c>
      <c r="J24" s="140" t="s">
        <v>36</v>
      </c>
      <c r="K24" s="315" t="s">
        <v>37</v>
      </c>
      <c r="L24" s="297" t="s">
        <v>47</v>
      </c>
      <c r="M24" s="132" t="s">
        <v>588</v>
      </c>
      <c r="N24" s="271" t="s">
        <v>609</v>
      </c>
      <c r="O24" s="276" t="s">
        <v>174</v>
      </c>
      <c r="P24" s="272"/>
      <c r="Q24" s="274"/>
      <c r="R24" s="275"/>
      <c r="S24" s="162">
        <f t="shared" si="3"/>
        <v>1.3</v>
      </c>
      <c r="T24" s="259"/>
      <c r="U24" s="270">
        <f t="shared" si="0"/>
        <v>0</v>
      </c>
      <c r="V24" s="347">
        <f t="shared" si="4"/>
        <v>0</v>
      </c>
      <c r="W24" s="90"/>
      <c r="X24" s="91"/>
      <c r="Y24" s="90"/>
    </row>
    <row r="25" spans="1:25" s="82" customFormat="1" ht="26">
      <c r="A25" s="81">
        <f t="shared" si="2"/>
        <v>19</v>
      </c>
      <c r="B25" s="81">
        <v>19</v>
      </c>
      <c r="C25" s="258" t="s">
        <v>610</v>
      </c>
      <c r="D25" s="259" t="s">
        <v>75</v>
      </c>
      <c r="E25" s="258" t="s">
        <v>611</v>
      </c>
      <c r="F25" s="86">
        <v>1500</v>
      </c>
      <c r="G25" s="86">
        <v>1600</v>
      </c>
      <c r="H25" s="261" t="s">
        <v>45</v>
      </c>
      <c r="I25" s="140" t="s">
        <v>35</v>
      </c>
      <c r="J25" s="140" t="s">
        <v>36</v>
      </c>
      <c r="K25" s="315" t="s">
        <v>56</v>
      </c>
      <c r="L25" s="297" t="s">
        <v>47</v>
      </c>
      <c r="M25" s="295" t="s">
        <v>578</v>
      </c>
      <c r="N25" s="325" t="s">
        <v>612</v>
      </c>
      <c r="O25" s="276" t="s">
        <v>40</v>
      </c>
      <c r="P25" s="298"/>
      <c r="Q25" s="437">
        <f>R25*3</f>
        <v>1500000</v>
      </c>
      <c r="R25" s="275">
        <v>500000</v>
      </c>
      <c r="S25" s="162">
        <f>(G25-950)/100</f>
        <v>6.5</v>
      </c>
      <c r="T25" s="94"/>
      <c r="U25" s="270">
        <f t="shared" si="0"/>
        <v>3250000</v>
      </c>
      <c r="V25" s="347">
        <f>Q25+((S25-4)*R25)</f>
        <v>2750000</v>
      </c>
    </row>
    <row r="26" spans="1:25" s="82" customFormat="1">
      <c r="A26" s="81">
        <f t="shared" si="2"/>
        <v>20</v>
      </c>
      <c r="B26" s="81">
        <v>20</v>
      </c>
      <c r="C26" s="258" t="s">
        <v>613</v>
      </c>
      <c r="D26" s="259" t="s">
        <v>75</v>
      </c>
      <c r="E26" s="258" t="s">
        <v>584</v>
      </c>
      <c r="F26" s="86">
        <v>900</v>
      </c>
      <c r="G26" s="86">
        <v>1200</v>
      </c>
      <c r="H26" s="261" t="s">
        <v>45</v>
      </c>
      <c r="I26" s="140" t="s">
        <v>35</v>
      </c>
      <c r="J26" s="140" t="s">
        <v>36</v>
      </c>
      <c r="K26" s="315" t="s">
        <v>76</v>
      </c>
      <c r="L26" s="297" t="s">
        <v>47</v>
      </c>
      <c r="M26" s="132" t="s">
        <v>578</v>
      </c>
      <c r="N26" s="325" t="s">
        <v>614</v>
      </c>
      <c r="O26" s="276" t="s">
        <v>40</v>
      </c>
      <c r="P26" s="298"/>
      <c r="Q26" s="274"/>
      <c r="R26" s="275">
        <v>500000</v>
      </c>
      <c r="S26" s="162">
        <f t="shared" si="3"/>
        <v>3</v>
      </c>
      <c r="T26" s="259"/>
      <c r="U26" s="270">
        <f t="shared" si="0"/>
        <v>1500000</v>
      </c>
      <c r="V26" s="347">
        <f t="shared" si="4"/>
        <v>1500000</v>
      </c>
      <c r="W26" s="90"/>
      <c r="X26" s="91"/>
      <c r="Y26" s="90"/>
    </row>
    <row r="27" spans="1:25" s="82" customFormat="1">
      <c r="A27" s="81">
        <f t="shared" si="2"/>
        <v>21</v>
      </c>
      <c r="B27" s="81">
        <v>21</v>
      </c>
      <c r="C27" s="258" t="s">
        <v>615</v>
      </c>
      <c r="D27" s="259" t="s">
        <v>75</v>
      </c>
      <c r="E27" s="258" t="s">
        <v>611</v>
      </c>
      <c r="F27" s="86">
        <v>1000</v>
      </c>
      <c r="G27" s="86">
        <v>1200</v>
      </c>
      <c r="H27" s="261" t="s">
        <v>45</v>
      </c>
      <c r="I27" s="140" t="s">
        <v>35</v>
      </c>
      <c r="J27" s="140" t="s">
        <v>36</v>
      </c>
      <c r="K27" s="315" t="s">
        <v>76</v>
      </c>
      <c r="L27" s="297" t="s">
        <v>47</v>
      </c>
      <c r="M27" s="132" t="s">
        <v>588</v>
      </c>
      <c r="N27" s="448" t="s">
        <v>616</v>
      </c>
      <c r="O27" s="276" t="s">
        <v>40</v>
      </c>
      <c r="P27" s="298"/>
      <c r="Q27" s="298"/>
      <c r="R27" s="275">
        <v>500000</v>
      </c>
      <c r="S27" s="162">
        <f>(G27-1050)/100</f>
        <v>1.5</v>
      </c>
      <c r="T27" s="94"/>
      <c r="U27" s="270">
        <f t="shared" si="0"/>
        <v>750000</v>
      </c>
      <c r="V27" s="347">
        <f t="shared" si="4"/>
        <v>750000</v>
      </c>
    </row>
    <row r="28" spans="1:25" s="82" customFormat="1" hidden="1">
      <c r="A28" s="81">
        <f t="shared" si="2"/>
        <v>22</v>
      </c>
      <c r="B28" s="81">
        <v>22</v>
      </c>
      <c r="C28" s="87" t="s">
        <v>617</v>
      </c>
      <c r="D28" s="88" t="s">
        <v>75</v>
      </c>
      <c r="E28" s="87" t="s">
        <v>611</v>
      </c>
      <c r="F28" s="86">
        <v>900</v>
      </c>
      <c r="G28" s="86">
        <v>1200</v>
      </c>
      <c r="H28" s="89" t="s">
        <v>45</v>
      </c>
      <c r="I28" s="140" t="s">
        <v>35</v>
      </c>
      <c r="J28" s="140" t="s">
        <v>36</v>
      </c>
      <c r="K28" s="318" t="s">
        <v>56</v>
      </c>
      <c r="L28" s="294" t="s">
        <v>47</v>
      </c>
      <c r="M28" s="132" t="s">
        <v>578</v>
      </c>
      <c r="N28" s="344" t="s">
        <v>618</v>
      </c>
      <c r="O28" s="306" t="s">
        <v>174</v>
      </c>
      <c r="P28" s="304"/>
      <c r="Q28" s="298"/>
      <c r="R28" s="275"/>
      <c r="S28" s="162">
        <f>(1250-F28)/100</f>
        <v>3.5</v>
      </c>
      <c r="T28" s="88"/>
      <c r="U28" s="122">
        <f t="shared" si="0"/>
        <v>0</v>
      </c>
      <c r="V28" s="347">
        <f t="shared" si="4"/>
        <v>0</v>
      </c>
      <c r="W28" s="90"/>
      <c r="X28" s="91"/>
      <c r="Y28" s="90"/>
    </row>
    <row r="29" spans="1:25" s="82" customFormat="1">
      <c r="A29" s="81">
        <f t="shared" si="2"/>
        <v>23</v>
      </c>
      <c r="B29" s="81">
        <v>23</v>
      </c>
      <c r="C29" s="258" t="s">
        <v>619</v>
      </c>
      <c r="D29" s="259" t="s">
        <v>75</v>
      </c>
      <c r="E29" s="258" t="s">
        <v>611</v>
      </c>
      <c r="F29" s="86">
        <v>1330</v>
      </c>
      <c r="G29" s="86">
        <v>1430</v>
      </c>
      <c r="H29" s="261" t="s">
        <v>45</v>
      </c>
      <c r="I29" s="140" t="s">
        <v>35</v>
      </c>
      <c r="J29" s="140" t="s">
        <v>36</v>
      </c>
      <c r="K29" s="315" t="s">
        <v>56</v>
      </c>
      <c r="L29" s="297" t="s">
        <v>47</v>
      </c>
      <c r="M29" s="295" t="s">
        <v>620</v>
      </c>
      <c r="N29" s="448" t="s">
        <v>621</v>
      </c>
      <c r="O29" s="276" t="s">
        <v>40</v>
      </c>
      <c r="P29" s="272"/>
      <c r="Q29" s="303"/>
      <c r="R29" s="437">
        <v>500000</v>
      </c>
      <c r="S29" s="162">
        <f>(G29-F29)/100</f>
        <v>1</v>
      </c>
      <c r="T29" s="94"/>
      <c r="U29" s="270">
        <f t="shared" si="0"/>
        <v>500000</v>
      </c>
      <c r="V29" s="347">
        <f t="shared" si="4"/>
        <v>500000</v>
      </c>
    </row>
    <row r="30" spans="1:25" s="82" customFormat="1" ht="13" hidden="1">
      <c r="A30" s="81">
        <f t="shared" si="2"/>
        <v>24</v>
      </c>
      <c r="B30" s="81">
        <v>24</v>
      </c>
      <c r="C30" s="258" t="s">
        <v>622</v>
      </c>
      <c r="D30" s="259" t="s">
        <v>75</v>
      </c>
      <c r="E30" s="258" t="s">
        <v>623</v>
      </c>
      <c r="F30" s="86">
        <v>1100</v>
      </c>
      <c r="G30" s="86">
        <v>1130</v>
      </c>
      <c r="H30" s="261" t="s">
        <v>624</v>
      </c>
      <c r="I30" s="140" t="s">
        <v>35</v>
      </c>
      <c r="J30" s="140" t="s">
        <v>36</v>
      </c>
      <c r="K30" s="315" t="s">
        <v>76</v>
      </c>
      <c r="L30" s="297" t="s">
        <v>484</v>
      </c>
      <c r="M30" s="132"/>
      <c r="N30" s="278" t="s">
        <v>625</v>
      </c>
      <c r="O30" s="276" t="s">
        <v>40</v>
      </c>
      <c r="P30" s="298">
        <v>100</v>
      </c>
      <c r="Q30" s="303"/>
      <c r="R30" s="275">
        <v>500000</v>
      </c>
      <c r="S30" s="162">
        <f>(1150-F30)/100</f>
        <v>0.5</v>
      </c>
      <c r="T30" s="259"/>
      <c r="U30" s="270">
        <f>S30*R30*(100-P30)/100</f>
        <v>0</v>
      </c>
      <c r="V30" s="347">
        <f t="shared" si="4"/>
        <v>0</v>
      </c>
      <c r="W30" s="90"/>
      <c r="X30" s="91"/>
      <c r="Y30" s="90"/>
    </row>
    <row r="31" spans="1:25" s="82" customFormat="1" ht="26">
      <c r="A31" s="81">
        <f t="shared" si="2"/>
        <v>25</v>
      </c>
      <c r="B31" s="81">
        <v>25</v>
      </c>
      <c r="C31" s="258" t="s">
        <v>626</v>
      </c>
      <c r="D31" s="259" t="s">
        <v>43</v>
      </c>
      <c r="E31" s="258" t="s">
        <v>611</v>
      </c>
      <c r="F31" s="86">
        <v>1430</v>
      </c>
      <c r="G31" s="86">
        <v>1730</v>
      </c>
      <c r="H31" s="261" t="s">
        <v>45</v>
      </c>
      <c r="I31" s="140" t="s">
        <v>35</v>
      </c>
      <c r="J31" s="140" t="s">
        <v>36</v>
      </c>
      <c r="K31" s="315" t="s">
        <v>76</v>
      </c>
      <c r="L31" s="297" t="s">
        <v>47</v>
      </c>
      <c r="M31" s="295" t="s">
        <v>627</v>
      </c>
      <c r="N31" s="451" t="s">
        <v>628</v>
      </c>
      <c r="O31" s="276" t="s">
        <v>40</v>
      </c>
      <c r="P31" s="298"/>
      <c r="Q31" s="308"/>
      <c r="R31" s="275">
        <v>500000</v>
      </c>
      <c r="S31" s="162">
        <f t="shared" si="3"/>
        <v>3</v>
      </c>
      <c r="T31" s="259"/>
      <c r="U31" s="270">
        <f t="shared" si="0"/>
        <v>1500000</v>
      </c>
      <c r="V31" s="347">
        <f t="shared" si="4"/>
        <v>1500000</v>
      </c>
      <c r="W31" s="90"/>
      <c r="X31" s="91"/>
      <c r="Y31" s="90"/>
    </row>
    <row r="32" spans="1:25" s="82" customFormat="1">
      <c r="A32" s="81">
        <f t="shared" si="2"/>
        <v>26</v>
      </c>
      <c r="B32" s="81">
        <v>26</v>
      </c>
      <c r="C32" s="258" t="s">
        <v>629</v>
      </c>
      <c r="D32" s="259" t="s">
        <v>43</v>
      </c>
      <c r="E32" s="258" t="s">
        <v>611</v>
      </c>
      <c r="F32" s="86">
        <v>930</v>
      </c>
      <c r="G32" s="86">
        <v>1130</v>
      </c>
      <c r="H32" s="261" t="s">
        <v>45</v>
      </c>
      <c r="I32" s="140" t="s">
        <v>35</v>
      </c>
      <c r="J32" s="140" t="s">
        <v>36</v>
      </c>
      <c r="K32" s="315" t="s">
        <v>76</v>
      </c>
      <c r="L32" s="297" t="s">
        <v>47</v>
      </c>
      <c r="M32" s="132" t="s">
        <v>630</v>
      </c>
      <c r="N32" s="448" t="s">
        <v>631</v>
      </c>
      <c r="O32" s="276" t="s">
        <v>40</v>
      </c>
      <c r="P32" s="272"/>
      <c r="Q32" s="275"/>
      <c r="R32" s="275">
        <v>500000</v>
      </c>
      <c r="S32" s="162">
        <f t="shared" si="3"/>
        <v>2</v>
      </c>
      <c r="T32" s="259"/>
      <c r="U32" s="270">
        <f>S32*R32*(100-P32)/100</f>
        <v>1000000</v>
      </c>
      <c r="V32" s="347">
        <f t="shared" ref="V32:V40" si="5">U32</f>
        <v>1000000</v>
      </c>
      <c r="W32" s="90"/>
      <c r="X32" s="91"/>
      <c r="Y32" s="90"/>
    </row>
    <row r="33" spans="1:25" s="82" customFormat="1" ht="14">
      <c r="A33" s="81">
        <f t="shared" si="2"/>
        <v>27</v>
      </c>
      <c r="B33" s="81">
        <v>27</v>
      </c>
      <c r="C33" s="258" t="s">
        <v>632</v>
      </c>
      <c r="D33" s="259" t="s">
        <v>32</v>
      </c>
      <c r="E33" s="258" t="s">
        <v>611</v>
      </c>
      <c r="F33" s="86">
        <v>830</v>
      </c>
      <c r="G33" s="86">
        <v>1145</v>
      </c>
      <c r="H33" s="261" t="s">
        <v>45</v>
      </c>
      <c r="I33" s="140" t="s">
        <v>35</v>
      </c>
      <c r="J33" s="140" t="s">
        <v>36</v>
      </c>
      <c r="K33" s="315" t="s">
        <v>37</v>
      </c>
      <c r="L33" s="297" t="s">
        <v>47</v>
      </c>
      <c r="M33" s="132" t="s">
        <v>633</v>
      </c>
      <c r="N33" s="278" t="s">
        <v>634</v>
      </c>
      <c r="O33" s="276" t="s">
        <v>40</v>
      </c>
      <c r="P33" s="272"/>
      <c r="Q33" s="298"/>
      <c r="R33" s="275">
        <v>950000</v>
      </c>
      <c r="S33" s="162">
        <f>(1175-850)/100</f>
        <v>3.25</v>
      </c>
      <c r="T33" s="259"/>
      <c r="U33" s="270">
        <f>S33*R33*(100-P33)/100</f>
        <v>3087500</v>
      </c>
      <c r="V33" s="347">
        <f t="shared" si="5"/>
        <v>3087500</v>
      </c>
      <c r="W33" s="90"/>
      <c r="X33" s="91"/>
      <c r="Y33" s="90"/>
    </row>
    <row r="34" spans="1:25" s="82" customFormat="1" ht="13" hidden="1">
      <c r="A34" s="81">
        <f t="shared" si="2"/>
        <v>28</v>
      </c>
      <c r="B34" s="81">
        <v>28</v>
      </c>
      <c r="C34" s="258" t="s">
        <v>635</v>
      </c>
      <c r="D34" s="259" t="s">
        <v>75</v>
      </c>
      <c r="E34" s="258" t="s">
        <v>623</v>
      </c>
      <c r="F34" s="86">
        <v>1400</v>
      </c>
      <c r="G34" s="86">
        <v>1700</v>
      </c>
      <c r="H34" s="261" t="s">
        <v>636</v>
      </c>
      <c r="I34" s="140" t="s">
        <v>35</v>
      </c>
      <c r="J34" s="140" t="s">
        <v>36</v>
      </c>
      <c r="K34" s="315" t="s">
        <v>76</v>
      </c>
      <c r="L34" s="297" t="s">
        <v>112</v>
      </c>
      <c r="M34" s="132"/>
      <c r="N34" s="278" t="s">
        <v>637</v>
      </c>
      <c r="O34" s="276" t="s">
        <v>40</v>
      </c>
      <c r="P34" s="297">
        <v>100</v>
      </c>
      <c r="Q34" s="298"/>
      <c r="R34" s="275">
        <v>500000</v>
      </c>
      <c r="S34" s="162">
        <f t="shared" si="3"/>
        <v>3</v>
      </c>
      <c r="T34" s="259"/>
      <c r="U34" s="270">
        <f>S34*R34*(100-P34)/100</f>
        <v>0</v>
      </c>
      <c r="V34" s="347">
        <f t="shared" si="5"/>
        <v>0</v>
      </c>
      <c r="W34" s="90"/>
      <c r="X34" s="91"/>
      <c r="Y34" s="90"/>
    </row>
    <row r="35" spans="1:25" s="82" customFormat="1" ht="13" hidden="1">
      <c r="A35" s="81">
        <f t="shared" si="2"/>
        <v>29</v>
      </c>
      <c r="B35" s="81">
        <v>29</v>
      </c>
      <c r="C35" s="258" t="s">
        <v>638</v>
      </c>
      <c r="D35" s="259" t="s">
        <v>75</v>
      </c>
      <c r="E35" s="258" t="s">
        <v>623</v>
      </c>
      <c r="F35" s="86">
        <v>1415</v>
      </c>
      <c r="G35" s="86">
        <v>1700</v>
      </c>
      <c r="H35" s="261" t="s">
        <v>636</v>
      </c>
      <c r="I35" s="140" t="s">
        <v>35</v>
      </c>
      <c r="J35" s="140" t="s">
        <v>36</v>
      </c>
      <c r="K35" s="315" t="s">
        <v>56</v>
      </c>
      <c r="L35" s="297" t="s">
        <v>112</v>
      </c>
      <c r="M35" s="132"/>
      <c r="N35" s="278" t="s">
        <v>639</v>
      </c>
      <c r="O35" s="276" t="s">
        <v>174</v>
      </c>
      <c r="P35" s="297"/>
      <c r="Q35" s="298"/>
      <c r="R35" s="275"/>
      <c r="S35" s="162">
        <f t="shared" si="3"/>
        <v>2.85</v>
      </c>
      <c r="T35" s="259"/>
      <c r="U35" s="270">
        <f>S35*R35*(100-P35)/100</f>
        <v>0</v>
      </c>
      <c r="V35" s="124">
        <f t="shared" si="5"/>
        <v>0</v>
      </c>
      <c r="W35" s="90"/>
      <c r="X35" s="91"/>
      <c r="Y35" s="90"/>
    </row>
    <row r="36" spans="1:25" s="82" customFormat="1" ht="26">
      <c r="A36" s="81">
        <f t="shared" si="2"/>
        <v>30</v>
      </c>
      <c r="B36" s="81">
        <v>30</v>
      </c>
      <c r="C36" s="258" t="s">
        <v>640</v>
      </c>
      <c r="D36" s="259" t="s">
        <v>75</v>
      </c>
      <c r="E36" s="269" t="s">
        <v>623</v>
      </c>
      <c r="F36" s="86">
        <v>800</v>
      </c>
      <c r="G36" s="86">
        <v>1000</v>
      </c>
      <c r="H36" s="261" t="s">
        <v>641</v>
      </c>
      <c r="I36" s="140" t="s">
        <v>35</v>
      </c>
      <c r="J36" s="140" t="s">
        <v>36</v>
      </c>
      <c r="K36" s="315" t="s">
        <v>76</v>
      </c>
      <c r="L36" s="297" t="s">
        <v>372</v>
      </c>
      <c r="M36" s="132"/>
      <c r="N36" s="277" t="s">
        <v>642</v>
      </c>
      <c r="O36" s="276" t="s">
        <v>40</v>
      </c>
      <c r="P36" s="297"/>
      <c r="Q36" s="303"/>
      <c r="R36" s="275">
        <f>500000*1.25</f>
        <v>625000</v>
      </c>
      <c r="S36" s="162">
        <f t="shared" si="3"/>
        <v>2</v>
      </c>
      <c r="T36" s="259"/>
      <c r="U36" s="270">
        <f>S36*R36*(100-P36)/100</f>
        <v>1250000</v>
      </c>
      <c r="V36" s="124">
        <f t="shared" si="5"/>
        <v>1250000</v>
      </c>
      <c r="W36" s="90"/>
      <c r="X36" s="91"/>
      <c r="Y36" s="90"/>
    </row>
    <row r="37" spans="1:25" s="82" customFormat="1" ht="26">
      <c r="A37" s="81">
        <f t="shared" si="2"/>
        <v>31</v>
      </c>
      <c r="B37" s="81">
        <v>31</v>
      </c>
      <c r="C37" s="258" t="s">
        <v>643</v>
      </c>
      <c r="D37" s="259" t="s">
        <v>43</v>
      </c>
      <c r="E37" s="258" t="s">
        <v>644</v>
      </c>
      <c r="F37" s="86">
        <v>1500</v>
      </c>
      <c r="G37" s="86">
        <v>1600</v>
      </c>
      <c r="H37" s="261" t="s">
        <v>45</v>
      </c>
      <c r="I37" s="140" t="s">
        <v>35</v>
      </c>
      <c r="J37" s="140" t="s">
        <v>36</v>
      </c>
      <c r="K37" s="315" t="s">
        <v>76</v>
      </c>
      <c r="L37" s="297" t="s">
        <v>47</v>
      </c>
      <c r="M37" s="295" t="s">
        <v>645</v>
      </c>
      <c r="N37" s="448" t="s">
        <v>646</v>
      </c>
      <c r="O37" s="276" t="s">
        <v>40</v>
      </c>
      <c r="P37" s="272"/>
      <c r="Q37" s="298"/>
      <c r="R37" s="275">
        <v>500000</v>
      </c>
      <c r="S37" s="162">
        <f t="shared" si="3"/>
        <v>1</v>
      </c>
      <c r="T37" s="259"/>
      <c r="U37" s="270">
        <f t="shared" ref="U37:U77" si="6">S37*R37*(100-P37)/100</f>
        <v>500000</v>
      </c>
      <c r="V37" s="347">
        <f t="shared" si="5"/>
        <v>500000</v>
      </c>
      <c r="W37" s="90"/>
      <c r="X37" s="91"/>
      <c r="Y37" s="90"/>
    </row>
    <row r="38" spans="1:25" s="82" customFormat="1" ht="26">
      <c r="A38" s="81">
        <f t="shared" si="2"/>
        <v>32</v>
      </c>
      <c r="B38" s="81">
        <v>32</v>
      </c>
      <c r="C38" s="258" t="s">
        <v>647</v>
      </c>
      <c r="D38" s="259" t="s">
        <v>43</v>
      </c>
      <c r="E38" s="258" t="s">
        <v>648</v>
      </c>
      <c r="F38" s="86">
        <v>1100</v>
      </c>
      <c r="G38" s="86">
        <v>1200</v>
      </c>
      <c r="H38" s="261" t="s">
        <v>45</v>
      </c>
      <c r="I38" s="140" t="s">
        <v>35</v>
      </c>
      <c r="J38" s="140" t="s">
        <v>36</v>
      </c>
      <c r="K38" s="315" t="s">
        <v>76</v>
      </c>
      <c r="L38" s="297" t="s">
        <v>47</v>
      </c>
      <c r="M38" s="295" t="s">
        <v>649</v>
      </c>
      <c r="N38" s="448" t="s">
        <v>650</v>
      </c>
      <c r="O38" s="276" t="s">
        <v>40</v>
      </c>
      <c r="P38" s="272"/>
      <c r="Q38" s="298"/>
      <c r="R38" s="275">
        <v>500000</v>
      </c>
      <c r="S38" s="162">
        <f t="shared" si="3"/>
        <v>1</v>
      </c>
      <c r="T38" s="259"/>
      <c r="U38" s="270">
        <f t="shared" si="6"/>
        <v>500000</v>
      </c>
      <c r="V38" s="347">
        <f t="shared" si="5"/>
        <v>500000</v>
      </c>
      <c r="W38" s="90"/>
      <c r="X38" s="91"/>
      <c r="Y38" s="90"/>
    </row>
    <row r="39" spans="1:25" s="82" customFormat="1" hidden="1">
      <c r="A39" s="81">
        <f t="shared" si="2"/>
        <v>33</v>
      </c>
      <c r="B39" s="81">
        <v>33</v>
      </c>
      <c r="C39" s="258" t="s">
        <v>651</v>
      </c>
      <c r="D39" s="259" t="s">
        <v>32</v>
      </c>
      <c r="E39" s="258" t="s">
        <v>648</v>
      </c>
      <c r="F39" s="86">
        <v>945</v>
      </c>
      <c r="G39" s="86">
        <v>1015</v>
      </c>
      <c r="H39" s="261" t="s">
        <v>624</v>
      </c>
      <c r="I39" s="140" t="s">
        <v>35</v>
      </c>
      <c r="J39" s="140" t="s">
        <v>36</v>
      </c>
      <c r="K39" s="315" t="s">
        <v>133</v>
      </c>
      <c r="L39" s="297" t="s">
        <v>484</v>
      </c>
      <c r="M39" s="295"/>
      <c r="N39" s="277" t="s">
        <v>652</v>
      </c>
      <c r="O39" s="276" t="s">
        <v>40</v>
      </c>
      <c r="P39" s="272">
        <v>100</v>
      </c>
      <c r="Q39" s="298"/>
      <c r="R39" s="437">
        <v>950000</v>
      </c>
      <c r="S39" s="162">
        <f>(1025-975)/100</f>
        <v>0.5</v>
      </c>
      <c r="T39" s="259"/>
      <c r="U39" s="270">
        <f t="shared" si="6"/>
        <v>0</v>
      </c>
      <c r="V39" s="347">
        <f t="shared" si="5"/>
        <v>0</v>
      </c>
      <c r="W39" s="90"/>
      <c r="X39" s="90"/>
      <c r="Y39" s="90"/>
    </row>
    <row r="40" spans="1:25" s="82" customFormat="1" ht="26">
      <c r="A40" s="81">
        <f t="shared" si="2"/>
        <v>34</v>
      </c>
      <c r="B40" s="81">
        <v>34</v>
      </c>
      <c r="C40" s="258" t="s">
        <v>653</v>
      </c>
      <c r="D40" s="259" t="s">
        <v>75</v>
      </c>
      <c r="E40" s="258" t="s">
        <v>648</v>
      </c>
      <c r="F40" s="86">
        <v>930</v>
      </c>
      <c r="G40" s="86">
        <v>1030</v>
      </c>
      <c r="H40" s="261" t="s">
        <v>45</v>
      </c>
      <c r="I40" s="140" t="s">
        <v>35</v>
      </c>
      <c r="J40" s="140" t="s">
        <v>36</v>
      </c>
      <c r="K40" s="315" t="s">
        <v>76</v>
      </c>
      <c r="L40" s="297" t="s">
        <v>47</v>
      </c>
      <c r="M40" s="295" t="s">
        <v>578</v>
      </c>
      <c r="N40" s="448" t="s">
        <v>654</v>
      </c>
      <c r="O40" s="276" t="s">
        <v>40</v>
      </c>
      <c r="P40" s="272"/>
      <c r="Q40" s="298"/>
      <c r="R40" s="437">
        <v>500000</v>
      </c>
      <c r="S40" s="162">
        <f t="shared" si="3"/>
        <v>1</v>
      </c>
      <c r="T40" s="94"/>
      <c r="U40" s="270">
        <f t="shared" si="6"/>
        <v>500000</v>
      </c>
      <c r="V40" s="347">
        <f t="shared" si="5"/>
        <v>500000</v>
      </c>
    </row>
    <row r="41" spans="1:25" s="82" customFormat="1" ht="26">
      <c r="A41" s="81">
        <f t="shared" si="2"/>
        <v>35</v>
      </c>
      <c r="B41" s="81">
        <v>35</v>
      </c>
      <c r="C41" s="258" t="s">
        <v>655</v>
      </c>
      <c r="D41" s="259" t="s">
        <v>75</v>
      </c>
      <c r="E41" s="258" t="s">
        <v>656</v>
      </c>
      <c r="F41" s="86">
        <v>1500</v>
      </c>
      <c r="G41" s="86">
        <v>1700</v>
      </c>
      <c r="H41" s="261" t="s">
        <v>45</v>
      </c>
      <c r="I41" s="140" t="s">
        <v>35</v>
      </c>
      <c r="J41" s="140" t="s">
        <v>36</v>
      </c>
      <c r="K41" s="315" t="s">
        <v>56</v>
      </c>
      <c r="L41" s="297" t="s">
        <v>47</v>
      </c>
      <c r="M41" s="295" t="s">
        <v>657</v>
      </c>
      <c r="N41" s="451" t="s">
        <v>658</v>
      </c>
      <c r="O41" s="276" t="s">
        <v>40</v>
      </c>
      <c r="P41" s="357"/>
      <c r="Q41" s="298"/>
      <c r="R41" s="275">
        <v>500000</v>
      </c>
      <c r="S41" s="162">
        <f>(G41-F41)/100</f>
        <v>2</v>
      </c>
      <c r="T41" s="94"/>
      <c r="U41" s="270">
        <f t="shared" si="6"/>
        <v>1000000</v>
      </c>
      <c r="V41" s="347">
        <f t="shared" ref="V41:V48" si="7">U41</f>
        <v>1000000</v>
      </c>
    </row>
    <row r="42" spans="1:25" s="82" customFormat="1" ht="14">
      <c r="A42" s="81">
        <f t="shared" si="2"/>
        <v>36</v>
      </c>
      <c r="B42" s="81">
        <v>36</v>
      </c>
      <c r="C42" s="258" t="s">
        <v>659</v>
      </c>
      <c r="D42" s="259" t="s">
        <v>43</v>
      </c>
      <c r="E42" s="258" t="s">
        <v>648</v>
      </c>
      <c r="F42" s="86">
        <v>900</v>
      </c>
      <c r="G42" s="86">
        <v>1000</v>
      </c>
      <c r="H42" s="261" t="s">
        <v>97</v>
      </c>
      <c r="I42" s="140" t="s">
        <v>35</v>
      </c>
      <c r="J42" s="140" t="s">
        <v>36</v>
      </c>
      <c r="K42" s="315" t="s">
        <v>76</v>
      </c>
      <c r="L42" s="297" t="s">
        <v>660</v>
      </c>
      <c r="M42" s="295"/>
      <c r="N42" s="278" t="s">
        <v>661</v>
      </c>
      <c r="O42" s="276" t="s">
        <v>40</v>
      </c>
      <c r="P42" s="272"/>
      <c r="Q42" s="298"/>
      <c r="R42" s="275">
        <v>500000</v>
      </c>
      <c r="S42" s="162">
        <f t="shared" si="3"/>
        <v>1</v>
      </c>
      <c r="T42" s="94"/>
      <c r="U42" s="270">
        <f t="shared" si="6"/>
        <v>500000</v>
      </c>
      <c r="V42" s="347">
        <f t="shared" si="7"/>
        <v>500000</v>
      </c>
    </row>
    <row r="43" spans="1:25" s="82" customFormat="1">
      <c r="A43" s="81">
        <f t="shared" si="2"/>
        <v>37</v>
      </c>
      <c r="B43" s="81">
        <v>37</v>
      </c>
      <c r="C43" s="258" t="s">
        <v>662</v>
      </c>
      <c r="D43" s="259" t="s">
        <v>75</v>
      </c>
      <c r="E43" s="258" t="s">
        <v>644</v>
      </c>
      <c r="F43" s="86">
        <v>1700</v>
      </c>
      <c r="G43" s="86">
        <v>1830</v>
      </c>
      <c r="H43" s="261" t="s">
        <v>45</v>
      </c>
      <c r="I43" s="140" t="s">
        <v>35</v>
      </c>
      <c r="J43" s="140" t="s">
        <v>36</v>
      </c>
      <c r="K43" s="315" t="s">
        <v>133</v>
      </c>
      <c r="L43" s="297" t="s">
        <v>47</v>
      </c>
      <c r="M43" s="295" t="s">
        <v>663</v>
      </c>
      <c r="N43" s="451" t="s">
        <v>664</v>
      </c>
      <c r="O43" s="276" t="s">
        <v>40</v>
      </c>
      <c r="P43" s="279"/>
      <c r="Q43" s="298"/>
      <c r="R43" s="275">
        <v>500000</v>
      </c>
      <c r="S43" s="162">
        <f>(1850-F43)/100</f>
        <v>1.5</v>
      </c>
      <c r="T43" s="46"/>
      <c r="U43" s="270">
        <f t="shared" si="6"/>
        <v>750000</v>
      </c>
      <c r="V43" s="347">
        <f t="shared" si="7"/>
        <v>750000</v>
      </c>
    </row>
    <row r="44" spans="1:25" s="82" customFormat="1" ht="13" hidden="1">
      <c r="A44" s="81">
        <f t="shared" si="2"/>
        <v>38</v>
      </c>
      <c r="B44" s="81">
        <v>38</v>
      </c>
      <c r="C44" s="258" t="s">
        <v>665</v>
      </c>
      <c r="D44" s="259" t="s">
        <v>32</v>
      </c>
      <c r="E44" s="258" t="s">
        <v>611</v>
      </c>
      <c r="F44" s="86">
        <v>830</v>
      </c>
      <c r="G44" s="86">
        <v>1230</v>
      </c>
      <c r="H44" s="261" t="s">
        <v>666</v>
      </c>
      <c r="I44" s="261" t="s">
        <v>35</v>
      </c>
      <c r="J44" s="261" t="s">
        <v>36</v>
      </c>
      <c r="K44" s="315" t="s">
        <v>37</v>
      </c>
      <c r="L44" s="297" t="s">
        <v>47</v>
      </c>
      <c r="M44" s="132" t="s">
        <v>667</v>
      </c>
      <c r="N44" s="280" t="s">
        <v>668</v>
      </c>
      <c r="O44" s="276" t="s">
        <v>174</v>
      </c>
      <c r="P44" s="297"/>
      <c r="Q44" s="298"/>
      <c r="R44" s="275"/>
      <c r="S44" s="162">
        <f>(1650-F44)/100</f>
        <v>8.1999999999999993</v>
      </c>
      <c r="T44" s="259"/>
      <c r="U44" s="270">
        <f t="shared" si="6"/>
        <v>0</v>
      </c>
      <c r="V44" s="347">
        <f t="shared" si="7"/>
        <v>0</v>
      </c>
      <c r="W44" s="90"/>
      <c r="X44" s="91"/>
      <c r="Y44" s="90"/>
    </row>
    <row r="45" spans="1:25" s="82" customFormat="1" ht="13">
      <c r="A45" s="81">
        <f t="shared" si="2"/>
        <v>39</v>
      </c>
      <c r="B45" s="81">
        <v>39</v>
      </c>
      <c r="C45" s="258" t="s">
        <v>669</v>
      </c>
      <c r="D45" s="259" t="s">
        <v>43</v>
      </c>
      <c r="E45" s="258" t="s">
        <v>644</v>
      </c>
      <c r="F45" s="86">
        <v>930</v>
      </c>
      <c r="G45" s="86">
        <v>1100</v>
      </c>
      <c r="H45" s="261" t="s">
        <v>670</v>
      </c>
      <c r="I45" s="261" t="s">
        <v>35</v>
      </c>
      <c r="J45" s="261" t="s">
        <v>36</v>
      </c>
      <c r="K45" s="315" t="s">
        <v>133</v>
      </c>
      <c r="L45" s="297" t="s">
        <v>47</v>
      </c>
      <c r="M45" s="309" t="s">
        <v>645</v>
      </c>
      <c r="N45" s="280" t="s">
        <v>671</v>
      </c>
      <c r="O45" s="276" t="s">
        <v>40</v>
      </c>
      <c r="P45" s="297"/>
      <c r="Q45" s="275"/>
      <c r="R45" s="275">
        <v>500000</v>
      </c>
      <c r="S45" s="162">
        <f>(G45-1050)/100</f>
        <v>0.5</v>
      </c>
      <c r="T45" s="259"/>
      <c r="U45" s="122">
        <f t="shared" si="6"/>
        <v>250000</v>
      </c>
      <c r="V45" s="347">
        <f t="shared" si="7"/>
        <v>250000</v>
      </c>
      <c r="W45" s="90"/>
      <c r="X45" s="91"/>
      <c r="Y45" s="90"/>
    </row>
    <row r="46" spans="1:25" s="82" customFormat="1" ht="13">
      <c r="A46" s="81">
        <f t="shared" si="2"/>
        <v>40</v>
      </c>
      <c r="B46" s="81">
        <v>40</v>
      </c>
      <c r="C46" s="94">
        <v>4140</v>
      </c>
      <c r="D46" s="94" t="s">
        <v>43</v>
      </c>
      <c r="E46" s="139" t="s">
        <v>656</v>
      </c>
      <c r="F46" s="96">
        <v>1400</v>
      </c>
      <c r="G46" s="96">
        <v>1700</v>
      </c>
      <c r="H46" s="95" t="s">
        <v>672</v>
      </c>
      <c r="I46" s="140" t="s">
        <v>35</v>
      </c>
      <c r="J46" s="140" t="s">
        <v>36</v>
      </c>
      <c r="K46" s="316">
        <v>6</v>
      </c>
      <c r="L46" s="297" t="s">
        <v>660</v>
      </c>
      <c r="M46" s="295"/>
      <c r="N46" s="310" t="s">
        <v>673</v>
      </c>
      <c r="O46" s="311" t="s">
        <v>40</v>
      </c>
      <c r="P46" s="311">
        <f>2/3*100</f>
        <v>66.666666666666657</v>
      </c>
      <c r="Q46" s="298"/>
      <c r="R46" s="275">
        <v>500000</v>
      </c>
      <c r="S46" s="162">
        <f t="shared" si="3"/>
        <v>3</v>
      </c>
      <c r="T46" s="95"/>
      <c r="U46" s="270">
        <f t="shared" si="6"/>
        <v>500000.00000000017</v>
      </c>
      <c r="V46" s="124">
        <f t="shared" si="7"/>
        <v>500000.00000000017</v>
      </c>
    </row>
    <row r="47" spans="1:25" s="82" customFormat="1" ht="26">
      <c r="A47" s="81">
        <f t="shared" si="2"/>
        <v>41</v>
      </c>
      <c r="B47" s="81">
        <v>41</v>
      </c>
      <c r="C47" s="94">
        <v>4139</v>
      </c>
      <c r="D47" s="94" t="s">
        <v>75</v>
      </c>
      <c r="E47" s="102" t="s">
        <v>674</v>
      </c>
      <c r="F47" s="86">
        <v>1400</v>
      </c>
      <c r="G47" s="86">
        <v>1500</v>
      </c>
      <c r="H47" s="94" t="s">
        <v>675</v>
      </c>
      <c r="I47" s="140" t="s">
        <v>35</v>
      </c>
      <c r="J47" s="140" t="s">
        <v>36</v>
      </c>
      <c r="K47" s="316">
        <v>2</v>
      </c>
      <c r="L47" s="297" t="s">
        <v>47</v>
      </c>
      <c r="M47" s="295" t="s">
        <v>470</v>
      </c>
      <c r="N47" s="281" t="s">
        <v>676</v>
      </c>
      <c r="O47" s="132" t="s">
        <v>40</v>
      </c>
      <c r="P47" s="132"/>
      <c r="Q47" s="298"/>
      <c r="R47" s="275">
        <v>500000</v>
      </c>
      <c r="S47" s="162">
        <f t="shared" si="3"/>
        <v>1</v>
      </c>
      <c r="T47" s="94"/>
      <c r="U47" s="122">
        <f t="shared" si="6"/>
        <v>500000</v>
      </c>
      <c r="V47" s="347">
        <f t="shared" si="7"/>
        <v>500000</v>
      </c>
    </row>
    <row r="48" spans="1:25" s="82" customFormat="1" ht="26">
      <c r="A48" s="81">
        <f t="shared" si="2"/>
        <v>42</v>
      </c>
      <c r="B48" s="81">
        <v>42</v>
      </c>
      <c r="C48" s="258" t="s">
        <v>677</v>
      </c>
      <c r="D48" s="259" t="s">
        <v>43</v>
      </c>
      <c r="E48" s="258" t="s">
        <v>674</v>
      </c>
      <c r="F48" s="86">
        <v>1400</v>
      </c>
      <c r="G48" s="86">
        <v>1500</v>
      </c>
      <c r="H48" s="261" t="s">
        <v>675</v>
      </c>
      <c r="I48" s="261" t="s">
        <v>35</v>
      </c>
      <c r="J48" s="261" t="s">
        <v>36</v>
      </c>
      <c r="K48" s="315" t="s">
        <v>133</v>
      </c>
      <c r="L48" s="297" t="s">
        <v>47</v>
      </c>
      <c r="M48" s="295" t="s">
        <v>470</v>
      </c>
      <c r="N48" s="280" t="s">
        <v>678</v>
      </c>
      <c r="O48" s="276" t="s">
        <v>40</v>
      </c>
      <c r="P48" s="297"/>
      <c r="Q48" s="298"/>
      <c r="R48" s="275">
        <v>500000</v>
      </c>
      <c r="S48" s="162">
        <f>(1550-F48)/100</f>
        <v>1.5</v>
      </c>
      <c r="T48" s="259"/>
      <c r="U48" s="270">
        <f t="shared" si="6"/>
        <v>750000</v>
      </c>
      <c r="V48" s="347">
        <f t="shared" si="7"/>
        <v>750000</v>
      </c>
      <c r="W48" s="90"/>
      <c r="X48" s="91"/>
      <c r="Y48" s="90"/>
    </row>
    <row r="49" spans="1:25" s="82" customFormat="1" ht="26">
      <c r="A49" s="81">
        <f t="shared" si="2"/>
        <v>43</v>
      </c>
      <c r="B49" s="81">
        <v>43</v>
      </c>
      <c r="C49" s="258" t="s">
        <v>679</v>
      </c>
      <c r="D49" s="259" t="s">
        <v>43</v>
      </c>
      <c r="E49" s="258" t="s">
        <v>680</v>
      </c>
      <c r="F49" s="86">
        <v>1500</v>
      </c>
      <c r="G49" s="86">
        <v>1600</v>
      </c>
      <c r="H49" s="261" t="s">
        <v>681</v>
      </c>
      <c r="I49" s="261" t="s">
        <v>35</v>
      </c>
      <c r="J49" s="261" t="s">
        <v>36</v>
      </c>
      <c r="K49" s="315" t="s">
        <v>133</v>
      </c>
      <c r="L49" s="297" t="s">
        <v>47</v>
      </c>
      <c r="M49" s="295" t="s">
        <v>682</v>
      </c>
      <c r="N49" s="280" t="s">
        <v>683</v>
      </c>
      <c r="O49" s="276" t="s">
        <v>40</v>
      </c>
      <c r="P49" s="297"/>
      <c r="Q49" s="298"/>
      <c r="R49" s="275">
        <v>500000</v>
      </c>
      <c r="S49" s="162">
        <f t="shared" si="3"/>
        <v>1</v>
      </c>
      <c r="T49" s="259"/>
      <c r="U49" s="270">
        <f>S49*R49*(100-P49)/100</f>
        <v>500000</v>
      </c>
      <c r="V49" s="347">
        <f>U49</f>
        <v>500000</v>
      </c>
      <c r="W49" s="90"/>
      <c r="X49" s="91"/>
      <c r="Y49" s="90"/>
    </row>
    <row r="50" spans="1:25" s="82" customFormat="1" ht="13" hidden="1">
      <c r="A50" s="81">
        <f t="shared" si="2"/>
        <v>44</v>
      </c>
      <c r="B50" s="81">
        <v>44</v>
      </c>
      <c r="C50" s="94">
        <v>4136</v>
      </c>
      <c r="D50" s="94" t="s">
        <v>43</v>
      </c>
      <c r="E50" s="102">
        <v>45235</v>
      </c>
      <c r="F50" s="86">
        <v>1400</v>
      </c>
      <c r="G50" s="86">
        <v>1500</v>
      </c>
      <c r="H50" s="94" t="s">
        <v>684</v>
      </c>
      <c r="I50" s="140" t="s">
        <v>259</v>
      </c>
      <c r="J50" s="140" t="s">
        <v>36</v>
      </c>
      <c r="K50" s="316">
        <v>2</v>
      </c>
      <c r="L50" s="297" t="s">
        <v>172</v>
      </c>
      <c r="M50" s="295"/>
      <c r="N50" s="281">
        <v>45235.628275462965</v>
      </c>
      <c r="O50" s="132" t="s">
        <v>40</v>
      </c>
      <c r="P50" s="132">
        <v>100</v>
      </c>
      <c r="Q50" s="298"/>
      <c r="R50" s="275">
        <v>500000</v>
      </c>
      <c r="S50" s="162">
        <f t="shared" si="3"/>
        <v>1</v>
      </c>
      <c r="T50" s="94"/>
      <c r="U50" s="270">
        <f t="shared" si="6"/>
        <v>0</v>
      </c>
      <c r="V50" s="347">
        <f>U50</f>
        <v>0</v>
      </c>
    </row>
    <row r="51" spans="1:25" s="82" customFormat="1" ht="13">
      <c r="A51" s="81">
        <f t="shared" si="2"/>
        <v>45</v>
      </c>
      <c r="B51" s="81">
        <v>45</v>
      </c>
      <c r="C51" s="94">
        <v>4135</v>
      </c>
      <c r="D51" s="94" t="s">
        <v>43</v>
      </c>
      <c r="E51" s="102">
        <v>45265</v>
      </c>
      <c r="F51" s="86">
        <v>1030</v>
      </c>
      <c r="G51" s="86">
        <v>1130</v>
      </c>
      <c r="H51" s="94" t="s">
        <v>685</v>
      </c>
      <c r="I51" s="140" t="s">
        <v>35</v>
      </c>
      <c r="J51" s="140" t="s">
        <v>36</v>
      </c>
      <c r="K51" s="316">
        <v>2</v>
      </c>
      <c r="L51" s="297" t="s">
        <v>242</v>
      </c>
      <c r="M51" s="295"/>
      <c r="N51" s="281">
        <v>45235.616562499999</v>
      </c>
      <c r="O51" s="132" t="s">
        <v>40</v>
      </c>
      <c r="P51" s="132"/>
      <c r="Q51" s="298"/>
      <c r="R51" s="275">
        <v>500000</v>
      </c>
      <c r="S51" s="162">
        <f>(G51-F51)/100</f>
        <v>1</v>
      </c>
      <c r="T51" s="94"/>
      <c r="U51" s="122">
        <f t="shared" si="6"/>
        <v>500000</v>
      </c>
      <c r="V51" s="347">
        <f>U51</f>
        <v>500000</v>
      </c>
    </row>
    <row r="52" spans="1:25" s="82" customFormat="1" ht="39" hidden="1">
      <c r="A52" s="81">
        <f t="shared" si="2"/>
        <v>46</v>
      </c>
      <c r="B52" s="81">
        <v>46</v>
      </c>
      <c r="C52" s="94">
        <v>4134</v>
      </c>
      <c r="D52" s="94" t="s">
        <v>32</v>
      </c>
      <c r="E52" s="102" t="s">
        <v>686</v>
      </c>
      <c r="F52" s="86">
        <v>830</v>
      </c>
      <c r="G52" s="86">
        <v>1230</v>
      </c>
      <c r="H52" s="94" t="s">
        <v>681</v>
      </c>
      <c r="I52" s="140" t="s">
        <v>35</v>
      </c>
      <c r="J52" s="140" t="s">
        <v>36</v>
      </c>
      <c r="K52" s="316">
        <v>12</v>
      </c>
      <c r="L52" s="297" t="s">
        <v>47</v>
      </c>
      <c r="M52" s="295" t="s">
        <v>687</v>
      </c>
      <c r="N52" s="281">
        <v>45235.615925925929</v>
      </c>
      <c r="O52" s="132" t="s">
        <v>174</v>
      </c>
      <c r="P52" s="132"/>
      <c r="Q52" s="298">
        <f t="shared" ref="Q52:Q53" si="8">R52*6</f>
        <v>0</v>
      </c>
      <c r="R52" s="275"/>
      <c r="S52" s="162">
        <f t="shared" si="3"/>
        <v>4</v>
      </c>
      <c r="T52" s="94"/>
      <c r="U52" s="270">
        <f t="shared" si="6"/>
        <v>0</v>
      </c>
      <c r="V52" s="347">
        <f t="shared" ref="V52:V55" si="9">Q52+((S52-8)*R52)</f>
        <v>0</v>
      </c>
    </row>
    <row r="53" spans="1:25" s="82" customFormat="1" ht="13" hidden="1">
      <c r="A53" s="81">
        <f t="shared" si="2"/>
        <v>47</v>
      </c>
      <c r="B53" s="81">
        <v>47</v>
      </c>
      <c r="C53" s="258" t="s">
        <v>688</v>
      </c>
      <c r="D53" s="259" t="s">
        <v>32</v>
      </c>
      <c r="E53" s="258" t="s">
        <v>686</v>
      </c>
      <c r="F53" s="86">
        <v>830</v>
      </c>
      <c r="G53" s="86">
        <v>1230</v>
      </c>
      <c r="H53" s="261" t="s">
        <v>689</v>
      </c>
      <c r="I53" s="261" t="s">
        <v>35</v>
      </c>
      <c r="J53" s="261" t="s">
        <v>36</v>
      </c>
      <c r="K53" s="315" t="s">
        <v>37</v>
      </c>
      <c r="L53" s="297" t="s">
        <v>47</v>
      </c>
      <c r="M53" s="295"/>
      <c r="N53" s="280" t="s">
        <v>690</v>
      </c>
      <c r="O53" s="276" t="s">
        <v>174</v>
      </c>
      <c r="P53" s="295"/>
      <c r="Q53" s="298">
        <f t="shared" si="8"/>
        <v>0</v>
      </c>
      <c r="R53" s="275"/>
      <c r="S53" s="162">
        <f t="shared" si="3"/>
        <v>4</v>
      </c>
      <c r="T53" s="259"/>
      <c r="U53" s="270">
        <f t="shared" si="6"/>
        <v>0</v>
      </c>
      <c r="V53" s="347">
        <f t="shared" si="9"/>
        <v>0</v>
      </c>
      <c r="W53" s="90"/>
      <c r="X53" s="91"/>
      <c r="Y53" s="90"/>
    </row>
    <row r="54" spans="1:25" s="82" customFormat="1" ht="13" hidden="1">
      <c r="A54" s="81">
        <f>ROW()-6</f>
        <v>48</v>
      </c>
      <c r="B54" s="81">
        <v>48</v>
      </c>
      <c r="C54" s="103">
        <v>4132</v>
      </c>
      <c r="D54" s="94" t="s">
        <v>43</v>
      </c>
      <c r="E54" s="102">
        <v>45235</v>
      </c>
      <c r="F54" s="86">
        <v>1030</v>
      </c>
      <c r="G54" s="86">
        <v>1130</v>
      </c>
      <c r="H54" s="132" t="s">
        <v>691</v>
      </c>
      <c r="I54" s="292" t="s">
        <v>35</v>
      </c>
      <c r="J54" s="132" t="s">
        <v>36</v>
      </c>
      <c r="K54" s="132">
        <v>2</v>
      </c>
      <c r="L54" s="632" t="s">
        <v>172</v>
      </c>
      <c r="M54" s="437"/>
      <c r="N54" s="162">
        <v>45235.60527777778</v>
      </c>
      <c r="O54" s="132" t="s">
        <v>174</v>
      </c>
      <c r="P54" s="122"/>
      <c r="Q54" s="124"/>
      <c r="R54" s="275"/>
      <c r="S54" s="162">
        <f>(G54-F54)/100</f>
        <v>1</v>
      </c>
      <c r="T54" s="259"/>
      <c r="U54" s="270">
        <f>S54*R54*(100-P54)/100</f>
        <v>0</v>
      </c>
      <c r="V54" s="347">
        <f t="shared" ref="V54" si="10">U54</f>
        <v>0</v>
      </c>
      <c r="W54" s="90"/>
      <c r="X54" s="91"/>
      <c r="Y54" s="90"/>
    </row>
    <row r="55" spans="1:25" s="82" customFormat="1" ht="13" hidden="1">
      <c r="A55" s="81">
        <f t="shared" si="2"/>
        <v>49</v>
      </c>
      <c r="B55" s="81">
        <v>49</v>
      </c>
      <c r="C55" s="94">
        <v>4131</v>
      </c>
      <c r="D55" s="94" t="s">
        <v>43</v>
      </c>
      <c r="E55" s="102">
        <v>45265</v>
      </c>
      <c r="F55" s="86">
        <v>1000</v>
      </c>
      <c r="G55" s="86">
        <v>1100</v>
      </c>
      <c r="H55" s="94" t="s">
        <v>691</v>
      </c>
      <c r="I55" s="140" t="s">
        <v>35</v>
      </c>
      <c r="J55" s="140" t="s">
        <v>36</v>
      </c>
      <c r="K55" s="316">
        <v>2</v>
      </c>
      <c r="L55" s="297" t="s">
        <v>172</v>
      </c>
      <c r="M55" s="132"/>
      <c r="N55" s="310">
        <v>45235.572708333333</v>
      </c>
      <c r="O55" s="132" t="s">
        <v>174</v>
      </c>
      <c r="P55" s="132"/>
      <c r="Q55" s="303"/>
      <c r="R55" s="275"/>
      <c r="S55" s="162"/>
      <c r="T55" s="94"/>
      <c r="U55" s="122">
        <f t="shared" si="6"/>
        <v>0</v>
      </c>
      <c r="V55" s="165">
        <f t="shared" si="9"/>
        <v>0</v>
      </c>
    </row>
    <row r="56" spans="1:25" s="82" customFormat="1" ht="13">
      <c r="A56" s="81">
        <f t="shared" si="2"/>
        <v>50</v>
      </c>
      <c r="B56" s="81">
        <v>50</v>
      </c>
      <c r="C56" s="94">
        <v>4130</v>
      </c>
      <c r="D56" s="94" t="s">
        <v>43</v>
      </c>
      <c r="E56" s="102">
        <v>45204</v>
      </c>
      <c r="F56" s="86">
        <v>1300</v>
      </c>
      <c r="G56" s="86">
        <v>1400</v>
      </c>
      <c r="H56" s="94" t="s">
        <v>692</v>
      </c>
      <c r="I56" s="140" t="s">
        <v>35</v>
      </c>
      <c r="J56" s="140" t="s">
        <v>36</v>
      </c>
      <c r="K56" s="316">
        <v>2</v>
      </c>
      <c r="L56" s="297" t="s">
        <v>284</v>
      </c>
      <c r="M56" s="132"/>
      <c r="N56" s="281">
        <v>45174.67633101852</v>
      </c>
      <c r="O56" s="132" t="s">
        <v>40</v>
      </c>
      <c r="P56" s="132"/>
      <c r="Q56" s="275"/>
      <c r="R56" s="275">
        <v>500000</v>
      </c>
      <c r="S56" s="162">
        <f>(G56-F56)/100</f>
        <v>1</v>
      </c>
      <c r="T56" s="94"/>
      <c r="U56" s="122">
        <f t="shared" si="6"/>
        <v>500000</v>
      </c>
      <c r="V56" s="124">
        <f t="shared" ref="V56:V61" si="11">U56</f>
        <v>500000</v>
      </c>
    </row>
    <row r="57" spans="1:25" s="82" customFormat="1" ht="13" hidden="1">
      <c r="A57" s="81">
        <f t="shared" si="2"/>
        <v>51</v>
      </c>
      <c r="B57" s="81">
        <v>51</v>
      </c>
      <c r="C57" s="94">
        <v>4129</v>
      </c>
      <c r="D57" s="94" t="s">
        <v>32</v>
      </c>
      <c r="E57" s="102">
        <v>45204</v>
      </c>
      <c r="F57" s="86">
        <v>1500</v>
      </c>
      <c r="G57" s="86">
        <v>1630</v>
      </c>
      <c r="H57" s="94" t="s">
        <v>693</v>
      </c>
      <c r="I57" s="140" t="s">
        <v>35</v>
      </c>
      <c r="J57" s="140" t="s">
        <v>36</v>
      </c>
      <c r="K57" s="316">
        <v>5</v>
      </c>
      <c r="L57" s="297" t="s">
        <v>38</v>
      </c>
      <c r="M57" s="132"/>
      <c r="N57" s="281">
        <v>45174.659456018519</v>
      </c>
      <c r="O57" s="132" t="s">
        <v>40</v>
      </c>
      <c r="P57" s="312">
        <v>100</v>
      </c>
      <c r="Q57" s="275"/>
      <c r="R57" s="275">
        <v>950000</v>
      </c>
      <c r="S57" s="162">
        <f>(1650-F57)/100</f>
        <v>1.5</v>
      </c>
      <c r="T57" s="94"/>
      <c r="U57" s="270">
        <f t="shared" si="6"/>
        <v>0</v>
      </c>
      <c r="V57" s="124">
        <f t="shared" si="11"/>
        <v>0</v>
      </c>
    </row>
    <row r="58" spans="1:25" s="82" customFormat="1" ht="13">
      <c r="A58" s="81">
        <f t="shared" si="2"/>
        <v>52</v>
      </c>
      <c r="B58" s="81">
        <v>52</v>
      </c>
      <c r="C58" s="87" t="s">
        <v>694</v>
      </c>
      <c r="D58" s="88" t="s">
        <v>75</v>
      </c>
      <c r="E58" s="87" t="s">
        <v>695</v>
      </c>
      <c r="F58" s="86">
        <v>1400</v>
      </c>
      <c r="G58" s="86">
        <v>1500</v>
      </c>
      <c r="H58" s="89" t="s">
        <v>166</v>
      </c>
      <c r="I58" s="89" t="s">
        <v>35</v>
      </c>
      <c r="J58" s="89" t="s">
        <v>36</v>
      </c>
      <c r="K58" s="318" t="s">
        <v>76</v>
      </c>
      <c r="L58" s="294" t="s">
        <v>47</v>
      </c>
      <c r="M58" s="132"/>
      <c r="N58" s="313" t="s">
        <v>696</v>
      </c>
      <c r="O58" s="306" t="s">
        <v>40</v>
      </c>
      <c r="P58" s="294"/>
      <c r="Q58" s="298"/>
      <c r="R58" s="275">
        <v>500000</v>
      </c>
      <c r="S58" s="162">
        <f>(G58-F58)/100</f>
        <v>1</v>
      </c>
      <c r="T58" s="88"/>
      <c r="U58" s="122">
        <f t="shared" si="6"/>
        <v>500000</v>
      </c>
      <c r="V58" s="347">
        <f t="shared" si="11"/>
        <v>500000</v>
      </c>
      <c r="W58" s="90"/>
      <c r="X58" s="91"/>
      <c r="Y58" s="90"/>
    </row>
    <row r="59" spans="1:25" s="82" customFormat="1" ht="13" hidden="1">
      <c r="A59" s="81">
        <f t="shared" si="2"/>
        <v>53</v>
      </c>
      <c r="B59" s="81">
        <v>53</v>
      </c>
      <c r="C59" s="94">
        <v>4127</v>
      </c>
      <c r="D59" s="94" t="s">
        <v>75</v>
      </c>
      <c r="E59" s="102">
        <v>45143</v>
      </c>
      <c r="F59" s="86">
        <v>1030</v>
      </c>
      <c r="G59" s="86">
        <v>1100</v>
      </c>
      <c r="H59" s="94" t="s">
        <v>697</v>
      </c>
      <c r="I59" s="140" t="s">
        <v>35</v>
      </c>
      <c r="J59" s="140" t="s">
        <v>36</v>
      </c>
      <c r="K59" s="316">
        <v>6</v>
      </c>
      <c r="L59" s="297" t="s">
        <v>484</v>
      </c>
      <c r="M59" s="132"/>
      <c r="N59" s="310">
        <v>45143.469386574077</v>
      </c>
      <c r="O59" s="132" t="s">
        <v>40</v>
      </c>
      <c r="P59" s="132">
        <v>100</v>
      </c>
      <c r="Q59" s="298"/>
      <c r="R59" s="275">
        <v>500000</v>
      </c>
      <c r="S59" s="162">
        <f>(G59-1050)/100</f>
        <v>0.5</v>
      </c>
      <c r="T59" s="94"/>
      <c r="U59" s="122">
        <f t="shared" si="6"/>
        <v>0</v>
      </c>
      <c r="V59" s="124">
        <f t="shared" si="11"/>
        <v>0</v>
      </c>
    </row>
    <row r="60" spans="1:25" s="82" customFormat="1" ht="13">
      <c r="A60" s="81">
        <f t="shared" si="2"/>
        <v>54</v>
      </c>
      <c r="B60" s="81">
        <v>54</v>
      </c>
      <c r="C60" s="94">
        <v>4126</v>
      </c>
      <c r="D60" s="94" t="s">
        <v>43</v>
      </c>
      <c r="E60" s="102">
        <v>45051</v>
      </c>
      <c r="F60" s="86">
        <v>1400</v>
      </c>
      <c r="G60" s="86">
        <v>1530</v>
      </c>
      <c r="H60" s="94" t="s">
        <v>254</v>
      </c>
      <c r="I60" s="140" t="s">
        <v>35</v>
      </c>
      <c r="J60" s="140" t="s">
        <v>36</v>
      </c>
      <c r="K60" s="316">
        <v>5</v>
      </c>
      <c r="L60" s="297" t="s">
        <v>255</v>
      </c>
      <c r="M60" s="132"/>
      <c r="N60" s="281">
        <v>45051.646909722222</v>
      </c>
      <c r="O60" s="132" t="s">
        <v>40</v>
      </c>
      <c r="P60" s="132"/>
      <c r="Q60" s="275"/>
      <c r="R60" s="275">
        <v>500000</v>
      </c>
      <c r="S60" s="162">
        <f>(1550-F60)/100</f>
        <v>1.5</v>
      </c>
      <c r="T60" s="94"/>
      <c r="U60" s="270">
        <f t="shared" si="6"/>
        <v>750000</v>
      </c>
      <c r="V60" s="124">
        <f t="shared" si="11"/>
        <v>750000</v>
      </c>
    </row>
    <row r="61" spans="1:25" s="82" customFormat="1" ht="13" hidden="1">
      <c r="A61" s="81">
        <f t="shared" si="2"/>
        <v>55</v>
      </c>
      <c r="B61" s="81">
        <v>55</v>
      </c>
      <c r="C61" s="103">
        <v>4125</v>
      </c>
      <c r="D61" s="94" t="s">
        <v>375</v>
      </c>
      <c r="E61" s="102">
        <v>45051</v>
      </c>
      <c r="F61" s="86">
        <v>1400</v>
      </c>
      <c r="G61" s="86">
        <v>1530</v>
      </c>
      <c r="H61" s="94" t="s">
        <v>254</v>
      </c>
      <c r="I61" s="140" t="s">
        <v>35</v>
      </c>
      <c r="J61" s="140" t="s">
        <v>36</v>
      </c>
      <c r="K61" s="316">
        <v>6</v>
      </c>
      <c r="L61" s="297" t="s">
        <v>255</v>
      </c>
      <c r="M61" s="132"/>
      <c r="N61" s="281">
        <v>45051.646689814814</v>
      </c>
      <c r="O61" s="132" t="s">
        <v>174</v>
      </c>
      <c r="P61" s="132"/>
      <c r="Q61" s="308"/>
      <c r="R61" s="275"/>
      <c r="S61" s="162"/>
      <c r="T61" s="94"/>
      <c r="U61" s="270">
        <f t="shared" si="6"/>
        <v>0</v>
      </c>
      <c r="V61" s="124">
        <f t="shared" si="11"/>
        <v>0</v>
      </c>
    </row>
    <row r="62" spans="1:25" s="82" customFormat="1" ht="13" hidden="1">
      <c r="A62" s="81">
        <f t="shared" si="2"/>
        <v>56</v>
      </c>
      <c r="B62" s="81">
        <v>56</v>
      </c>
      <c r="C62" s="103">
        <v>4124</v>
      </c>
      <c r="D62" s="94" t="s">
        <v>75</v>
      </c>
      <c r="E62" s="102">
        <v>45051</v>
      </c>
      <c r="F62" s="86">
        <v>800</v>
      </c>
      <c r="G62" s="86">
        <v>1000</v>
      </c>
      <c r="H62" s="94" t="s">
        <v>698</v>
      </c>
      <c r="I62" s="140" t="s">
        <v>35</v>
      </c>
      <c r="J62" s="140" t="s">
        <v>36</v>
      </c>
      <c r="K62" s="316">
        <v>6</v>
      </c>
      <c r="L62" s="297" t="s">
        <v>699</v>
      </c>
      <c r="M62" s="132"/>
      <c r="N62" s="281">
        <v>45051.421215277776</v>
      </c>
      <c r="O62" s="132" t="s">
        <v>174</v>
      </c>
      <c r="P62" s="132"/>
      <c r="Q62" s="275"/>
      <c r="R62" s="275"/>
      <c r="S62" s="162"/>
      <c r="T62" s="94"/>
      <c r="U62" s="270">
        <f t="shared" si="6"/>
        <v>0</v>
      </c>
      <c r="V62" s="124">
        <f t="shared" ref="V62:V76" si="12">Q62+((S62-8)*R62)</f>
        <v>0</v>
      </c>
    </row>
    <row r="63" spans="1:25" s="82" customFormat="1" ht="13">
      <c r="A63" s="81">
        <f t="shared" si="2"/>
        <v>57</v>
      </c>
      <c r="B63" s="81">
        <v>57</v>
      </c>
      <c r="C63" s="103">
        <v>4123</v>
      </c>
      <c r="D63" s="94" t="s">
        <v>43</v>
      </c>
      <c r="E63" s="102">
        <v>45021</v>
      </c>
      <c r="F63" s="86">
        <v>1400</v>
      </c>
      <c r="G63" s="86">
        <v>1500</v>
      </c>
      <c r="H63" s="94" t="s">
        <v>254</v>
      </c>
      <c r="I63" s="140" t="s">
        <v>35</v>
      </c>
      <c r="J63" s="140" t="s">
        <v>36</v>
      </c>
      <c r="K63" s="316">
        <v>6</v>
      </c>
      <c r="L63" s="297" t="s">
        <v>255</v>
      </c>
      <c r="M63" s="132"/>
      <c r="N63" s="281">
        <v>45021.634525462963</v>
      </c>
      <c r="O63" s="132" t="s">
        <v>40</v>
      </c>
      <c r="P63" s="132"/>
      <c r="Q63" s="275"/>
      <c r="R63" s="275">
        <v>500000</v>
      </c>
      <c r="S63" s="162">
        <f>(G63-F63)/100</f>
        <v>1</v>
      </c>
      <c r="T63" s="94"/>
      <c r="U63" s="270">
        <f t="shared" si="6"/>
        <v>500000</v>
      </c>
      <c r="V63" s="124">
        <f>U63</f>
        <v>500000</v>
      </c>
    </row>
    <row r="64" spans="1:25" s="82" customFormat="1" ht="13">
      <c r="A64" s="81">
        <f t="shared" si="2"/>
        <v>58</v>
      </c>
      <c r="B64" s="81">
        <v>58</v>
      </c>
      <c r="C64" s="103">
        <v>4122</v>
      </c>
      <c r="D64" s="94" t="s">
        <v>32</v>
      </c>
      <c r="E64" s="102">
        <v>45021</v>
      </c>
      <c r="F64" s="86">
        <v>1200</v>
      </c>
      <c r="G64" s="86">
        <v>1330</v>
      </c>
      <c r="H64" s="94" t="s">
        <v>254</v>
      </c>
      <c r="I64" s="140" t="s">
        <v>35</v>
      </c>
      <c r="J64" s="140" t="s">
        <v>36</v>
      </c>
      <c r="K64" s="316">
        <v>12</v>
      </c>
      <c r="L64" s="297" t="s">
        <v>255</v>
      </c>
      <c r="M64" s="132"/>
      <c r="N64" s="281">
        <v>45021.634155092594</v>
      </c>
      <c r="O64" s="132" t="s">
        <v>40</v>
      </c>
      <c r="P64" s="132"/>
      <c r="Q64" s="275"/>
      <c r="R64" s="275">
        <v>950000</v>
      </c>
      <c r="S64" s="162">
        <f>(1350-F64)/100</f>
        <v>1.5</v>
      </c>
      <c r="T64" s="94"/>
      <c r="U64" s="122">
        <f t="shared" si="6"/>
        <v>1425000</v>
      </c>
      <c r="V64" s="124">
        <f>U64</f>
        <v>1425000</v>
      </c>
    </row>
    <row r="65" spans="1:25" s="82" customFormat="1" ht="13">
      <c r="A65" s="81">
        <f t="shared" si="2"/>
        <v>59</v>
      </c>
      <c r="B65" s="81">
        <v>59</v>
      </c>
      <c r="C65" s="103">
        <v>4121</v>
      </c>
      <c r="D65" s="94" t="s">
        <v>32</v>
      </c>
      <c r="E65" s="102">
        <v>45021</v>
      </c>
      <c r="F65" s="86">
        <v>915</v>
      </c>
      <c r="G65" s="86">
        <v>1200</v>
      </c>
      <c r="H65" s="94" t="s">
        <v>254</v>
      </c>
      <c r="I65" s="140" t="s">
        <v>35</v>
      </c>
      <c r="J65" s="140" t="s">
        <v>36</v>
      </c>
      <c r="K65" s="316">
        <v>2</v>
      </c>
      <c r="L65" s="297" t="s">
        <v>255</v>
      </c>
      <c r="M65" s="132"/>
      <c r="N65" s="281">
        <v>45021.424317129633</v>
      </c>
      <c r="O65" s="132" t="s">
        <v>40</v>
      </c>
      <c r="P65" s="132"/>
      <c r="Q65" s="275"/>
      <c r="R65" s="275">
        <v>950000</v>
      </c>
      <c r="S65" s="162">
        <f>(G65-925)/100</f>
        <v>2.75</v>
      </c>
      <c r="T65" s="94"/>
      <c r="U65" s="122">
        <f t="shared" si="6"/>
        <v>2612500</v>
      </c>
      <c r="V65" s="124">
        <f>U65</f>
        <v>2612500</v>
      </c>
    </row>
    <row r="66" spans="1:25" s="82" customFormat="1" ht="13">
      <c r="A66" s="81">
        <f t="shared" si="2"/>
        <v>60</v>
      </c>
      <c r="B66" s="81">
        <v>60</v>
      </c>
      <c r="C66" s="103">
        <v>4119</v>
      </c>
      <c r="D66" s="94" t="s">
        <v>32</v>
      </c>
      <c r="E66" s="102">
        <v>45143</v>
      </c>
      <c r="F66" s="86">
        <v>1300</v>
      </c>
      <c r="G66" s="86">
        <v>1800</v>
      </c>
      <c r="H66" s="94" t="s">
        <v>45</v>
      </c>
      <c r="I66" s="140" t="s">
        <v>35</v>
      </c>
      <c r="J66" s="140" t="s">
        <v>36</v>
      </c>
      <c r="K66" s="316">
        <v>12</v>
      </c>
      <c r="L66" s="297" t="s">
        <v>47</v>
      </c>
      <c r="M66" s="132" t="s">
        <v>700</v>
      </c>
      <c r="N66" s="281" t="s">
        <v>701</v>
      </c>
      <c r="O66" s="132" t="s">
        <v>40</v>
      </c>
      <c r="P66" s="132"/>
      <c r="Q66" s="275">
        <f>R66*3</f>
        <v>2850000</v>
      </c>
      <c r="R66" s="275">
        <v>950000</v>
      </c>
      <c r="S66" s="162">
        <f>(G66-F66)/100</f>
        <v>5</v>
      </c>
      <c r="T66" s="94"/>
      <c r="U66" s="122">
        <f t="shared" si="6"/>
        <v>4750000</v>
      </c>
      <c r="V66" s="347">
        <f>Q66+((S66-4)*R66)</f>
        <v>3800000</v>
      </c>
    </row>
    <row r="67" spans="1:25" s="82" customFormat="1" ht="13">
      <c r="A67" s="81">
        <f>ROW()-6</f>
        <v>61</v>
      </c>
      <c r="B67" s="81">
        <v>61</v>
      </c>
      <c r="C67" s="103">
        <v>4108</v>
      </c>
      <c r="D67" s="94" t="s">
        <v>75</v>
      </c>
      <c r="E67" s="102" t="s">
        <v>702</v>
      </c>
      <c r="F67" s="86">
        <v>900</v>
      </c>
      <c r="G67" s="86">
        <v>1800</v>
      </c>
      <c r="H67" s="94" t="s">
        <v>45</v>
      </c>
      <c r="I67" s="140" t="s">
        <v>35</v>
      </c>
      <c r="J67" s="140" t="s">
        <v>36</v>
      </c>
      <c r="K67" s="316">
        <v>6</v>
      </c>
      <c r="L67" s="297" t="s">
        <v>47</v>
      </c>
      <c r="M67" s="132" t="s">
        <v>703</v>
      </c>
      <c r="N67" s="281" t="s">
        <v>704</v>
      </c>
      <c r="O67" s="132" t="s">
        <v>40</v>
      </c>
      <c r="P67" s="132"/>
      <c r="Q67" s="275">
        <f>R67*6</f>
        <v>3000000</v>
      </c>
      <c r="R67" s="275">
        <v>500000</v>
      </c>
      <c r="S67" s="162">
        <f>(G67-F67)/100</f>
        <v>9</v>
      </c>
      <c r="T67" s="94"/>
      <c r="U67" s="438">
        <f>S67*R67*(100-P67)/100</f>
        <v>4500000</v>
      </c>
      <c r="V67" s="347">
        <f>Q67+((S67-8)*R67)</f>
        <v>3500000</v>
      </c>
    </row>
    <row r="68" spans="1:25" s="82" customFormat="1" ht="13">
      <c r="A68" s="81">
        <f>ROW()-6</f>
        <v>62</v>
      </c>
      <c r="B68" s="81">
        <v>62</v>
      </c>
      <c r="C68" s="103">
        <v>4107</v>
      </c>
      <c r="D68" s="94" t="s">
        <v>43</v>
      </c>
      <c r="E68" s="102" t="s">
        <v>584</v>
      </c>
      <c r="F68" s="86">
        <v>900</v>
      </c>
      <c r="G68" s="86">
        <v>1800</v>
      </c>
      <c r="H68" s="94" t="s">
        <v>45</v>
      </c>
      <c r="I68" s="140" t="s">
        <v>35</v>
      </c>
      <c r="J68" s="140" t="s">
        <v>36</v>
      </c>
      <c r="K68" s="316">
        <v>6</v>
      </c>
      <c r="L68" s="297" t="s">
        <v>47</v>
      </c>
      <c r="M68" s="132" t="s">
        <v>705</v>
      </c>
      <c r="N68" s="281" t="s">
        <v>706</v>
      </c>
      <c r="O68" s="132" t="s">
        <v>40</v>
      </c>
      <c r="P68" s="132"/>
      <c r="Q68" s="275">
        <f>R68*6</f>
        <v>3000000</v>
      </c>
      <c r="R68" s="275">
        <v>500000</v>
      </c>
      <c r="S68" s="162">
        <f>(G68-F68)/100</f>
        <v>9</v>
      </c>
      <c r="T68" s="94"/>
      <c r="U68" s="438">
        <f>S68*R68*(100-P68)/100</f>
        <v>4500000</v>
      </c>
      <c r="V68" s="347">
        <f>Q68+((S68-8)*R68)</f>
        <v>3500000</v>
      </c>
    </row>
    <row r="69" spans="1:25" s="82" customFormat="1" ht="13">
      <c r="A69" s="81">
        <f>ROW()-6</f>
        <v>63</v>
      </c>
      <c r="B69" s="81">
        <v>63</v>
      </c>
      <c r="C69" s="103">
        <v>4106</v>
      </c>
      <c r="D69" s="94" t="s">
        <v>43</v>
      </c>
      <c r="E69" s="102" t="s">
        <v>611</v>
      </c>
      <c r="F69" s="86">
        <v>900</v>
      </c>
      <c r="G69" s="86">
        <v>1800</v>
      </c>
      <c r="H69" s="94" t="s">
        <v>45</v>
      </c>
      <c r="I69" s="140" t="s">
        <v>35</v>
      </c>
      <c r="J69" s="140" t="s">
        <v>36</v>
      </c>
      <c r="K69" s="316">
        <v>6</v>
      </c>
      <c r="L69" s="297" t="s">
        <v>47</v>
      </c>
      <c r="M69" s="132" t="s">
        <v>705</v>
      </c>
      <c r="N69" s="281" t="s">
        <v>707</v>
      </c>
      <c r="O69" s="132" t="s">
        <v>174</v>
      </c>
      <c r="P69" s="132"/>
      <c r="Q69" s="275"/>
      <c r="R69" s="275"/>
      <c r="S69" s="162"/>
      <c r="T69" s="94"/>
      <c r="U69" s="122"/>
      <c r="V69" s="124"/>
    </row>
    <row r="70" spans="1:25" s="82" customFormat="1" ht="13">
      <c r="A70" s="81">
        <f>ROW()-6</f>
        <v>64</v>
      </c>
      <c r="B70" s="81">
        <v>64</v>
      </c>
      <c r="C70" s="103">
        <v>4105</v>
      </c>
      <c r="D70" s="94" t="s">
        <v>43</v>
      </c>
      <c r="E70" s="102" t="s">
        <v>623</v>
      </c>
      <c r="F70" s="86">
        <v>900</v>
      </c>
      <c r="G70" s="86">
        <v>1800</v>
      </c>
      <c r="H70" s="94" t="s">
        <v>45</v>
      </c>
      <c r="I70" s="140" t="s">
        <v>35</v>
      </c>
      <c r="J70" s="140" t="s">
        <v>36</v>
      </c>
      <c r="K70" s="316">
        <v>6</v>
      </c>
      <c r="L70" s="297" t="s">
        <v>47</v>
      </c>
      <c r="M70" s="132" t="s">
        <v>705</v>
      </c>
      <c r="N70" s="281" t="s">
        <v>708</v>
      </c>
      <c r="O70" s="132" t="s">
        <v>40</v>
      </c>
      <c r="P70" s="132"/>
      <c r="Q70" s="275">
        <f>R70*6</f>
        <v>3000000</v>
      </c>
      <c r="R70" s="275">
        <v>500000</v>
      </c>
      <c r="S70" s="162">
        <f>(G70-F70)/100</f>
        <v>9</v>
      </c>
      <c r="T70" s="94"/>
      <c r="U70" s="438">
        <f>S70*R70*(100-P70)/100</f>
        <v>4500000</v>
      </c>
      <c r="V70" s="347">
        <f>Q70+((S70-8)*R70)</f>
        <v>3500000</v>
      </c>
    </row>
    <row r="71" spans="1:25" s="82" customFormat="1" ht="13">
      <c r="A71" s="81">
        <f>ROW()-6</f>
        <v>65</v>
      </c>
      <c r="B71" s="81">
        <v>65</v>
      </c>
      <c r="C71" s="103">
        <v>4100</v>
      </c>
      <c r="D71" s="94" t="s">
        <v>32</v>
      </c>
      <c r="E71" s="102" t="s">
        <v>582</v>
      </c>
      <c r="F71" s="86">
        <v>900</v>
      </c>
      <c r="G71" s="86">
        <v>1800</v>
      </c>
      <c r="H71" s="94" t="s">
        <v>302</v>
      </c>
      <c r="I71" s="140" t="s">
        <v>35</v>
      </c>
      <c r="J71" s="140" t="s">
        <v>36</v>
      </c>
      <c r="K71" s="316">
        <v>12</v>
      </c>
      <c r="L71" s="297" t="s">
        <v>47</v>
      </c>
      <c r="M71" s="132" t="s">
        <v>700</v>
      </c>
      <c r="N71" s="281" t="s">
        <v>709</v>
      </c>
      <c r="O71" s="132" t="s">
        <v>40</v>
      </c>
      <c r="P71" s="132"/>
      <c r="Q71" s="275">
        <f>R71*6</f>
        <v>5700000</v>
      </c>
      <c r="R71" s="275">
        <v>950000</v>
      </c>
      <c r="S71" s="162">
        <f>(G71-F71)/100</f>
        <v>9</v>
      </c>
      <c r="T71" s="94"/>
      <c r="U71" s="122">
        <f>S71*R71*(100-P71)/100</f>
        <v>8550000</v>
      </c>
      <c r="V71" s="347">
        <f>Q71+((S71-8)*R71)</f>
        <v>6650000</v>
      </c>
    </row>
    <row r="72" spans="1:25" s="82" customFormat="1" ht="13" hidden="1">
      <c r="A72" s="81">
        <f t="shared" si="2"/>
        <v>66</v>
      </c>
      <c r="B72" s="81">
        <v>66</v>
      </c>
      <c r="C72" s="103">
        <v>4099</v>
      </c>
      <c r="D72" s="94" t="s">
        <v>32</v>
      </c>
      <c r="E72" s="102">
        <v>45174</v>
      </c>
      <c r="F72" s="86">
        <v>900</v>
      </c>
      <c r="G72" s="86">
        <v>1200</v>
      </c>
      <c r="H72" s="94" t="s">
        <v>45</v>
      </c>
      <c r="I72" s="140" t="s">
        <v>35</v>
      </c>
      <c r="J72" s="140" t="s">
        <v>36</v>
      </c>
      <c r="K72" s="316">
        <v>12</v>
      </c>
      <c r="L72" s="297" t="s">
        <v>47</v>
      </c>
      <c r="M72" s="132" t="s">
        <v>700</v>
      </c>
      <c r="N72" s="281" t="s">
        <v>710</v>
      </c>
      <c r="O72" s="132" t="s">
        <v>174</v>
      </c>
      <c r="P72" s="132"/>
      <c r="Q72" s="275"/>
      <c r="R72" s="275"/>
      <c r="S72" s="162"/>
      <c r="T72" s="94"/>
      <c r="U72" s="122">
        <f t="shared" si="6"/>
        <v>0</v>
      </c>
      <c r="V72" s="124">
        <f t="shared" si="12"/>
        <v>0</v>
      </c>
    </row>
    <row r="73" spans="1:25" s="82" customFormat="1" ht="13" hidden="1">
      <c r="A73" s="81">
        <f t="shared" si="2"/>
        <v>67</v>
      </c>
      <c r="B73" s="81">
        <v>67</v>
      </c>
      <c r="C73" s="103">
        <v>4098</v>
      </c>
      <c r="D73" s="94" t="s">
        <v>32</v>
      </c>
      <c r="E73" s="102">
        <v>45143</v>
      </c>
      <c r="F73" s="86">
        <v>900</v>
      </c>
      <c r="G73" s="86">
        <v>1800</v>
      </c>
      <c r="H73" s="94" t="s">
        <v>45</v>
      </c>
      <c r="I73" s="140" t="s">
        <v>35</v>
      </c>
      <c r="J73" s="140" t="s">
        <v>36</v>
      </c>
      <c r="K73" s="316">
        <v>12</v>
      </c>
      <c r="L73" s="297" t="s">
        <v>47</v>
      </c>
      <c r="M73" s="132" t="s">
        <v>700</v>
      </c>
      <c r="N73" s="281" t="s">
        <v>711</v>
      </c>
      <c r="O73" s="132" t="s">
        <v>174</v>
      </c>
      <c r="P73" s="132"/>
      <c r="Q73" s="275"/>
      <c r="R73" s="275"/>
      <c r="S73" s="162"/>
      <c r="T73" s="94"/>
      <c r="U73" s="122">
        <f t="shared" si="6"/>
        <v>0</v>
      </c>
      <c r="V73" s="124">
        <f t="shared" si="12"/>
        <v>0</v>
      </c>
    </row>
    <row r="74" spans="1:25" s="82" customFormat="1" ht="26">
      <c r="A74" s="81">
        <f t="shared" si="2"/>
        <v>68</v>
      </c>
      <c r="B74" s="81">
        <v>68</v>
      </c>
      <c r="C74" s="258" t="s">
        <v>197</v>
      </c>
      <c r="D74" s="259" t="s">
        <v>32</v>
      </c>
      <c r="E74" s="102" t="s">
        <v>712</v>
      </c>
      <c r="F74" s="86" t="s">
        <v>713</v>
      </c>
      <c r="G74" s="86" t="s">
        <v>714</v>
      </c>
      <c r="H74" s="261" t="s">
        <v>545</v>
      </c>
      <c r="I74" s="140" t="s">
        <v>35</v>
      </c>
      <c r="J74" s="140" t="s">
        <v>546</v>
      </c>
      <c r="K74" s="315" t="s">
        <v>37</v>
      </c>
      <c r="L74" s="297" t="s">
        <v>47</v>
      </c>
      <c r="M74" s="295"/>
      <c r="N74" s="277"/>
      <c r="O74" s="132" t="s">
        <v>40</v>
      </c>
      <c r="P74" s="132"/>
      <c r="Q74" s="275">
        <f>R74*3</f>
        <v>2850000</v>
      </c>
      <c r="R74" s="275">
        <v>950000</v>
      </c>
      <c r="S74" s="162">
        <f>(G74-F74)/100</f>
        <v>4</v>
      </c>
      <c r="T74" s="94"/>
      <c r="U74" s="122">
        <f t="shared" si="6"/>
        <v>3800000</v>
      </c>
      <c r="V74" s="347">
        <f>Q74+((S74-4)*R74)</f>
        <v>2850000</v>
      </c>
    </row>
    <row r="75" spans="1:25" s="82" customFormat="1" ht="13" hidden="1">
      <c r="A75" s="81">
        <f t="shared" si="2"/>
        <v>69</v>
      </c>
      <c r="B75" s="81"/>
      <c r="C75" s="103"/>
      <c r="D75" s="94"/>
      <c r="E75" s="102"/>
      <c r="F75" s="86"/>
      <c r="G75" s="86"/>
      <c r="H75" s="94"/>
      <c r="I75" s="140"/>
      <c r="J75" s="140"/>
      <c r="K75" s="316"/>
      <c r="L75" s="132"/>
      <c r="M75" s="132"/>
      <c r="N75" s="281"/>
      <c r="O75" s="132"/>
      <c r="P75" s="132"/>
      <c r="Q75" s="275"/>
      <c r="R75" s="275"/>
      <c r="S75" s="162"/>
      <c r="T75" s="94"/>
      <c r="U75" s="122">
        <f t="shared" si="6"/>
        <v>0</v>
      </c>
      <c r="V75" s="124">
        <f t="shared" si="12"/>
        <v>0</v>
      </c>
    </row>
    <row r="76" spans="1:25" s="82" customFormat="1" ht="13" hidden="1">
      <c r="A76" s="81">
        <f t="shared" si="2"/>
        <v>70</v>
      </c>
      <c r="B76" s="81"/>
      <c r="C76" s="103"/>
      <c r="D76" s="94"/>
      <c r="E76" s="102"/>
      <c r="F76" s="86"/>
      <c r="G76" s="86"/>
      <c r="H76" s="94"/>
      <c r="I76" s="140"/>
      <c r="J76" s="140"/>
      <c r="K76" s="316"/>
      <c r="L76" s="132"/>
      <c r="M76" s="132"/>
      <c r="N76" s="281"/>
      <c r="O76" s="132"/>
      <c r="P76" s="132"/>
      <c r="Q76" s="275"/>
      <c r="R76" s="275"/>
      <c r="S76" s="162"/>
      <c r="T76" s="94"/>
      <c r="U76" s="122">
        <f t="shared" si="6"/>
        <v>0</v>
      </c>
      <c r="V76" s="124">
        <f t="shared" si="12"/>
        <v>0</v>
      </c>
    </row>
    <row r="77" spans="1:25" s="82" customFormat="1" ht="13" hidden="1">
      <c r="A77" s="81">
        <f t="shared" si="2"/>
        <v>71</v>
      </c>
      <c r="B77" s="81"/>
      <c r="C77" s="103"/>
      <c r="D77" s="94"/>
      <c r="E77" s="102"/>
      <c r="F77" s="86"/>
      <c r="G77" s="86"/>
      <c r="H77" s="94"/>
      <c r="I77" s="140"/>
      <c r="J77" s="140"/>
      <c r="K77" s="316"/>
      <c r="L77" s="132"/>
      <c r="M77" s="132"/>
      <c r="N77" s="292"/>
      <c r="O77" s="132"/>
      <c r="P77" s="132"/>
      <c r="Q77" s="275"/>
      <c r="R77" s="275"/>
      <c r="S77" s="162"/>
      <c r="T77" s="94"/>
      <c r="U77" s="122">
        <f t="shared" si="6"/>
        <v>0</v>
      </c>
      <c r="V77" s="124">
        <f>U77</f>
        <v>0</v>
      </c>
    </row>
    <row r="78" spans="1:25" s="82" customFormat="1" ht="13">
      <c r="A78" s="94"/>
      <c r="B78" s="94"/>
      <c r="C78" s="94"/>
      <c r="D78" s="94"/>
      <c r="E78" s="103"/>
      <c r="F78" s="94"/>
      <c r="G78" s="94"/>
      <c r="H78" s="94"/>
      <c r="I78" s="140"/>
      <c r="J78" s="140"/>
      <c r="K78" s="94"/>
      <c r="L78" s="282"/>
      <c r="M78" s="282"/>
      <c r="N78" s="322"/>
      <c r="O78" s="282"/>
      <c r="P78" s="282"/>
      <c r="Q78" s="323"/>
      <c r="R78" s="83"/>
      <c r="S78" s="94"/>
      <c r="T78" s="94"/>
      <c r="U78" s="120">
        <f>SUBTOTAL(109,U7:U77)</f>
        <v>65500000</v>
      </c>
      <c r="V78" s="123">
        <f>SUBTOTAL(109,V7:V77)</f>
        <v>58200000</v>
      </c>
      <c r="Y78" s="376">
        <f>V78*1.1</f>
        <v>64020000.000000007</v>
      </c>
    </row>
    <row r="79" spans="1:25" s="82" customFormat="1" ht="13">
      <c r="E79" s="104"/>
      <c r="I79" s="160"/>
      <c r="J79" s="160"/>
      <c r="N79" s="104"/>
      <c r="Q79" s="99"/>
      <c r="V79" s="99"/>
    </row>
    <row r="80" spans="1:25">
      <c r="N80" s="68"/>
      <c r="V80" s="98" t="e">
        <f>V78-#REF!</f>
        <v>#REF!</v>
      </c>
    </row>
    <row r="81" spans="14:22">
      <c r="N81" s="68"/>
    </row>
    <row r="82" spans="14:22">
      <c r="N82" s="68"/>
      <c r="R82" s="356"/>
    </row>
    <row r="83" spans="14:22">
      <c r="N83" s="68"/>
      <c r="Q83" s="100"/>
      <c r="V83" s="100"/>
    </row>
    <row r="84" spans="14:22">
      <c r="N84" s="68"/>
      <c r="Q84" s="100"/>
      <c r="V84" s="100"/>
    </row>
    <row r="85" spans="14:22">
      <c r="N85" s="68"/>
      <c r="Q85" s="100"/>
      <c r="V85" s="100"/>
    </row>
    <row r="86" spans="14:22">
      <c r="N86" s="68"/>
    </row>
    <row r="87" spans="14:22">
      <c r="N87" s="68"/>
    </row>
    <row r="88" spans="14:22">
      <c r="N88" s="68"/>
    </row>
    <row r="89" spans="14:22">
      <c r="N89" s="68"/>
    </row>
  </sheetData>
  <autoFilter ref="A6:AE77" xr:uid="{1028D278-910A-4D41-890F-0D5DC76C3F25}">
    <filterColumn colId="21">
      <filters blank="1">
        <filter val="1,000,000"/>
        <filter val="1,250,000"/>
        <filter val="1,425,000"/>
        <filter val="1,500,000"/>
        <filter val="1,900,000"/>
        <filter val="2,612,500"/>
        <filter val="2,750,000"/>
        <filter val="2,850,000"/>
        <filter val="250,000"/>
        <filter val="3,087,500"/>
        <filter val="3,500,000"/>
        <filter val="3,800,000"/>
        <filter val="375,000"/>
        <filter val="500,000"/>
        <filter val="6,650,000"/>
        <filter val="750,000"/>
      </filters>
    </filterColumn>
  </autoFilter>
  <mergeCells count="3">
    <mergeCell ref="A2:U2"/>
    <mergeCell ref="A3:U3"/>
    <mergeCell ref="A4:U4"/>
  </mergeCells>
  <pageMargins left="0.7" right="0.7" top="0.75" bottom="0.75" header="0.3" footer="0.3"/>
  <pageSetup scale="3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4C624-72A0-49C0-937E-FB999B1C76A9}">
  <sheetPr codeName="Sheet15" filterMode="1">
    <pageSetUpPr fitToPage="1"/>
  </sheetPr>
  <dimension ref="A2:AE89"/>
  <sheetViews>
    <sheetView topLeftCell="A3" zoomScale="80" zoomScaleNormal="80" workbookViewId="0">
      <selection activeCell="V7" sqref="V7:V57"/>
    </sheetView>
  </sheetViews>
  <sheetFormatPr defaultColWidth="9.1796875" defaultRowHeight="14.5"/>
  <cols>
    <col min="1" max="2" width="8.81640625" style="100" customWidth="1"/>
    <col min="3" max="3" width="8.81640625" style="100" bestFit="1" customWidth="1"/>
    <col min="4" max="4" width="27.26953125" style="100" customWidth="1"/>
    <col min="5" max="5" width="13.81640625" style="68" customWidth="1"/>
    <col min="6" max="6" width="8.81640625" style="100" bestFit="1" customWidth="1"/>
    <col min="7" max="7" width="10" style="100" customWidth="1"/>
    <col min="8" max="8" width="25.54296875" style="100" customWidth="1"/>
    <col min="9" max="9" width="11.26953125" style="59" customWidth="1"/>
    <col min="10" max="10" width="12" style="59" hidden="1" customWidth="1"/>
    <col min="11" max="11" width="9.26953125" style="100" hidden="1" customWidth="1"/>
    <col min="12" max="12" width="14.1796875" style="100" customWidth="1"/>
    <col min="13" max="13" width="10.26953125" style="100" hidden="1" customWidth="1"/>
    <col min="14" max="14" width="22.26953125" style="157" hidden="1" customWidth="1"/>
    <col min="15" max="15" width="12.54296875" style="100" customWidth="1"/>
    <col min="16" max="16" width="9.1796875" style="100"/>
    <col min="17" max="17" width="13.26953125" style="101" customWidth="1"/>
    <col min="18" max="18" width="11.26953125" style="100" bestFit="1" customWidth="1"/>
    <col min="19" max="20" width="9.1796875" style="100"/>
    <col min="21" max="21" width="12.54296875" style="100" bestFit="1" customWidth="1"/>
    <col min="22" max="22" width="14.26953125" style="101" customWidth="1"/>
    <col min="23" max="23" width="10.26953125" style="100" bestFit="1" customWidth="1"/>
    <col min="24" max="24" width="9.1796875" style="100"/>
    <col min="25" max="25" width="13.7265625" style="100" customWidth="1"/>
    <col min="26" max="16384" width="9.1796875" style="100"/>
  </cols>
  <sheetData>
    <row r="2" spans="1:31" s="57" customFormat="1" ht="20.25" customHeight="1">
      <c r="A2" s="52" t="s">
        <v>0</v>
      </c>
      <c r="B2" s="52"/>
      <c r="C2" s="52"/>
      <c r="D2" s="52"/>
      <c r="E2" s="52"/>
      <c r="F2" s="52"/>
      <c r="G2" s="52"/>
      <c r="H2" s="52"/>
      <c r="I2" s="52"/>
      <c r="J2" s="389"/>
      <c r="K2" s="52"/>
      <c r="L2" s="52"/>
      <c r="M2" s="390"/>
      <c r="N2" s="391"/>
      <c r="O2" s="52"/>
      <c r="P2" s="52"/>
      <c r="Q2" s="52"/>
      <c r="R2" s="52"/>
      <c r="S2" s="52"/>
      <c r="T2" s="52"/>
      <c r="U2" s="52"/>
      <c r="V2" s="53"/>
      <c r="W2" s="54"/>
      <c r="X2" s="52"/>
      <c r="Y2" s="120">
        <f>18287500+30500000</f>
        <v>48787500</v>
      </c>
      <c r="Z2" s="56"/>
      <c r="AD2" s="58"/>
      <c r="AE2" s="59" t="s">
        <v>1</v>
      </c>
    </row>
    <row r="3" spans="1:31" s="57" customFormat="1" ht="20.25" customHeight="1">
      <c r="A3" s="60" t="s">
        <v>2</v>
      </c>
      <c r="B3" s="60"/>
      <c r="C3" s="60"/>
      <c r="D3" s="60"/>
      <c r="E3" s="60"/>
      <c r="F3" s="60"/>
      <c r="G3" s="60"/>
      <c r="H3" s="60"/>
      <c r="I3" s="60"/>
      <c r="J3" s="392"/>
      <c r="K3" s="60"/>
      <c r="L3" s="60"/>
      <c r="M3" s="393"/>
      <c r="N3" s="394"/>
      <c r="O3" s="60"/>
      <c r="P3" s="60"/>
      <c r="Q3" s="60"/>
      <c r="R3" s="60"/>
      <c r="S3" s="60"/>
      <c r="T3" s="60"/>
      <c r="U3" s="60"/>
      <c r="V3" s="61"/>
      <c r="W3" s="62"/>
      <c r="X3" s="60"/>
      <c r="Y3" s="63"/>
      <c r="Z3" s="56"/>
      <c r="AD3" s="64"/>
      <c r="AE3" s="59" t="s">
        <v>3</v>
      </c>
    </row>
    <row r="4" spans="1:31" s="57" customFormat="1" ht="20.25" customHeight="1">
      <c r="A4" s="60" t="s">
        <v>548</v>
      </c>
      <c r="B4" s="60"/>
      <c r="C4" s="60"/>
      <c r="D4" s="60"/>
      <c r="E4" s="60"/>
      <c r="F4" s="60"/>
      <c r="G4" s="60"/>
      <c r="H4" s="60"/>
      <c r="I4" s="60"/>
      <c r="J4" s="392"/>
      <c r="K4" s="60"/>
      <c r="L4" s="60"/>
      <c r="M4" s="393"/>
      <c r="N4" s="394"/>
      <c r="O4" s="60"/>
      <c r="P4" s="60"/>
      <c r="Q4" s="60"/>
      <c r="R4" s="60"/>
      <c r="S4" s="60"/>
      <c r="T4" s="60"/>
      <c r="U4" s="60"/>
      <c r="V4" s="61"/>
      <c r="W4" s="62"/>
      <c r="X4" s="60"/>
      <c r="Y4" s="63"/>
      <c r="Z4" s="56"/>
      <c r="AD4" s="65"/>
      <c r="AE4" s="59" t="s">
        <v>5</v>
      </c>
    </row>
    <row r="5" spans="1:31" s="57" customFormat="1" ht="6" customHeight="1">
      <c r="D5" s="66"/>
      <c r="E5" s="67"/>
      <c r="F5" s="67"/>
      <c r="G5" s="67"/>
      <c r="H5" s="66"/>
      <c r="I5" s="66"/>
      <c r="J5" s="66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</row>
    <row r="6" spans="1:31" s="79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61" t="s">
        <v>13</v>
      </c>
      <c r="J6" s="159" t="s">
        <v>14</v>
      </c>
      <c r="K6" s="159" t="s">
        <v>15</v>
      </c>
      <c r="L6" s="134" t="s">
        <v>16</v>
      </c>
      <c r="M6" s="134" t="s">
        <v>17</v>
      </c>
      <c r="N6" s="319" t="s">
        <v>18</v>
      </c>
      <c r="O6" s="320" t="s">
        <v>19</v>
      </c>
      <c r="P6" s="134" t="s">
        <v>20</v>
      </c>
      <c r="Q6" s="321" t="s">
        <v>21</v>
      </c>
      <c r="R6" s="74" t="s">
        <v>22</v>
      </c>
      <c r="S6" s="74" t="s">
        <v>23</v>
      </c>
      <c r="T6" s="74" t="s">
        <v>24</v>
      </c>
      <c r="U6" s="78" t="s">
        <v>25</v>
      </c>
      <c r="V6" s="134" t="s">
        <v>26</v>
      </c>
      <c r="Z6" s="72" t="s">
        <v>27</v>
      </c>
      <c r="AA6" s="80" t="s">
        <v>28</v>
      </c>
      <c r="AB6" s="74" t="s">
        <v>29</v>
      </c>
      <c r="AC6" s="72" t="s">
        <v>30</v>
      </c>
    </row>
    <row r="7" spans="1:31" s="82" customFormat="1" ht="13">
      <c r="A7" s="81">
        <f>ROW()-6</f>
        <v>1</v>
      </c>
      <c r="B7" s="81">
        <v>1</v>
      </c>
      <c r="C7" s="258" t="s">
        <v>715</v>
      </c>
      <c r="D7" s="259" t="s">
        <v>43</v>
      </c>
      <c r="E7" s="260" t="s">
        <v>716</v>
      </c>
      <c r="F7" s="86">
        <v>1030</v>
      </c>
      <c r="G7" s="86">
        <v>1200</v>
      </c>
      <c r="H7" s="261" t="s">
        <v>717</v>
      </c>
      <c r="I7" s="261" t="s">
        <v>35</v>
      </c>
      <c r="J7" s="261" t="s">
        <v>36</v>
      </c>
      <c r="K7" s="315" t="s">
        <v>76</v>
      </c>
      <c r="L7" s="294" t="s">
        <v>47</v>
      </c>
      <c r="M7" s="295"/>
      <c r="N7" s="296" t="s">
        <v>718</v>
      </c>
      <c r="O7" s="276" t="s">
        <v>40</v>
      </c>
      <c r="P7" s="297"/>
      <c r="Q7" s="274"/>
      <c r="R7" s="275">
        <v>500000</v>
      </c>
      <c r="S7" s="162">
        <f>(G7-1050)/100</f>
        <v>1.5</v>
      </c>
      <c r="T7" s="259"/>
      <c r="U7" s="270">
        <f t="shared" ref="U7:U31" si="0">S7*R7*(100-P7)/100</f>
        <v>750000</v>
      </c>
      <c r="V7" s="124">
        <f t="shared" ref="V7:V14" si="1">U7</f>
        <v>750000</v>
      </c>
      <c r="W7" s="90"/>
      <c r="X7" s="91"/>
      <c r="Y7" s="90"/>
    </row>
    <row r="8" spans="1:31" s="82" customFormat="1" ht="13">
      <c r="A8" s="81">
        <f t="shared" ref="A8:A68" si="2">ROW()-6</f>
        <v>2</v>
      </c>
      <c r="B8" s="81">
        <v>2</v>
      </c>
      <c r="C8" s="258" t="s">
        <v>719</v>
      </c>
      <c r="D8" s="259" t="s">
        <v>43</v>
      </c>
      <c r="E8" s="260" t="s">
        <v>720</v>
      </c>
      <c r="F8" s="86">
        <v>1500</v>
      </c>
      <c r="G8" s="86">
        <v>1600</v>
      </c>
      <c r="H8" s="261" t="s">
        <v>721</v>
      </c>
      <c r="I8" s="261" t="s">
        <v>35</v>
      </c>
      <c r="J8" s="261" t="s">
        <v>36</v>
      </c>
      <c r="K8" s="315" t="s">
        <v>56</v>
      </c>
      <c r="L8" s="294" t="s">
        <v>124</v>
      </c>
      <c r="M8" s="295"/>
      <c r="N8" s="296" t="s">
        <v>722</v>
      </c>
      <c r="O8" s="276" t="s">
        <v>40</v>
      </c>
      <c r="P8" s="297"/>
      <c r="Q8" s="274"/>
      <c r="R8" s="275">
        <v>500000</v>
      </c>
      <c r="S8" s="162">
        <f t="shared" ref="S8:S68" si="3">(G8-F8)/100</f>
        <v>1</v>
      </c>
      <c r="T8" s="259"/>
      <c r="U8" s="270">
        <f t="shared" si="0"/>
        <v>500000</v>
      </c>
      <c r="V8" s="347">
        <f t="shared" si="1"/>
        <v>500000</v>
      </c>
      <c r="W8" s="90"/>
      <c r="X8" s="91"/>
      <c r="Y8" s="90"/>
    </row>
    <row r="9" spans="1:31" s="82" customFormat="1" ht="13" hidden="1">
      <c r="A9" s="81">
        <f t="shared" si="2"/>
        <v>3</v>
      </c>
      <c r="B9" s="81">
        <v>3</v>
      </c>
      <c r="C9" s="258" t="s">
        <v>723</v>
      </c>
      <c r="D9" s="259" t="s">
        <v>32</v>
      </c>
      <c r="E9" s="260" t="s">
        <v>724</v>
      </c>
      <c r="F9" s="86">
        <v>1000</v>
      </c>
      <c r="G9" s="86">
        <v>1200</v>
      </c>
      <c r="H9" s="293" t="s">
        <v>45</v>
      </c>
      <c r="I9" s="262" t="s">
        <v>35</v>
      </c>
      <c r="J9" s="262" t="s">
        <v>36</v>
      </c>
      <c r="K9" s="315" t="s">
        <v>37</v>
      </c>
      <c r="L9" s="294" t="s">
        <v>47</v>
      </c>
      <c r="M9" s="295"/>
      <c r="N9" s="296" t="s">
        <v>725</v>
      </c>
      <c r="O9" s="276" t="s">
        <v>40</v>
      </c>
      <c r="P9" s="297"/>
      <c r="Q9" s="298"/>
      <c r="R9" s="275">
        <v>950000</v>
      </c>
      <c r="S9" s="162">
        <f t="shared" si="3"/>
        <v>2</v>
      </c>
      <c r="T9" s="259"/>
      <c r="U9" s="270">
        <f t="shared" si="0"/>
        <v>1900000</v>
      </c>
      <c r="V9" s="347">
        <f t="shared" si="1"/>
        <v>1900000</v>
      </c>
      <c r="W9" s="90"/>
      <c r="X9" s="91"/>
      <c r="Y9" s="90"/>
    </row>
    <row r="10" spans="1:31" s="82" customFormat="1" ht="13" hidden="1">
      <c r="A10" s="81">
        <f t="shared" si="2"/>
        <v>4</v>
      </c>
      <c r="B10" s="81">
        <v>4</v>
      </c>
      <c r="C10" s="258" t="s">
        <v>726</v>
      </c>
      <c r="D10" s="259" t="s">
        <v>32</v>
      </c>
      <c r="E10" s="260" t="s">
        <v>724</v>
      </c>
      <c r="F10" s="86">
        <v>1000</v>
      </c>
      <c r="G10" s="86">
        <v>1115</v>
      </c>
      <c r="H10" s="293" t="s">
        <v>45</v>
      </c>
      <c r="I10" s="262" t="s">
        <v>35</v>
      </c>
      <c r="J10" s="262" t="s">
        <v>36</v>
      </c>
      <c r="K10" s="315" t="s">
        <v>37</v>
      </c>
      <c r="L10" s="294"/>
      <c r="M10" s="295"/>
      <c r="N10" s="296" t="s">
        <v>727</v>
      </c>
      <c r="O10" s="276" t="s">
        <v>174</v>
      </c>
      <c r="P10" s="297"/>
      <c r="Q10" s="298"/>
      <c r="R10" s="275"/>
      <c r="S10" s="162">
        <f t="shared" si="3"/>
        <v>1.1499999999999999</v>
      </c>
      <c r="T10" s="259"/>
      <c r="U10" s="270">
        <f>S10*R10*(100-P10)/100</f>
        <v>0</v>
      </c>
      <c r="V10" s="347">
        <f t="shared" si="1"/>
        <v>0</v>
      </c>
      <c r="W10" s="91"/>
      <c r="X10" s="91"/>
      <c r="Y10" s="90"/>
    </row>
    <row r="11" spans="1:31" s="82" customFormat="1" ht="13">
      <c r="A11" s="81">
        <f t="shared" si="2"/>
        <v>5</v>
      </c>
      <c r="B11" s="81">
        <v>5</v>
      </c>
      <c r="C11" s="94">
        <v>4237</v>
      </c>
      <c r="D11" s="259" t="s">
        <v>43</v>
      </c>
      <c r="E11" s="258" t="s">
        <v>724</v>
      </c>
      <c r="F11" s="86">
        <v>1615</v>
      </c>
      <c r="G11" s="86">
        <v>1700</v>
      </c>
      <c r="H11" s="94" t="s">
        <v>728</v>
      </c>
      <c r="I11" s="140" t="s">
        <v>35</v>
      </c>
      <c r="J11" s="140" t="s">
        <v>36</v>
      </c>
      <c r="K11" s="316">
        <v>6</v>
      </c>
      <c r="L11" s="297" t="s">
        <v>47</v>
      </c>
      <c r="M11" s="352"/>
      <c r="N11" s="281" t="s">
        <v>729</v>
      </c>
      <c r="O11" s="276" t="s">
        <v>40</v>
      </c>
      <c r="P11" s="132"/>
      <c r="Q11" s="298"/>
      <c r="R11" s="275">
        <v>500000</v>
      </c>
      <c r="S11" s="162">
        <f>(G11-1625)/100</f>
        <v>0.75</v>
      </c>
      <c r="T11" s="94"/>
      <c r="U11" s="270">
        <f t="shared" si="0"/>
        <v>375000</v>
      </c>
      <c r="V11" s="124">
        <f t="shared" si="1"/>
        <v>375000</v>
      </c>
      <c r="W11" s="83"/>
    </row>
    <row r="12" spans="1:31" s="82" customFormat="1" ht="26" hidden="1">
      <c r="A12" s="81">
        <f t="shared" si="2"/>
        <v>6</v>
      </c>
      <c r="B12" s="81">
        <v>6</v>
      </c>
      <c r="C12" s="258" t="s">
        <v>730</v>
      </c>
      <c r="D12" s="259" t="s">
        <v>32</v>
      </c>
      <c r="E12" s="258" t="s">
        <v>731</v>
      </c>
      <c r="F12" s="86">
        <v>1500</v>
      </c>
      <c r="G12" s="86">
        <v>1600</v>
      </c>
      <c r="H12" s="261" t="s">
        <v>732</v>
      </c>
      <c r="I12" s="261" t="s">
        <v>35</v>
      </c>
      <c r="J12" s="261" t="s">
        <v>36</v>
      </c>
      <c r="K12" s="315" t="s">
        <v>37</v>
      </c>
      <c r="L12" s="412" t="s">
        <v>172</v>
      </c>
      <c r="M12" s="355"/>
      <c r="N12" s="350" t="s">
        <v>733</v>
      </c>
      <c r="O12" s="276" t="s">
        <v>40</v>
      </c>
      <c r="P12" s="297"/>
      <c r="Q12" s="298"/>
      <c r="R12" s="275">
        <v>950000</v>
      </c>
      <c r="S12" s="162">
        <f t="shared" si="3"/>
        <v>1</v>
      </c>
      <c r="T12" s="259"/>
      <c r="U12" s="270">
        <f t="shared" si="0"/>
        <v>950000</v>
      </c>
      <c r="V12" s="124">
        <f>U12</f>
        <v>950000</v>
      </c>
      <c r="W12" s="90"/>
      <c r="X12" s="91"/>
      <c r="Y12" s="90"/>
    </row>
    <row r="13" spans="1:31" s="82" customFormat="1" ht="13" hidden="1">
      <c r="A13" s="81">
        <f t="shared" si="2"/>
        <v>7</v>
      </c>
      <c r="B13" s="81">
        <v>7</v>
      </c>
      <c r="C13" s="94">
        <v>4235</v>
      </c>
      <c r="D13" s="259" t="s">
        <v>65</v>
      </c>
      <c r="E13" s="258" t="s">
        <v>724</v>
      </c>
      <c r="F13" s="86">
        <v>1100</v>
      </c>
      <c r="G13" s="86">
        <v>1900</v>
      </c>
      <c r="H13" s="94" t="s">
        <v>734</v>
      </c>
      <c r="I13" s="140" t="s">
        <v>35</v>
      </c>
      <c r="J13" s="140" t="s">
        <v>36</v>
      </c>
      <c r="K13" s="315" t="s">
        <v>61</v>
      </c>
      <c r="L13" s="297" t="s">
        <v>112</v>
      </c>
      <c r="M13" s="353"/>
      <c r="N13" s="281" t="s">
        <v>735</v>
      </c>
      <c r="O13" s="276" t="s">
        <v>40</v>
      </c>
      <c r="P13" s="297"/>
      <c r="Q13" s="298"/>
      <c r="R13" s="275">
        <v>180000</v>
      </c>
      <c r="S13" s="162">
        <f t="shared" si="3"/>
        <v>8</v>
      </c>
      <c r="T13" s="94"/>
      <c r="U13" s="270">
        <f t="shared" si="0"/>
        <v>1440000</v>
      </c>
      <c r="V13" s="124">
        <f t="shared" si="1"/>
        <v>1440000</v>
      </c>
    </row>
    <row r="14" spans="1:31" s="82" customFormat="1" ht="26" hidden="1">
      <c r="A14" s="81">
        <f t="shared" si="2"/>
        <v>8</v>
      </c>
      <c r="B14" s="81">
        <v>8</v>
      </c>
      <c r="C14" s="258" t="s">
        <v>736</v>
      </c>
      <c r="D14" s="259" t="s">
        <v>43</v>
      </c>
      <c r="E14" s="258" t="s">
        <v>720</v>
      </c>
      <c r="F14" s="86">
        <v>900</v>
      </c>
      <c r="G14" s="86">
        <v>1300</v>
      </c>
      <c r="H14" s="261" t="s">
        <v>732</v>
      </c>
      <c r="I14" s="140" t="s">
        <v>35</v>
      </c>
      <c r="J14" s="140" t="s">
        <v>36</v>
      </c>
      <c r="K14" s="315" t="s">
        <v>76</v>
      </c>
      <c r="L14" s="297" t="s">
        <v>172</v>
      </c>
      <c r="M14" s="132"/>
      <c r="N14" s="325" t="s">
        <v>737</v>
      </c>
      <c r="O14" s="276" t="s">
        <v>40</v>
      </c>
      <c r="P14" s="275">
        <v>100</v>
      </c>
      <c r="Q14" s="274"/>
      <c r="R14" s="275">
        <v>500000</v>
      </c>
      <c r="S14" s="162">
        <f t="shared" si="3"/>
        <v>4</v>
      </c>
      <c r="T14" s="259"/>
      <c r="U14" s="270">
        <f t="shared" si="0"/>
        <v>0</v>
      </c>
      <c r="V14" s="124">
        <f t="shared" si="1"/>
        <v>0</v>
      </c>
      <c r="W14" s="90" t="s">
        <v>738</v>
      </c>
      <c r="X14" s="91"/>
      <c r="Y14" s="90"/>
    </row>
    <row r="15" spans="1:31" s="82" customFormat="1" ht="26" hidden="1">
      <c r="A15" s="81">
        <f t="shared" si="2"/>
        <v>9</v>
      </c>
      <c r="B15" s="263">
        <v>9</v>
      </c>
      <c r="C15" s="264" t="s">
        <v>739</v>
      </c>
      <c r="D15" s="265" t="s">
        <v>32</v>
      </c>
      <c r="E15" s="264" t="s">
        <v>740</v>
      </c>
      <c r="F15" s="266">
        <v>915</v>
      </c>
      <c r="G15" s="266">
        <v>1045</v>
      </c>
      <c r="H15" s="267" t="s">
        <v>741</v>
      </c>
      <c r="I15" s="268" t="s">
        <v>35</v>
      </c>
      <c r="J15" s="268" t="s">
        <v>36</v>
      </c>
      <c r="K15" s="317" t="s">
        <v>37</v>
      </c>
      <c r="L15" s="297" t="s">
        <v>47</v>
      </c>
      <c r="M15" s="299"/>
      <c r="N15" s="324" t="s">
        <v>742</v>
      </c>
      <c r="O15" s="300" t="s">
        <v>40</v>
      </c>
      <c r="P15" s="301"/>
      <c r="Q15" s="302"/>
      <c r="R15" s="275">
        <v>950000</v>
      </c>
      <c r="S15" s="162">
        <f>(1075-925)/100</f>
        <v>1.5</v>
      </c>
      <c r="T15" s="265"/>
      <c r="U15" s="273">
        <f>S15*R15*(100-P15)/100</f>
        <v>1425000</v>
      </c>
      <c r="V15" s="347">
        <f>U15</f>
        <v>1425000</v>
      </c>
      <c r="W15" s="90"/>
      <c r="X15" s="91"/>
      <c r="Y15" s="90"/>
    </row>
    <row r="16" spans="1:31" s="82" customFormat="1" ht="26" hidden="1">
      <c r="A16" s="81">
        <f t="shared" si="2"/>
        <v>10</v>
      </c>
      <c r="B16" s="81">
        <v>10</v>
      </c>
      <c r="C16" s="258" t="s">
        <v>743</v>
      </c>
      <c r="D16" s="259" t="s">
        <v>32</v>
      </c>
      <c r="E16" s="258" t="s">
        <v>740</v>
      </c>
      <c r="F16" s="86">
        <v>915</v>
      </c>
      <c r="G16" s="86">
        <v>1130</v>
      </c>
      <c r="H16" s="261" t="s">
        <v>741</v>
      </c>
      <c r="I16" s="140" t="s">
        <v>35</v>
      </c>
      <c r="J16" s="140" t="s">
        <v>36</v>
      </c>
      <c r="K16" s="315" t="s">
        <v>37</v>
      </c>
      <c r="L16" s="297"/>
      <c r="M16" s="132"/>
      <c r="N16" s="325" t="s">
        <v>744</v>
      </c>
      <c r="O16" s="276" t="s">
        <v>174</v>
      </c>
      <c r="P16" s="272"/>
      <c r="Q16" s="298"/>
      <c r="R16" s="275"/>
      <c r="S16" s="162">
        <f t="shared" si="3"/>
        <v>2.15</v>
      </c>
      <c r="T16" s="259"/>
      <c r="U16" s="270">
        <f t="shared" si="0"/>
        <v>0</v>
      </c>
      <c r="V16" s="347">
        <f>U16</f>
        <v>0</v>
      </c>
      <c r="W16" s="90"/>
      <c r="X16" s="91"/>
      <c r="Y16" s="90"/>
    </row>
    <row r="17" spans="1:25" s="82" customFormat="1" ht="26" hidden="1">
      <c r="A17" s="81">
        <f t="shared" si="2"/>
        <v>11</v>
      </c>
      <c r="B17" s="81">
        <v>11</v>
      </c>
      <c r="C17" s="258" t="s">
        <v>745</v>
      </c>
      <c r="D17" s="259" t="s">
        <v>75</v>
      </c>
      <c r="E17" s="258" t="s">
        <v>740</v>
      </c>
      <c r="F17" s="86">
        <v>915</v>
      </c>
      <c r="G17" s="86">
        <v>1130</v>
      </c>
      <c r="H17" s="261" t="s">
        <v>741</v>
      </c>
      <c r="I17" s="140" t="s">
        <v>35</v>
      </c>
      <c r="J17" s="140" t="s">
        <v>36</v>
      </c>
      <c r="K17" s="315" t="s">
        <v>56</v>
      </c>
      <c r="L17" s="297"/>
      <c r="M17" s="132"/>
      <c r="N17" s="325" t="s">
        <v>746</v>
      </c>
      <c r="O17" s="276" t="s">
        <v>174</v>
      </c>
      <c r="P17" s="272"/>
      <c r="Q17" s="274"/>
      <c r="R17" s="275"/>
      <c r="S17" s="162">
        <f t="shared" si="3"/>
        <v>2.15</v>
      </c>
      <c r="T17" s="259"/>
      <c r="U17" s="270">
        <f t="shared" si="0"/>
        <v>0</v>
      </c>
      <c r="V17" s="347">
        <f>U17</f>
        <v>0</v>
      </c>
      <c r="W17" s="90"/>
      <c r="X17" s="91"/>
      <c r="Y17" s="90"/>
    </row>
    <row r="18" spans="1:25" s="82" customFormat="1" ht="26">
      <c r="A18" s="81">
        <f t="shared" si="2"/>
        <v>12</v>
      </c>
      <c r="B18" s="81">
        <v>12</v>
      </c>
      <c r="C18" s="258" t="s">
        <v>747</v>
      </c>
      <c r="D18" s="259" t="s">
        <v>43</v>
      </c>
      <c r="E18" s="258" t="s">
        <v>731</v>
      </c>
      <c r="F18" s="86">
        <v>900</v>
      </c>
      <c r="G18" s="86">
        <v>1200</v>
      </c>
      <c r="H18" s="261" t="s">
        <v>748</v>
      </c>
      <c r="I18" s="140" t="s">
        <v>35</v>
      </c>
      <c r="J18" s="140" t="s">
        <v>36</v>
      </c>
      <c r="K18" s="315" t="s">
        <v>56</v>
      </c>
      <c r="L18" s="297" t="s">
        <v>47</v>
      </c>
      <c r="M18" s="295"/>
      <c r="N18" s="271" t="s">
        <v>749</v>
      </c>
      <c r="O18" s="276" t="s">
        <v>40</v>
      </c>
      <c r="P18" s="272"/>
      <c r="Q18" s="303"/>
      <c r="R18" s="275">
        <v>500000</v>
      </c>
      <c r="S18" s="162">
        <f t="shared" si="3"/>
        <v>3</v>
      </c>
      <c r="T18" s="94"/>
      <c r="U18" s="270">
        <f>S18*R18*(100-P18)/100</f>
        <v>1500000</v>
      </c>
      <c r="V18" s="124">
        <f>U18</f>
        <v>1500000</v>
      </c>
    </row>
    <row r="19" spans="1:25" s="82" customFormat="1" ht="26">
      <c r="A19" s="81">
        <f t="shared" si="2"/>
        <v>13</v>
      </c>
      <c r="B19" s="81">
        <v>13</v>
      </c>
      <c r="C19" s="258" t="s">
        <v>750</v>
      </c>
      <c r="D19" s="259" t="s">
        <v>43</v>
      </c>
      <c r="E19" s="258" t="s">
        <v>740</v>
      </c>
      <c r="F19" s="86">
        <v>1300</v>
      </c>
      <c r="G19" s="86">
        <v>1530</v>
      </c>
      <c r="H19" s="261" t="s">
        <v>748</v>
      </c>
      <c r="I19" s="140" t="s">
        <v>35</v>
      </c>
      <c r="J19" s="140" t="s">
        <v>36</v>
      </c>
      <c r="K19" s="315" t="s">
        <v>56</v>
      </c>
      <c r="L19" s="297" t="s">
        <v>47</v>
      </c>
      <c r="M19" s="352"/>
      <c r="N19" s="271" t="s">
        <v>751</v>
      </c>
      <c r="O19" s="276" t="s">
        <v>40</v>
      </c>
      <c r="P19" s="297"/>
      <c r="Q19" s="274"/>
      <c r="R19" s="275">
        <v>500000</v>
      </c>
      <c r="S19" s="162">
        <f>(1550-F19)/100</f>
        <v>2.5</v>
      </c>
      <c r="T19" s="259"/>
      <c r="U19" s="270">
        <f t="shared" si="0"/>
        <v>1250000</v>
      </c>
      <c r="V19" s="124">
        <f t="shared" ref="V19:V48" si="4">U19</f>
        <v>1250000</v>
      </c>
      <c r="W19" s="90"/>
      <c r="X19" s="91"/>
      <c r="Y19" s="90"/>
    </row>
    <row r="20" spans="1:25" s="82" customFormat="1" ht="26">
      <c r="A20" s="81">
        <f t="shared" si="2"/>
        <v>14</v>
      </c>
      <c r="B20" s="81">
        <v>14</v>
      </c>
      <c r="C20" s="87" t="s">
        <v>752</v>
      </c>
      <c r="D20" s="88" t="s">
        <v>43</v>
      </c>
      <c r="E20" s="87" t="s">
        <v>740</v>
      </c>
      <c r="F20" s="86">
        <v>900</v>
      </c>
      <c r="G20" s="86">
        <v>1100</v>
      </c>
      <c r="H20" s="89" t="s">
        <v>748</v>
      </c>
      <c r="I20" s="140" t="s">
        <v>35</v>
      </c>
      <c r="J20" s="140" t="s">
        <v>36</v>
      </c>
      <c r="K20" s="318" t="s">
        <v>56</v>
      </c>
      <c r="L20" s="412" t="s">
        <v>47</v>
      </c>
      <c r="M20" s="94"/>
      <c r="N20" s="351" t="s">
        <v>753</v>
      </c>
      <c r="O20" s="306" t="s">
        <v>40</v>
      </c>
      <c r="P20" s="304"/>
      <c r="Q20" s="307"/>
      <c r="R20" s="275">
        <v>500000</v>
      </c>
      <c r="S20" s="162">
        <f t="shared" si="3"/>
        <v>2</v>
      </c>
      <c r="T20" s="88"/>
      <c r="U20" s="122">
        <f t="shared" si="0"/>
        <v>1000000</v>
      </c>
      <c r="V20" s="124">
        <f t="shared" si="4"/>
        <v>1000000</v>
      </c>
      <c r="W20" s="90"/>
      <c r="X20" s="91"/>
      <c r="Y20" s="90"/>
    </row>
    <row r="21" spans="1:25" s="82" customFormat="1" hidden="1">
      <c r="A21" s="81">
        <f t="shared" si="2"/>
        <v>15</v>
      </c>
      <c r="B21" s="81">
        <v>15</v>
      </c>
      <c r="C21" s="87" t="s">
        <v>754</v>
      </c>
      <c r="D21" s="88" t="s">
        <v>32</v>
      </c>
      <c r="E21" s="87" t="s">
        <v>724</v>
      </c>
      <c r="F21" s="86">
        <v>1300</v>
      </c>
      <c r="G21" s="86">
        <v>1500</v>
      </c>
      <c r="H21" s="89" t="s">
        <v>755</v>
      </c>
      <c r="I21" s="140" t="s">
        <v>35</v>
      </c>
      <c r="J21" s="140" t="s">
        <v>36</v>
      </c>
      <c r="K21" s="318" t="s">
        <v>167</v>
      </c>
      <c r="L21" s="294" t="s">
        <v>172</v>
      </c>
      <c r="M21" s="354"/>
      <c r="N21" s="305" t="s">
        <v>756</v>
      </c>
      <c r="O21" s="306" t="s">
        <v>40</v>
      </c>
      <c r="P21" s="304"/>
      <c r="Q21" s="298"/>
      <c r="R21" s="275">
        <v>950000</v>
      </c>
      <c r="S21" s="162">
        <f t="shared" si="3"/>
        <v>2</v>
      </c>
      <c r="T21" s="88"/>
      <c r="U21" s="122">
        <f t="shared" si="0"/>
        <v>1900000</v>
      </c>
      <c r="V21" s="124">
        <f t="shared" si="4"/>
        <v>1900000</v>
      </c>
      <c r="W21" s="90"/>
      <c r="X21" s="91"/>
      <c r="Y21" s="90"/>
    </row>
    <row r="22" spans="1:25" s="82" customFormat="1" hidden="1">
      <c r="A22" s="81">
        <f t="shared" si="2"/>
        <v>16</v>
      </c>
      <c r="B22" s="81">
        <v>16</v>
      </c>
      <c r="C22" s="87" t="s">
        <v>757</v>
      </c>
      <c r="D22" s="88" t="s">
        <v>32</v>
      </c>
      <c r="E22" s="87" t="s">
        <v>731</v>
      </c>
      <c r="F22" s="86">
        <v>1300</v>
      </c>
      <c r="G22" s="86">
        <v>1500</v>
      </c>
      <c r="H22" s="89" t="s">
        <v>755</v>
      </c>
      <c r="I22" s="140" t="s">
        <v>35</v>
      </c>
      <c r="J22" s="140" t="s">
        <v>36</v>
      </c>
      <c r="K22" s="318" t="s">
        <v>167</v>
      </c>
      <c r="L22" s="294" t="s">
        <v>172</v>
      </c>
      <c r="M22" s="132"/>
      <c r="N22" s="305" t="s">
        <v>758</v>
      </c>
      <c r="O22" s="306" t="s">
        <v>40</v>
      </c>
      <c r="P22" s="298"/>
      <c r="Q22" s="298"/>
      <c r="R22" s="275">
        <v>950000</v>
      </c>
      <c r="S22" s="162">
        <f t="shared" si="3"/>
        <v>2</v>
      </c>
      <c r="T22" s="94"/>
      <c r="U22" s="122">
        <f t="shared" si="0"/>
        <v>1900000</v>
      </c>
      <c r="V22" s="124">
        <f t="shared" si="4"/>
        <v>1900000</v>
      </c>
    </row>
    <row r="23" spans="1:25" s="82" customFormat="1" ht="26" hidden="1">
      <c r="A23" s="81">
        <f t="shared" si="2"/>
        <v>17</v>
      </c>
      <c r="B23" s="81">
        <v>17</v>
      </c>
      <c r="C23" s="87" t="s">
        <v>759</v>
      </c>
      <c r="D23" s="88" t="s">
        <v>43</v>
      </c>
      <c r="E23" s="87" t="s">
        <v>731</v>
      </c>
      <c r="F23" s="86">
        <v>1500</v>
      </c>
      <c r="G23" s="86">
        <v>1800</v>
      </c>
      <c r="H23" s="89" t="s">
        <v>748</v>
      </c>
      <c r="I23" s="140" t="s">
        <v>35</v>
      </c>
      <c r="J23" s="140" t="s">
        <v>36</v>
      </c>
      <c r="K23" s="318" t="s">
        <v>76</v>
      </c>
      <c r="L23" s="294"/>
      <c r="M23" s="295"/>
      <c r="N23" s="305" t="s">
        <v>760</v>
      </c>
      <c r="O23" s="306" t="s">
        <v>174</v>
      </c>
      <c r="P23" s="304"/>
      <c r="Q23" s="298"/>
      <c r="R23" s="275"/>
      <c r="S23" s="162">
        <f t="shared" si="3"/>
        <v>3</v>
      </c>
      <c r="T23" s="88"/>
      <c r="U23" s="122">
        <f t="shared" si="0"/>
        <v>0</v>
      </c>
      <c r="V23" s="347">
        <f>Q23+((S23-4)*R23)</f>
        <v>0</v>
      </c>
      <c r="W23" s="90"/>
      <c r="X23" s="91"/>
      <c r="Y23" s="90"/>
    </row>
    <row r="24" spans="1:25" s="82" customFormat="1" ht="26">
      <c r="A24" s="81">
        <f t="shared" si="2"/>
        <v>18</v>
      </c>
      <c r="B24" s="81">
        <v>18</v>
      </c>
      <c r="C24" s="258" t="s">
        <v>761</v>
      </c>
      <c r="D24" s="259" t="s">
        <v>43</v>
      </c>
      <c r="E24" s="258" t="s">
        <v>762</v>
      </c>
      <c r="F24" s="86">
        <v>900</v>
      </c>
      <c r="G24" s="86">
        <v>1000</v>
      </c>
      <c r="H24" s="261" t="s">
        <v>748</v>
      </c>
      <c r="I24" s="140" t="s">
        <v>35</v>
      </c>
      <c r="J24" s="140" t="s">
        <v>36</v>
      </c>
      <c r="K24" s="315" t="s">
        <v>76</v>
      </c>
      <c r="L24" s="297" t="s">
        <v>47</v>
      </c>
      <c r="M24" s="132"/>
      <c r="N24" s="271" t="s">
        <v>763</v>
      </c>
      <c r="O24" s="276" t="s">
        <v>40</v>
      </c>
      <c r="P24" s="272"/>
      <c r="Q24" s="274"/>
      <c r="R24" s="275">
        <v>500000</v>
      </c>
      <c r="S24" s="162">
        <f t="shared" si="3"/>
        <v>1</v>
      </c>
      <c r="T24" s="259"/>
      <c r="U24" s="270">
        <f t="shared" si="0"/>
        <v>500000</v>
      </c>
      <c r="V24" s="124">
        <f t="shared" si="4"/>
        <v>500000</v>
      </c>
      <c r="W24" s="90"/>
      <c r="X24" s="91"/>
      <c r="Y24" s="90"/>
    </row>
    <row r="25" spans="1:25" s="82" customFormat="1" ht="39">
      <c r="A25" s="81">
        <f t="shared" si="2"/>
        <v>19</v>
      </c>
      <c r="B25" s="81">
        <v>19</v>
      </c>
      <c r="C25" s="258" t="s">
        <v>764</v>
      </c>
      <c r="D25" s="259" t="s">
        <v>43</v>
      </c>
      <c r="E25" s="258" t="s">
        <v>765</v>
      </c>
      <c r="F25" s="86">
        <v>1700</v>
      </c>
      <c r="G25" s="86">
        <v>1800</v>
      </c>
      <c r="H25" s="261" t="s">
        <v>766</v>
      </c>
      <c r="I25" s="140" t="s">
        <v>259</v>
      </c>
      <c r="J25" s="140" t="s">
        <v>36</v>
      </c>
      <c r="K25" s="315" t="s">
        <v>76</v>
      </c>
      <c r="L25" s="297" t="s">
        <v>255</v>
      </c>
      <c r="M25" s="295" t="s">
        <v>767</v>
      </c>
      <c r="N25" s="325" t="s">
        <v>768</v>
      </c>
      <c r="O25" s="276" t="s">
        <v>40</v>
      </c>
      <c r="P25" s="298"/>
      <c r="Q25" s="437"/>
      <c r="R25" s="275">
        <v>500000</v>
      </c>
      <c r="S25" s="162">
        <f t="shared" si="3"/>
        <v>1</v>
      </c>
      <c r="T25" s="94"/>
      <c r="U25" s="270">
        <f t="shared" si="0"/>
        <v>500000</v>
      </c>
      <c r="V25" s="347">
        <f>U25</f>
        <v>500000</v>
      </c>
    </row>
    <row r="26" spans="1:25" s="82" customFormat="1" ht="39" hidden="1">
      <c r="A26" s="81">
        <f t="shared" si="2"/>
        <v>20</v>
      </c>
      <c r="B26" s="81">
        <v>20</v>
      </c>
      <c r="C26" s="258" t="s">
        <v>769</v>
      </c>
      <c r="D26" s="259" t="s">
        <v>43</v>
      </c>
      <c r="E26" s="258" t="s">
        <v>740</v>
      </c>
      <c r="F26" s="86">
        <v>1030</v>
      </c>
      <c r="G26" s="86">
        <v>1130</v>
      </c>
      <c r="H26" s="261" t="s">
        <v>770</v>
      </c>
      <c r="I26" s="140" t="s">
        <v>35</v>
      </c>
      <c r="J26" s="140" t="s">
        <v>36</v>
      </c>
      <c r="K26" s="315" t="s">
        <v>76</v>
      </c>
      <c r="L26" s="297"/>
      <c r="M26" s="132"/>
      <c r="N26" s="325" t="s">
        <v>771</v>
      </c>
      <c r="O26" s="276" t="s">
        <v>174</v>
      </c>
      <c r="P26" s="298"/>
      <c r="Q26" s="274"/>
      <c r="R26" s="275"/>
      <c r="S26" s="162">
        <f t="shared" si="3"/>
        <v>1</v>
      </c>
      <c r="T26" s="259"/>
      <c r="U26" s="270">
        <f t="shared" si="0"/>
        <v>0</v>
      </c>
      <c r="V26" s="347">
        <f t="shared" si="4"/>
        <v>0</v>
      </c>
      <c r="W26" s="90"/>
      <c r="X26" s="91"/>
      <c r="Y26" s="90"/>
    </row>
    <row r="27" spans="1:25" s="82" customFormat="1" ht="39" hidden="1">
      <c r="A27" s="81">
        <f t="shared" si="2"/>
        <v>21</v>
      </c>
      <c r="B27" s="81">
        <v>21</v>
      </c>
      <c r="C27" s="258" t="s">
        <v>772</v>
      </c>
      <c r="D27" s="259" t="s">
        <v>43</v>
      </c>
      <c r="E27" s="258" t="s">
        <v>740</v>
      </c>
      <c r="F27" s="86">
        <v>900</v>
      </c>
      <c r="G27" s="86">
        <v>1000</v>
      </c>
      <c r="H27" s="261" t="s">
        <v>770</v>
      </c>
      <c r="I27" s="140" t="s">
        <v>35</v>
      </c>
      <c r="J27" s="140" t="s">
        <v>36</v>
      </c>
      <c r="K27" s="315" t="s">
        <v>76</v>
      </c>
      <c r="L27" s="297"/>
      <c r="M27" s="132"/>
      <c r="N27" s="448" t="s">
        <v>773</v>
      </c>
      <c r="O27" s="276" t="s">
        <v>174</v>
      </c>
      <c r="P27" s="298"/>
      <c r="Q27" s="298"/>
      <c r="R27" s="275"/>
      <c r="S27" s="162">
        <f t="shared" si="3"/>
        <v>1</v>
      </c>
      <c r="T27" s="94"/>
      <c r="U27" s="270">
        <f t="shared" si="0"/>
        <v>0</v>
      </c>
      <c r="V27" s="347">
        <f t="shared" si="4"/>
        <v>0</v>
      </c>
    </row>
    <row r="28" spans="1:25" s="82" customFormat="1" ht="26">
      <c r="A28" s="81">
        <f t="shared" si="2"/>
        <v>22</v>
      </c>
      <c r="B28" s="81">
        <v>22</v>
      </c>
      <c r="C28" s="87" t="s">
        <v>774</v>
      </c>
      <c r="D28" s="88" t="s">
        <v>43</v>
      </c>
      <c r="E28" s="87" t="s">
        <v>762</v>
      </c>
      <c r="F28" s="86">
        <v>1530</v>
      </c>
      <c r="G28" s="86">
        <v>1730</v>
      </c>
      <c r="H28" s="89" t="s">
        <v>775</v>
      </c>
      <c r="I28" s="140" t="s">
        <v>35</v>
      </c>
      <c r="J28" s="140" t="s">
        <v>36</v>
      </c>
      <c r="K28" s="318" t="s">
        <v>76</v>
      </c>
      <c r="L28" s="294" t="s">
        <v>47</v>
      </c>
      <c r="M28" s="132"/>
      <c r="N28" s="344" t="s">
        <v>776</v>
      </c>
      <c r="O28" s="306" t="s">
        <v>40</v>
      </c>
      <c r="P28" s="304"/>
      <c r="Q28" s="298"/>
      <c r="R28" s="275">
        <v>500000</v>
      </c>
      <c r="S28" s="162">
        <f t="shared" si="3"/>
        <v>2</v>
      </c>
      <c r="T28" s="88"/>
      <c r="U28" s="122">
        <f t="shared" si="0"/>
        <v>1000000</v>
      </c>
      <c r="V28" s="124">
        <f t="shared" si="4"/>
        <v>1000000</v>
      </c>
      <c r="W28" s="90"/>
      <c r="X28" s="91"/>
      <c r="Y28" s="90"/>
    </row>
    <row r="29" spans="1:25" s="82" customFormat="1" hidden="1">
      <c r="A29" s="81">
        <f t="shared" si="2"/>
        <v>23</v>
      </c>
      <c r="B29" s="81">
        <v>23</v>
      </c>
      <c r="C29" s="258" t="s">
        <v>777</v>
      </c>
      <c r="D29" s="259" t="s">
        <v>32</v>
      </c>
      <c r="E29" s="258" t="s">
        <v>731</v>
      </c>
      <c r="F29" s="86">
        <v>1230</v>
      </c>
      <c r="G29" s="86">
        <v>1500</v>
      </c>
      <c r="H29" s="261" t="s">
        <v>755</v>
      </c>
      <c r="I29" s="140" t="s">
        <v>35</v>
      </c>
      <c r="J29" s="140" t="s">
        <v>36</v>
      </c>
      <c r="K29" s="315" t="s">
        <v>167</v>
      </c>
      <c r="L29" s="297"/>
      <c r="M29" s="295"/>
      <c r="N29" s="448" t="s">
        <v>778</v>
      </c>
      <c r="O29" s="276" t="s">
        <v>174</v>
      </c>
      <c r="P29" s="272"/>
      <c r="Q29" s="303"/>
      <c r="R29" s="437"/>
      <c r="S29" s="162">
        <f t="shared" si="3"/>
        <v>2.7</v>
      </c>
      <c r="T29" s="94"/>
      <c r="U29" s="270">
        <f t="shared" si="0"/>
        <v>0</v>
      </c>
      <c r="V29" s="347">
        <f t="shared" si="4"/>
        <v>0</v>
      </c>
    </row>
    <row r="30" spans="1:25" s="82" customFormat="1" ht="13" hidden="1">
      <c r="A30" s="81">
        <f t="shared" si="2"/>
        <v>24</v>
      </c>
      <c r="B30" s="81">
        <v>24</v>
      </c>
      <c r="C30" s="258" t="s">
        <v>779</v>
      </c>
      <c r="D30" s="259" t="s">
        <v>32</v>
      </c>
      <c r="E30" s="258" t="s">
        <v>724</v>
      </c>
      <c r="F30" s="86">
        <v>1200</v>
      </c>
      <c r="G30" s="86">
        <v>1600</v>
      </c>
      <c r="H30" s="261" t="s">
        <v>755</v>
      </c>
      <c r="I30" s="140" t="s">
        <v>35</v>
      </c>
      <c r="J30" s="140" t="s">
        <v>36</v>
      </c>
      <c r="K30" s="315" t="s">
        <v>167</v>
      </c>
      <c r="L30" s="297"/>
      <c r="M30" s="132"/>
      <c r="N30" s="278" t="s">
        <v>780</v>
      </c>
      <c r="O30" s="276" t="s">
        <v>174</v>
      </c>
      <c r="P30" s="298"/>
      <c r="Q30" s="303"/>
      <c r="R30" s="275"/>
      <c r="S30" s="162">
        <f t="shared" si="3"/>
        <v>4</v>
      </c>
      <c r="T30" s="259"/>
      <c r="U30" s="270">
        <f>S30*R30*(100-P30)/100</f>
        <v>0</v>
      </c>
      <c r="V30" s="347">
        <f t="shared" si="4"/>
        <v>0</v>
      </c>
      <c r="W30" s="90"/>
      <c r="X30" s="91"/>
      <c r="Y30" s="90"/>
    </row>
    <row r="31" spans="1:25" s="82" customFormat="1" ht="26">
      <c r="A31" s="81">
        <f t="shared" si="2"/>
        <v>25</v>
      </c>
      <c r="B31" s="81">
        <v>25</v>
      </c>
      <c r="C31" s="258" t="s">
        <v>781</v>
      </c>
      <c r="D31" s="259" t="s">
        <v>43</v>
      </c>
      <c r="E31" s="258" t="s">
        <v>782</v>
      </c>
      <c r="F31" s="86">
        <v>1000</v>
      </c>
      <c r="G31" s="86">
        <v>1200</v>
      </c>
      <c r="H31" s="261" t="s">
        <v>783</v>
      </c>
      <c r="I31" s="140" t="s">
        <v>35</v>
      </c>
      <c r="J31" s="140" t="s">
        <v>36</v>
      </c>
      <c r="K31" s="315" t="s">
        <v>56</v>
      </c>
      <c r="L31" s="297" t="s">
        <v>47</v>
      </c>
      <c r="M31" s="295"/>
      <c r="N31" s="451" t="s">
        <v>784</v>
      </c>
      <c r="O31" s="276" t="s">
        <v>40</v>
      </c>
      <c r="P31" s="298"/>
      <c r="Q31" s="308"/>
      <c r="R31" s="275">
        <v>500000</v>
      </c>
      <c r="S31" s="162">
        <f t="shared" si="3"/>
        <v>2</v>
      </c>
      <c r="T31" s="259"/>
      <c r="U31" s="270">
        <f t="shared" si="0"/>
        <v>1000000</v>
      </c>
      <c r="V31" s="124">
        <f t="shared" si="4"/>
        <v>1000000</v>
      </c>
      <c r="W31" s="90"/>
      <c r="X31" s="91"/>
      <c r="Y31" s="90"/>
    </row>
    <row r="32" spans="1:25" s="82" customFormat="1" ht="26" hidden="1">
      <c r="A32" s="81">
        <f t="shared" si="2"/>
        <v>26</v>
      </c>
      <c r="B32" s="81">
        <v>26</v>
      </c>
      <c r="C32" s="258" t="s">
        <v>785</v>
      </c>
      <c r="D32" s="259" t="s">
        <v>43</v>
      </c>
      <c r="E32" s="258" t="s">
        <v>720</v>
      </c>
      <c r="F32" s="86">
        <v>900</v>
      </c>
      <c r="G32" s="86">
        <v>1700</v>
      </c>
      <c r="H32" s="261" t="s">
        <v>732</v>
      </c>
      <c r="I32" s="140" t="s">
        <v>35</v>
      </c>
      <c r="J32" s="140" t="s">
        <v>36</v>
      </c>
      <c r="K32" s="315" t="s">
        <v>133</v>
      </c>
      <c r="L32" s="297"/>
      <c r="M32" s="132"/>
      <c r="N32" s="448" t="s">
        <v>786</v>
      </c>
      <c r="O32" s="276" t="s">
        <v>174</v>
      </c>
      <c r="P32" s="272"/>
      <c r="Q32" s="275"/>
      <c r="R32" s="275"/>
      <c r="S32" s="162">
        <f t="shared" si="3"/>
        <v>8</v>
      </c>
      <c r="T32" s="259"/>
      <c r="U32" s="270">
        <f>S32*R32*(100-P32)/100</f>
        <v>0</v>
      </c>
      <c r="V32" s="347">
        <f t="shared" si="4"/>
        <v>0</v>
      </c>
      <c r="W32" s="90"/>
      <c r="X32" s="91"/>
      <c r="Y32" s="90"/>
    </row>
    <row r="33" spans="1:25" s="82" customFormat="1" ht="14" hidden="1">
      <c r="A33" s="81">
        <f t="shared" si="2"/>
        <v>27</v>
      </c>
      <c r="B33" s="81">
        <v>27</v>
      </c>
      <c r="C33" s="258" t="s">
        <v>787</v>
      </c>
      <c r="D33" s="259" t="s">
        <v>32</v>
      </c>
      <c r="E33" s="258" t="s">
        <v>788</v>
      </c>
      <c r="F33" s="86">
        <v>1800</v>
      </c>
      <c r="G33" s="86">
        <v>1900</v>
      </c>
      <c r="H33" s="261" t="s">
        <v>139</v>
      </c>
      <c r="I33" s="140" t="s">
        <v>35</v>
      </c>
      <c r="J33" s="140" t="s">
        <v>36</v>
      </c>
      <c r="K33" s="315" t="s">
        <v>37</v>
      </c>
      <c r="L33" s="297" t="s">
        <v>112</v>
      </c>
      <c r="M33" s="132"/>
      <c r="N33" s="278" t="s">
        <v>789</v>
      </c>
      <c r="O33" s="276" t="s">
        <v>40</v>
      </c>
      <c r="P33" s="272"/>
      <c r="Q33" s="298"/>
      <c r="R33" s="275">
        <v>950000</v>
      </c>
      <c r="S33" s="162">
        <f t="shared" si="3"/>
        <v>1</v>
      </c>
      <c r="T33" s="259"/>
      <c r="U33" s="270">
        <f>S33*R33*(100-P33)/100</f>
        <v>950000</v>
      </c>
      <c r="V33" s="124">
        <f t="shared" si="4"/>
        <v>950000</v>
      </c>
      <c r="W33" s="90"/>
      <c r="X33" s="91"/>
      <c r="Y33" s="90"/>
    </row>
    <row r="34" spans="1:25" s="82" customFormat="1" ht="26">
      <c r="A34" s="81">
        <f t="shared" si="2"/>
        <v>28</v>
      </c>
      <c r="B34" s="81">
        <v>28</v>
      </c>
      <c r="C34" s="258" t="s">
        <v>790</v>
      </c>
      <c r="D34" s="259" t="s">
        <v>75</v>
      </c>
      <c r="E34" s="258" t="s">
        <v>762</v>
      </c>
      <c r="F34" s="86">
        <v>900</v>
      </c>
      <c r="G34" s="86">
        <v>1800</v>
      </c>
      <c r="H34" s="261" t="s">
        <v>791</v>
      </c>
      <c r="I34" s="140" t="s">
        <v>35</v>
      </c>
      <c r="J34" s="140" t="s">
        <v>36</v>
      </c>
      <c r="K34" s="315" t="s">
        <v>76</v>
      </c>
      <c r="L34" s="297" t="s">
        <v>47</v>
      </c>
      <c r="M34" s="132"/>
      <c r="N34" s="278" t="s">
        <v>792</v>
      </c>
      <c r="O34" s="276" t="s">
        <v>40</v>
      </c>
      <c r="P34" s="297"/>
      <c r="Q34" s="298">
        <f>R34*6</f>
        <v>3000000</v>
      </c>
      <c r="R34" s="275">
        <v>500000</v>
      </c>
      <c r="S34" s="162">
        <f t="shared" si="3"/>
        <v>9</v>
      </c>
      <c r="T34" s="259"/>
      <c r="U34" s="270">
        <f>S34*R34*(100-P34)/100</f>
        <v>4500000</v>
      </c>
      <c r="V34" s="386">
        <f>Q34+((S34-8)*R34)</f>
        <v>3500000</v>
      </c>
      <c r="W34" s="90"/>
      <c r="X34" s="91"/>
      <c r="Y34" s="90"/>
    </row>
    <row r="35" spans="1:25" s="82" customFormat="1" ht="26">
      <c r="A35" s="81">
        <f t="shared" si="2"/>
        <v>29</v>
      </c>
      <c r="B35" s="81">
        <v>29</v>
      </c>
      <c r="C35" s="258" t="s">
        <v>793</v>
      </c>
      <c r="D35" s="259" t="s">
        <v>75</v>
      </c>
      <c r="E35" s="258" t="s">
        <v>765</v>
      </c>
      <c r="F35" s="86">
        <v>900</v>
      </c>
      <c r="G35" s="86">
        <v>1800</v>
      </c>
      <c r="H35" s="261" t="s">
        <v>791</v>
      </c>
      <c r="I35" s="140" t="s">
        <v>35</v>
      </c>
      <c r="J35" s="140" t="s">
        <v>36</v>
      </c>
      <c r="K35" s="315" t="s">
        <v>76</v>
      </c>
      <c r="L35" s="297" t="s">
        <v>47</v>
      </c>
      <c r="M35" s="132"/>
      <c r="N35" s="278" t="s">
        <v>794</v>
      </c>
      <c r="O35" s="276" t="s">
        <v>40</v>
      </c>
      <c r="P35" s="297"/>
      <c r="Q35" s="298">
        <f t="shared" ref="Q35:Q36" si="5">R35*6</f>
        <v>3000000</v>
      </c>
      <c r="R35" s="275">
        <v>500000</v>
      </c>
      <c r="S35" s="162">
        <f t="shared" si="3"/>
        <v>9</v>
      </c>
      <c r="T35" s="259"/>
      <c r="U35" s="270">
        <f>S35*R35*(100-P35)/100</f>
        <v>4500000</v>
      </c>
      <c r="V35" s="386">
        <f>Q35+((S35-8)*R35)</f>
        <v>3500000</v>
      </c>
      <c r="W35" s="90"/>
      <c r="X35" s="91"/>
      <c r="Y35" s="90"/>
    </row>
    <row r="36" spans="1:25" s="82" customFormat="1" ht="26">
      <c r="A36" s="81">
        <f t="shared" si="2"/>
        <v>30</v>
      </c>
      <c r="B36" s="81">
        <v>30</v>
      </c>
      <c r="C36" s="258" t="s">
        <v>795</v>
      </c>
      <c r="D36" s="259" t="s">
        <v>75</v>
      </c>
      <c r="E36" s="269" t="s">
        <v>782</v>
      </c>
      <c r="F36" s="86">
        <v>900</v>
      </c>
      <c r="G36" s="86">
        <v>1800</v>
      </c>
      <c r="H36" s="261" t="s">
        <v>791</v>
      </c>
      <c r="I36" s="140" t="s">
        <v>35</v>
      </c>
      <c r="J36" s="140" t="s">
        <v>36</v>
      </c>
      <c r="K36" s="315" t="s">
        <v>76</v>
      </c>
      <c r="L36" s="297" t="s">
        <v>47</v>
      </c>
      <c r="M36" s="132"/>
      <c r="N36" s="277" t="s">
        <v>796</v>
      </c>
      <c r="O36" s="276" t="s">
        <v>40</v>
      </c>
      <c r="P36" s="297"/>
      <c r="Q36" s="298">
        <f t="shared" si="5"/>
        <v>3000000</v>
      </c>
      <c r="R36" s="275">
        <v>500000</v>
      </c>
      <c r="S36" s="162">
        <f t="shared" si="3"/>
        <v>9</v>
      </c>
      <c r="T36" s="259"/>
      <c r="U36" s="270">
        <f>S36*R36*(100-P36)/100</f>
        <v>4500000</v>
      </c>
      <c r="V36" s="386">
        <f>Q36+((S36-8)*R36)</f>
        <v>3500000</v>
      </c>
      <c r="W36" s="90"/>
      <c r="X36" s="91"/>
      <c r="Y36" s="90"/>
    </row>
    <row r="37" spans="1:25" s="82" customFormat="1" ht="26" hidden="1">
      <c r="A37" s="81">
        <f t="shared" si="2"/>
        <v>31</v>
      </c>
      <c r="B37" s="81">
        <v>31</v>
      </c>
      <c r="C37" s="258" t="s">
        <v>797</v>
      </c>
      <c r="D37" s="259" t="s">
        <v>32</v>
      </c>
      <c r="E37" s="258" t="s">
        <v>798</v>
      </c>
      <c r="F37" s="86">
        <v>1500</v>
      </c>
      <c r="G37" s="86">
        <v>1700</v>
      </c>
      <c r="H37" s="261" t="s">
        <v>799</v>
      </c>
      <c r="I37" s="140" t="s">
        <v>35</v>
      </c>
      <c r="J37" s="140" t="s">
        <v>36</v>
      </c>
      <c r="K37" s="315" t="s">
        <v>37</v>
      </c>
      <c r="L37" s="297" t="s">
        <v>47</v>
      </c>
      <c r="M37" s="295"/>
      <c r="N37" s="448" t="s">
        <v>800</v>
      </c>
      <c r="O37" s="276" t="s">
        <v>40</v>
      </c>
      <c r="P37" s="272"/>
      <c r="Q37" s="298"/>
      <c r="R37" s="275">
        <v>950000</v>
      </c>
      <c r="S37" s="162">
        <f t="shared" si="3"/>
        <v>2</v>
      </c>
      <c r="T37" s="259"/>
      <c r="U37" s="270">
        <f t="shared" ref="U37:U66" si="6">S37*R37*(100-P37)/100</f>
        <v>1900000</v>
      </c>
      <c r="V37" s="347">
        <f t="shared" si="4"/>
        <v>1900000</v>
      </c>
      <c r="W37" s="90"/>
      <c r="X37" s="91"/>
      <c r="Y37" s="90"/>
    </row>
    <row r="38" spans="1:25" s="82" customFormat="1" ht="26" hidden="1">
      <c r="A38" s="81">
        <f t="shared" si="2"/>
        <v>32</v>
      </c>
      <c r="B38" s="81">
        <v>32</v>
      </c>
      <c r="C38" s="258" t="s">
        <v>801</v>
      </c>
      <c r="D38" s="259" t="s">
        <v>32</v>
      </c>
      <c r="E38" s="258" t="s">
        <v>802</v>
      </c>
      <c r="F38" s="86">
        <v>1500</v>
      </c>
      <c r="G38" s="86">
        <v>1700</v>
      </c>
      <c r="H38" s="261" t="s">
        <v>799</v>
      </c>
      <c r="I38" s="140" t="s">
        <v>35</v>
      </c>
      <c r="J38" s="140" t="s">
        <v>36</v>
      </c>
      <c r="K38" s="315" t="s">
        <v>37</v>
      </c>
      <c r="L38" s="297"/>
      <c r="M38" s="295"/>
      <c r="N38" s="448" t="s">
        <v>803</v>
      </c>
      <c r="O38" s="276" t="s">
        <v>174</v>
      </c>
      <c r="P38" s="272"/>
      <c r="Q38" s="298"/>
      <c r="R38" s="275"/>
      <c r="S38" s="162">
        <f t="shared" si="3"/>
        <v>2</v>
      </c>
      <c r="T38" s="259"/>
      <c r="U38" s="270">
        <f t="shared" si="6"/>
        <v>0</v>
      </c>
      <c r="V38" s="347">
        <f t="shared" si="4"/>
        <v>0</v>
      </c>
      <c r="W38" s="90"/>
      <c r="X38" s="91"/>
      <c r="Y38" s="90"/>
    </row>
    <row r="39" spans="1:25" s="82" customFormat="1" ht="26" hidden="1">
      <c r="A39" s="81">
        <f t="shared" si="2"/>
        <v>33</v>
      </c>
      <c r="B39" s="81">
        <v>33</v>
      </c>
      <c r="C39" s="258" t="s">
        <v>804</v>
      </c>
      <c r="D39" s="259" t="s">
        <v>75</v>
      </c>
      <c r="E39" s="258" t="s">
        <v>798</v>
      </c>
      <c r="F39" s="86">
        <v>1500</v>
      </c>
      <c r="G39" s="86">
        <v>1700</v>
      </c>
      <c r="H39" s="261" t="s">
        <v>799</v>
      </c>
      <c r="I39" s="140" t="s">
        <v>35</v>
      </c>
      <c r="J39" s="140" t="s">
        <v>36</v>
      </c>
      <c r="K39" s="315" t="s">
        <v>37</v>
      </c>
      <c r="L39" s="297"/>
      <c r="M39" s="295"/>
      <c r="N39" s="277" t="s">
        <v>805</v>
      </c>
      <c r="O39" s="276" t="s">
        <v>174</v>
      </c>
      <c r="P39" s="272"/>
      <c r="Q39" s="298"/>
      <c r="R39" s="437"/>
      <c r="S39" s="162">
        <f t="shared" si="3"/>
        <v>2</v>
      </c>
      <c r="T39" s="259"/>
      <c r="U39" s="270">
        <f t="shared" si="6"/>
        <v>0</v>
      </c>
      <c r="V39" s="347">
        <f t="shared" si="4"/>
        <v>0</v>
      </c>
      <c r="W39" s="90"/>
      <c r="X39" s="90"/>
      <c r="Y39" s="90"/>
    </row>
    <row r="40" spans="1:25" s="82" customFormat="1" ht="26">
      <c r="A40" s="81">
        <f t="shared" si="2"/>
        <v>34</v>
      </c>
      <c r="B40" s="81">
        <v>34</v>
      </c>
      <c r="C40" s="258" t="s">
        <v>806</v>
      </c>
      <c r="D40" s="259" t="s">
        <v>75</v>
      </c>
      <c r="E40" s="258" t="s">
        <v>802</v>
      </c>
      <c r="F40" s="86">
        <v>1630</v>
      </c>
      <c r="G40" s="86">
        <v>1830</v>
      </c>
      <c r="H40" s="261" t="s">
        <v>799</v>
      </c>
      <c r="I40" s="140" t="s">
        <v>35</v>
      </c>
      <c r="J40" s="140" t="s">
        <v>36</v>
      </c>
      <c r="K40" s="315" t="s">
        <v>76</v>
      </c>
      <c r="L40" s="297" t="s">
        <v>47</v>
      </c>
      <c r="M40" s="295"/>
      <c r="N40" s="448" t="s">
        <v>807</v>
      </c>
      <c r="O40" s="276" t="s">
        <v>40</v>
      </c>
      <c r="P40" s="272"/>
      <c r="Q40" s="298"/>
      <c r="R40" s="275">
        <v>500000</v>
      </c>
      <c r="S40" s="162">
        <f t="shared" si="3"/>
        <v>2</v>
      </c>
      <c r="T40" s="94"/>
      <c r="U40" s="270">
        <f t="shared" si="6"/>
        <v>1000000</v>
      </c>
      <c r="V40" s="124">
        <f t="shared" si="4"/>
        <v>1000000</v>
      </c>
    </row>
    <row r="41" spans="1:25" s="82" customFormat="1" ht="26">
      <c r="A41" s="81">
        <f t="shared" si="2"/>
        <v>35</v>
      </c>
      <c r="B41" s="81">
        <v>35</v>
      </c>
      <c r="C41" s="258" t="s">
        <v>808</v>
      </c>
      <c r="D41" s="259" t="s">
        <v>43</v>
      </c>
      <c r="E41" s="258" t="s">
        <v>802</v>
      </c>
      <c r="F41" s="86">
        <v>1630</v>
      </c>
      <c r="G41" s="86">
        <v>1830</v>
      </c>
      <c r="H41" s="261" t="s">
        <v>799</v>
      </c>
      <c r="I41" s="140" t="s">
        <v>35</v>
      </c>
      <c r="J41" s="140" t="s">
        <v>36</v>
      </c>
      <c r="K41" s="315" t="s">
        <v>76</v>
      </c>
      <c r="L41" s="297" t="s">
        <v>47</v>
      </c>
      <c r="M41" s="295"/>
      <c r="N41" s="451" t="s">
        <v>809</v>
      </c>
      <c r="O41" s="276" t="s">
        <v>40</v>
      </c>
      <c r="P41" s="357"/>
      <c r="Q41" s="298"/>
      <c r="R41" s="275">
        <v>500000</v>
      </c>
      <c r="S41" s="162">
        <f t="shared" si="3"/>
        <v>2</v>
      </c>
      <c r="T41" s="94"/>
      <c r="U41" s="270">
        <f t="shared" si="6"/>
        <v>1000000</v>
      </c>
      <c r="V41" s="124">
        <f t="shared" si="4"/>
        <v>1000000</v>
      </c>
    </row>
    <row r="42" spans="1:25" s="82" customFormat="1" ht="39">
      <c r="A42" s="81">
        <f t="shared" si="2"/>
        <v>36</v>
      </c>
      <c r="B42" s="81">
        <v>36</v>
      </c>
      <c r="C42" s="258" t="s">
        <v>810</v>
      </c>
      <c r="D42" s="259" t="s">
        <v>43</v>
      </c>
      <c r="E42" s="258" t="s">
        <v>765</v>
      </c>
      <c r="F42" s="86">
        <v>1315</v>
      </c>
      <c r="G42" s="86">
        <v>1430</v>
      </c>
      <c r="H42" s="261" t="s">
        <v>811</v>
      </c>
      <c r="I42" s="140" t="s">
        <v>35</v>
      </c>
      <c r="J42" s="140" t="s">
        <v>36</v>
      </c>
      <c r="K42" s="315" t="s">
        <v>76</v>
      </c>
      <c r="L42" s="297" t="s">
        <v>255</v>
      </c>
      <c r="M42" s="295" t="s">
        <v>812</v>
      </c>
      <c r="N42" s="278" t="s">
        <v>813</v>
      </c>
      <c r="O42" s="276" t="s">
        <v>40</v>
      </c>
      <c r="P42" s="272"/>
      <c r="Q42" s="298"/>
      <c r="R42" s="275">
        <v>500000</v>
      </c>
      <c r="S42" s="162">
        <f>(1450-1325)/100</f>
        <v>1.25</v>
      </c>
      <c r="T42" s="94"/>
      <c r="U42" s="270">
        <f t="shared" si="6"/>
        <v>625000</v>
      </c>
      <c r="V42" s="347">
        <f>U42</f>
        <v>625000</v>
      </c>
    </row>
    <row r="43" spans="1:25" s="82" customFormat="1" hidden="1">
      <c r="A43" s="81">
        <f t="shared" si="2"/>
        <v>37</v>
      </c>
      <c r="B43" s="81">
        <v>37</v>
      </c>
      <c r="C43" s="258" t="s">
        <v>814</v>
      </c>
      <c r="D43" s="259" t="s">
        <v>43</v>
      </c>
      <c r="E43" s="258" t="s">
        <v>815</v>
      </c>
      <c r="F43" s="86">
        <v>900</v>
      </c>
      <c r="G43" s="86">
        <v>1130</v>
      </c>
      <c r="H43" s="261" t="s">
        <v>816</v>
      </c>
      <c r="I43" s="140" t="s">
        <v>35</v>
      </c>
      <c r="J43" s="140" t="s">
        <v>36</v>
      </c>
      <c r="K43" s="315" t="s">
        <v>76</v>
      </c>
      <c r="L43" s="297" t="s">
        <v>89</v>
      </c>
      <c r="M43" s="295"/>
      <c r="N43" s="451">
        <v>45266.641365740739</v>
      </c>
      <c r="O43" s="276" t="s">
        <v>40</v>
      </c>
      <c r="P43" s="279"/>
      <c r="Q43" s="298"/>
      <c r="R43" s="275"/>
      <c r="S43" s="162">
        <f t="shared" si="3"/>
        <v>2.2999999999999998</v>
      </c>
      <c r="T43" s="46"/>
      <c r="U43" s="270">
        <f t="shared" si="6"/>
        <v>0</v>
      </c>
      <c r="V43" s="347">
        <f t="shared" si="4"/>
        <v>0</v>
      </c>
    </row>
    <row r="44" spans="1:25" s="82" customFormat="1" ht="26">
      <c r="A44" s="81">
        <f t="shared" si="2"/>
        <v>38</v>
      </c>
      <c r="B44" s="81">
        <v>38</v>
      </c>
      <c r="C44" s="258" t="s">
        <v>817</v>
      </c>
      <c r="D44" s="259" t="s">
        <v>75</v>
      </c>
      <c r="E44" s="258" t="s">
        <v>815</v>
      </c>
      <c r="F44" s="86">
        <v>1400</v>
      </c>
      <c r="G44" s="86">
        <v>1600</v>
      </c>
      <c r="H44" s="261" t="s">
        <v>818</v>
      </c>
      <c r="I44" s="261" t="s">
        <v>35</v>
      </c>
      <c r="J44" s="261" t="s">
        <v>36</v>
      </c>
      <c r="K44" s="315" t="s">
        <v>76</v>
      </c>
      <c r="L44" s="297" t="s">
        <v>47</v>
      </c>
      <c r="M44" s="132"/>
      <c r="N44" s="280" t="s">
        <v>819</v>
      </c>
      <c r="O44" s="276" t="s">
        <v>40</v>
      </c>
      <c r="P44" s="297"/>
      <c r="Q44" s="298"/>
      <c r="R44" s="275">
        <v>500000</v>
      </c>
      <c r="S44" s="162">
        <f t="shared" si="3"/>
        <v>2</v>
      </c>
      <c r="T44" s="259"/>
      <c r="U44" s="270">
        <f t="shared" si="6"/>
        <v>1000000</v>
      </c>
      <c r="V44" s="124">
        <f t="shared" si="4"/>
        <v>1000000</v>
      </c>
      <c r="W44" s="90"/>
      <c r="X44" s="91"/>
      <c r="Y44" s="90"/>
    </row>
    <row r="45" spans="1:25" s="82" customFormat="1" ht="13">
      <c r="A45" s="81">
        <f t="shared" si="2"/>
        <v>39</v>
      </c>
      <c r="B45" s="81">
        <v>39</v>
      </c>
      <c r="C45" s="258" t="s">
        <v>820</v>
      </c>
      <c r="D45" s="259" t="s">
        <v>43</v>
      </c>
      <c r="E45" s="258" t="s">
        <v>798</v>
      </c>
      <c r="F45" s="86">
        <v>1530</v>
      </c>
      <c r="G45" s="86">
        <v>1630</v>
      </c>
      <c r="H45" s="261" t="s">
        <v>97</v>
      </c>
      <c r="I45" s="261" t="s">
        <v>35</v>
      </c>
      <c r="J45" s="261" t="s">
        <v>36</v>
      </c>
      <c r="K45" s="315" t="s">
        <v>133</v>
      </c>
      <c r="L45" s="297" t="s">
        <v>72</v>
      </c>
      <c r="M45" s="309"/>
      <c r="N45" s="280" t="s">
        <v>821</v>
      </c>
      <c r="O45" s="276" t="s">
        <v>40</v>
      </c>
      <c r="P45" s="297"/>
      <c r="Q45" s="275"/>
      <c r="R45" s="275">
        <v>500000</v>
      </c>
      <c r="S45" s="162">
        <f t="shared" si="3"/>
        <v>1</v>
      </c>
      <c r="T45" s="259"/>
      <c r="U45" s="122">
        <f t="shared" si="6"/>
        <v>500000</v>
      </c>
      <c r="V45" s="347">
        <f t="shared" si="4"/>
        <v>500000</v>
      </c>
      <c r="W45" s="90"/>
      <c r="X45" s="91"/>
      <c r="Y45" s="90"/>
    </row>
    <row r="46" spans="1:25" s="82" customFormat="1" ht="13">
      <c r="A46" s="81">
        <f t="shared" si="2"/>
        <v>40</v>
      </c>
      <c r="B46" s="81">
        <v>40</v>
      </c>
      <c r="C46" s="94">
        <v>4199</v>
      </c>
      <c r="D46" s="94" t="s">
        <v>43</v>
      </c>
      <c r="E46" s="139" t="s">
        <v>815</v>
      </c>
      <c r="F46" s="96">
        <v>1530</v>
      </c>
      <c r="G46" s="96">
        <v>1630</v>
      </c>
      <c r="H46" s="95" t="s">
        <v>822</v>
      </c>
      <c r="I46" s="140" t="s">
        <v>35</v>
      </c>
      <c r="J46" s="140" t="s">
        <v>36</v>
      </c>
      <c r="K46" s="316">
        <v>2</v>
      </c>
      <c r="L46" s="297" t="s">
        <v>72</v>
      </c>
      <c r="M46" s="295"/>
      <c r="N46" s="310">
        <v>45175.533553240741</v>
      </c>
      <c r="O46" s="311" t="s">
        <v>40</v>
      </c>
      <c r="P46" s="311"/>
      <c r="Q46" s="298"/>
      <c r="R46" s="275">
        <v>500000</v>
      </c>
      <c r="S46" s="162">
        <f t="shared" si="3"/>
        <v>1</v>
      </c>
      <c r="T46" s="95"/>
      <c r="U46" s="270">
        <f t="shared" si="6"/>
        <v>500000</v>
      </c>
      <c r="V46" s="124">
        <f t="shared" si="4"/>
        <v>500000</v>
      </c>
    </row>
    <row r="47" spans="1:25" s="82" customFormat="1" ht="13">
      <c r="A47" s="81">
        <f t="shared" si="2"/>
        <v>41</v>
      </c>
      <c r="B47" s="81">
        <v>41</v>
      </c>
      <c r="C47" s="94">
        <v>4198</v>
      </c>
      <c r="D47" s="94" t="s">
        <v>43</v>
      </c>
      <c r="E47" s="102">
        <v>45266</v>
      </c>
      <c r="F47" s="86">
        <v>800</v>
      </c>
      <c r="G47" s="86">
        <v>1700</v>
      </c>
      <c r="H47" s="94" t="s">
        <v>823</v>
      </c>
      <c r="I47" s="140" t="s">
        <v>35</v>
      </c>
      <c r="J47" s="140" t="s">
        <v>36</v>
      </c>
      <c r="K47" s="316">
        <v>6</v>
      </c>
      <c r="L47" s="297" t="s">
        <v>112</v>
      </c>
      <c r="M47" s="295"/>
      <c r="N47" s="281">
        <v>45144.536782407406</v>
      </c>
      <c r="O47" s="132" t="s">
        <v>40</v>
      </c>
      <c r="P47" s="132">
        <f>7/9*100</f>
        <v>77.777777777777786</v>
      </c>
      <c r="Q47" s="298"/>
      <c r="R47" s="275">
        <v>500000</v>
      </c>
      <c r="S47" s="162">
        <f t="shared" si="3"/>
        <v>9</v>
      </c>
      <c r="T47" s="94"/>
      <c r="U47" s="122">
        <f t="shared" si="6"/>
        <v>999999.99999999965</v>
      </c>
      <c r="V47" s="124">
        <f t="shared" si="4"/>
        <v>999999.99999999965</v>
      </c>
    </row>
    <row r="48" spans="1:25" s="82" customFormat="1" ht="39">
      <c r="A48" s="81">
        <f t="shared" si="2"/>
        <v>42</v>
      </c>
      <c r="B48" s="81">
        <v>42</v>
      </c>
      <c r="C48" s="258" t="s">
        <v>824</v>
      </c>
      <c r="D48" s="259" t="s">
        <v>75</v>
      </c>
      <c r="E48" s="258" t="s">
        <v>825</v>
      </c>
      <c r="F48" s="86">
        <v>1400</v>
      </c>
      <c r="G48" s="86">
        <v>1500</v>
      </c>
      <c r="H48" s="261" t="s">
        <v>45</v>
      </c>
      <c r="I48" s="261" t="s">
        <v>35</v>
      </c>
      <c r="J48" s="261" t="s">
        <v>36</v>
      </c>
      <c r="K48" s="315" t="s">
        <v>76</v>
      </c>
      <c r="L48" s="297" t="s">
        <v>47</v>
      </c>
      <c r="M48" s="295" t="s">
        <v>826</v>
      </c>
      <c r="N48" s="280" t="s">
        <v>827</v>
      </c>
      <c r="O48" s="276" t="s">
        <v>40</v>
      </c>
      <c r="P48" s="297"/>
      <c r="Q48" s="298"/>
      <c r="R48" s="275">
        <v>500000</v>
      </c>
      <c r="S48" s="162">
        <f t="shared" si="3"/>
        <v>1</v>
      </c>
      <c r="T48" s="259"/>
      <c r="U48" s="270">
        <f t="shared" si="6"/>
        <v>500000</v>
      </c>
      <c r="V48" s="124">
        <f t="shared" si="4"/>
        <v>500000</v>
      </c>
      <c r="W48" s="90"/>
      <c r="X48" s="91"/>
      <c r="Y48" s="90"/>
    </row>
    <row r="49" spans="1:25" s="82" customFormat="1" ht="13" hidden="1">
      <c r="A49" s="81">
        <f t="shared" si="2"/>
        <v>43</v>
      </c>
      <c r="B49" s="81">
        <v>43</v>
      </c>
      <c r="C49" s="258" t="s">
        <v>828</v>
      </c>
      <c r="D49" s="259" t="s">
        <v>32</v>
      </c>
      <c r="E49" s="258" t="s">
        <v>724</v>
      </c>
      <c r="F49" s="86">
        <v>1230</v>
      </c>
      <c r="G49" s="86">
        <v>1600</v>
      </c>
      <c r="H49" s="261" t="s">
        <v>755</v>
      </c>
      <c r="I49" s="261" t="s">
        <v>35</v>
      </c>
      <c r="J49" s="261" t="s">
        <v>36</v>
      </c>
      <c r="K49" s="315" t="s">
        <v>513</v>
      </c>
      <c r="L49" s="297"/>
      <c r="M49" s="295"/>
      <c r="N49" s="280" t="s">
        <v>829</v>
      </c>
      <c r="O49" s="276" t="s">
        <v>174</v>
      </c>
      <c r="P49" s="297"/>
      <c r="Q49" s="298"/>
      <c r="R49" s="275"/>
      <c r="S49" s="162">
        <f t="shared" si="3"/>
        <v>3.7</v>
      </c>
      <c r="T49" s="259"/>
      <c r="U49" s="270">
        <f>S49*R49*(100-P49)/100</f>
        <v>0</v>
      </c>
      <c r="V49" s="347">
        <f>U49</f>
        <v>0</v>
      </c>
      <c r="W49" s="90"/>
      <c r="X49" s="91"/>
      <c r="Y49" s="90"/>
    </row>
    <row r="50" spans="1:25" s="82" customFormat="1" ht="13" hidden="1">
      <c r="A50" s="81">
        <f t="shared" si="2"/>
        <v>44</v>
      </c>
      <c r="B50" s="81">
        <v>44</v>
      </c>
      <c r="C50" s="94">
        <v>4195</v>
      </c>
      <c r="D50" s="94" t="s">
        <v>32</v>
      </c>
      <c r="E50" s="102" t="s">
        <v>731</v>
      </c>
      <c r="F50" s="86">
        <v>1300</v>
      </c>
      <c r="G50" s="86">
        <v>1500</v>
      </c>
      <c r="H50" s="94" t="s">
        <v>755</v>
      </c>
      <c r="I50" s="140" t="s">
        <v>35</v>
      </c>
      <c r="J50" s="140" t="s">
        <v>36</v>
      </c>
      <c r="K50" s="316">
        <v>20</v>
      </c>
      <c r="L50" s="297"/>
      <c r="M50" s="295"/>
      <c r="N50" s="281">
        <v>45113.6875</v>
      </c>
      <c r="O50" s="132" t="s">
        <v>174</v>
      </c>
      <c r="P50" s="132"/>
      <c r="Q50" s="298"/>
      <c r="R50" s="275"/>
      <c r="S50" s="162">
        <f t="shared" si="3"/>
        <v>2</v>
      </c>
      <c r="T50" s="94"/>
      <c r="U50" s="270">
        <f t="shared" si="6"/>
        <v>0</v>
      </c>
      <c r="V50" s="347">
        <f>U50</f>
        <v>0</v>
      </c>
    </row>
    <row r="51" spans="1:25" s="82" customFormat="1" ht="13" hidden="1">
      <c r="A51" s="81">
        <f t="shared" si="2"/>
        <v>45</v>
      </c>
      <c r="B51" s="81">
        <v>45</v>
      </c>
      <c r="C51" s="94">
        <v>4194</v>
      </c>
      <c r="D51" s="94" t="s">
        <v>43</v>
      </c>
      <c r="E51" s="102">
        <v>45144</v>
      </c>
      <c r="F51" s="86">
        <v>800</v>
      </c>
      <c r="G51" s="86">
        <v>1700</v>
      </c>
      <c r="H51" s="94" t="s">
        <v>830</v>
      </c>
      <c r="I51" s="140" t="s">
        <v>35</v>
      </c>
      <c r="J51" s="140" t="s">
        <v>36</v>
      </c>
      <c r="K51" s="316">
        <v>6</v>
      </c>
      <c r="L51" s="297"/>
      <c r="M51" s="295"/>
      <c r="N51" s="281">
        <v>45083.628368055557</v>
      </c>
      <c r="O51" s="132" t="s">
        <v>174</v>
      </c>
      <c r="P51" s="132"/>
      <c r="Q51" s="298"/>
      <c r="R51" s="275"/>
      <c r="S51" s="162">
        <f t="shared" si="3"/>
        <v>9</v>
      </c>
      <c r="T51" s="94"/>
      <c r="U51" s="122">
        <f t="shared" si="6"/>
        <v>0</v>
      </c>
      <c r="V51" s="347">
        <f>U51</f>
        <v>0</v>
      </c>
    </row>
    <row r="52" spans="1:25" s="82" customFormat="1" ht="13">
      <c r="A52" s="81">
        <f t="shared" si="2"/>
        <v>46</v>
      </c>
      <c r="B52" s="81">
        <v>46</v>
      </c>
      <c r="C52" s="94">
        <v>4193</v>
      </c>
      <c r="D52" s="94" t="s">
        <v>75</v>
      </c>
      <c r="E52" s="102">
        <v>45052</v>
      </c>
      <c r="F52" s="86">
        <v>1130</v>
      </c>
      <c r="G52" s="86">
        <v>1200</v>
      </c>
      <c r="H52" s="94" t="s">
        <v>624</v>
      </c>
      <c r="I52" s="140" t="s">
        <v>35</v>
      </c>
      <c r="J52" s="140" t="s">
        <v>36</v>
      </c>
      <c r="K52" s="316">
        <v>5</v>
      </c>
      <c r="L52" s="297" t="s">
        <v>484</v>
      </c>
      <c r="M52" s="295"/>
      <c r="N52" s="281">
        <v>45052.517870370371</v>
      </c>
      <c r="O52" s="132" t="s">
        <v>40</v>
      </c>
      <c r="P52" s="132"/>
      <c r="Q52" s="298"/>
      <c r="R52" s="275">
        <v>500000</v>
      </c>
      <c r="S52" s="162">
        <f>(G52-1150)/100</f>
        <v>0.5</v>
      </c>
      <c r="T52" s="94" t="s">
        <v>738</v>
      </c>
      <c r="U52" s="270">
        <f t="shared" si="6"/>
        <v>250000</v>
      </c>
      <c r="V52" s="347">
        <f>U52</f>
        <v>250000</v>
      </c>
    </row>
    <row r="53" spans="1:25" s="82" customFormat="1" ht="13" hidden="1">
      <c r="A53" s="81">
        <f t="shared" si="2"/>
        <v>47</v>
      </c>
      <c r="B53" s="81">
        <v>47</v>
      </c>
      <c r="C53" s="258" t="s">
        <v>831</v>
      </c>
      <c r="D53" s="259" t="s">
        <v>32</v>
      </c>
      <c r="E53" s="258" t="s">
        <v>832</v>
      </c>
      <c r="F53" s="86">
        <v>1030</v>
      </c>
      <c r="G53" s="86">
        <v>1130</v>
      </c>
      <c r="H53" s="261" t="s">
        <v>624</v>
      </c>
      <c r="I53" s="261" t="s">
        <v>35</v>
      </c>
      <c r="J53" s="261" t="s">
        <v>36</v>
      </c>
      <c r="K53" s="315" t="s">
        <v>64</v>
      </c>
      <c r="L53" s="297" t="s">
        <v>484</v>
      </c>
      <c r="M53" s="295"/>
      <c r="N53" s="280" t="s">
        <v>833</v>
      </c>
      <c r="O53" s="276" t="s">
        <v>40</v>
      </c>
      <c r="P53" s="295"/>
      <c r="Q53" s="298"/>
      <c r="R53" s="275">
        <v>950000</v>
      </c>
      <c r="S53" s="162">
        <f t="shared" si="3"/>
        <v>1</v>
      </c>
      <c r="T53" s="259" t="s">
        <v>738</v>
      </c>
      <c r="U53" s="270">
        <f t="shared" si="6"/>
        <v>950000</v>
      </c>
      <c r="V53" s="347">
        <f>Q53+((S53-0)*R53)</f>
        <v>950000</v>
      </c>
      <c r="W53" s="388"/>
      <c r="X53" s="91"/>
      <c r="Y53" s="90"/>
    </row>
    <row r="54" spans="1:25" s="82" customFormat="1" ht="13" hidden="1">
      <c r="A54" s="81">
        <f t="shared" si="2"/>
        <v>48</v>
      </c>
      <c r="B54" s="81">
        <v>48</v>
      </c>
      <c r="C54" s="103">
        <v>4191</v>
      </c>
      <c r="D54" s="94" t="s">
        <v>43</v>
      </c>
      <c r="E54" s="102">
        <v>45175</v>
      </c>
      <c r="F54" s="86">
        <v>900</v>
      </c>
      <c r="G54" s="86">
        <v>1700</v>
      </c>
      <c r="H54" s="132" t="s">
        <v>834</v>
      </c>
      <c r="I54" s="292" t="s">
        <v>35</v>
      </c>
      <c r="J54" s="132" t="s">
        <v>36</v>
      </c>
      <c r="K54" s="132">
        <v>6</v>
      </c>
      <c r="L54" s="632"/>
      <c r="M54" s="437"/>
      <c r="N54" s="162">
        <v>45052.460312499999</v>
      </c>
      <c r="O54" s="132" t="s">
        <v>174</v>
      </c>
      <c r="P54" s="122"/>
      <c r="Q54" s="124"/>
      <c r="R54" s="275"/>
      <c r="S54" s="162">
        <f t="shared" si="3"/>
        <v>8</v>
      </c>
      <c r="T54" s="259"/>
      <c r="U54" s="270">
        <f>S54*R54*(100-P54)/100</f>
        <v>0</v>
      </c>
      <c r="V54" s="347">
        <f t="shared" ref="V54" si="7">U54</f>
        <v>0</v>
      </c>
      <c r="W54" s="90"/>
      <c r="X54" s="91"/>
      <c r="Y54" s="90"/>
    </row>
    <row r="55" spans="1:25" s="82" customFormat="1" ht="13" hidden="1">
      <c r="A55" s="81">
        <f t="shared" si="2"/>
        <v>49</v>
      </c>
      <c r="B55" s="81">
        <v>49</v>
      </c>
      <c r="C55" s="94">
        <v>4190</v>
      </c>
      <c r="D55" s="94" t="s">
        <v>32</v>
      </c>
      <c r="E55" s="102" t="s">
        <v>716</v>
      </c>
      <c r="F55" s="86">
        <v>1300</v>
      </c>
      <c r="G55" s="86">
        <v>1800</v>
      </c>
      <c r="H55" s="94" t="s">
        <v>835</v>
      </c>
      <c r="I55" s="140" t="s">
        <v>35</v>
      </c>
      <c r="J55" s="140" t="s">
        <v>36</v>
      </c>
      <c r="K55" s="316">
        <v>12</v>
      </c>
      <c r="L55" s="297" t="s">
        <v>112</v>
      </c>
      <c r="M55" s="132"/>
      <c r="N55" s="310">
        <v>44963.725011574075</v>
      </c>
      <c r="O55" s="132" t="s">
        <v>40</v>
      </c>
      <c r="P55" s="132"/>
      <c r="Q55" s="275">
        <f>R55*3</f>
        <v>2850000</v>
      </c>
      <c r="R55" s="275">
        <v>950000</v>
      </c>
      <c r="S55" s="162">
        <f t="shared" si="3"/>
        <v>5</v>
      </c>
      <c r="T55" s="94"/>
      <c r="U55" s="122">
        <f t="shared" si="6"/>
        <v>4750000</v>
      </c>
      <c r="V55" s="124">
        <f>Q55+((S55-4)*R55)</f>
        <v>3800000</v>
      </c>
    </row>
    <row r="56" spans="1:25" s="82" customFormat="1" ht="13" hidden="1">
      <c r="A56" s="81">
        <f t="shared" si="2"/>
        <v>50</v>
      </c>
      <c r="B56" s="81">
        <v>50</v>
      </c>
      <c r="C56" s="94">
        <v>4189</v>
      </c>
      <c r="D56" s="94" t="s">
        <v>32</v>
      </c>
      <c r="E56" s="102" t="s">
        <v>788</v>
      </c>
      <c r="F56" s="86">
        <v>1000</v>
      </c>
      <c r="G56" s="86">
        <v>1800</v>
      </c>
      <c r="H56" s="94" t="s">
        <v>836</v>
      </c>
      <c r="I56" s="140" t="s">
        <v>35</v>
      </c>
      <c r="J56" s="140" t="s">
        <v>36</v>
      </c>
      <c r="K56" s="316">
        <v>12</v>
      </c>
      <c r="L56" s="297"/>
      <c r="M56" s="132"/>
      <c r="N56" s="281">
        <v>44963.690370370372</v>
      </c>
      <c r="O56" s="132" t="s">
        <v>174</v>
      </c>
      <c r="P56" s="132"/>
      <c r="Q56" s="275"/>
      <c r="R56" s="275"/>
      <c r="S56" s="162">
        <f t="shared" si="3"/>
        <v>8</v>
      </c>
      <c r="T56" s="94"/>
      <c r="U56" s="122">
        <f t="shared" si="6"/>
        <v>0</v>
      </c>
      <c r="V56" s="124">
        <f t="shared" ref="V56:V61" si="8">U56</f>
        <v>0</v>
      </c>
    </row>
    <row r="57" spans="1:25" s="82" customFormat="1" ht="13">
      <c r="A57" s="81">
        <f t="shared" si="2"/>
        <v>51</v>
      </c>
      <c r="B57" s="81">
        <v>51</v>
      </c>
      <c r="C57" s="94">
        <v>4188</v>
      </c>
      <c r="D57" s="94" t="s">
        <v>43</v>
      </c>
      <c r="E57" s="102">
        <v>45052</v>
      </c>
      <c r="F57" s="86">
        <v>1030</v>
      </c>
      <c r="G57" s="86">
        <v>1130</v>
      </c>
      <c r="H57" s="94" t="s">
        <v>240</v>
      </c>
      <c r="I57" s="140" t="s">
        <v>35</v>
      </c>
      <c r="J57" s="140" t="s">
        <v>36</v>
      </c>
      <c r="K57" s="316">
        <v>5</v>
      </c>
      <c r="L57" s="297" t="s">
        <v>242</v>
      </c>
      <c r="M57" s="132"/>
      <c r="N57" s="281">
        <v>44932.721238425926</v>
      </c>
      <c r="O57" s="132" t="s">
        <v>40</v>
      </c>
      <c r="P57" s="312"/>
      <c r="Q57" s="275"/>
      <c r="R57" s="275">
        <v>500000</v>
      </c>
      <c r="S57" s="162">
        <f t="shared" si="3"/>
        <v>1</v>
      </c>
      <c r="T57" s="94"/>
      <c r="U57" s="270">
        <f t="shared" si="6"/>
        <v>500000</v>
      </c>
      <c r="V57" s="124">
        <f t="shared" si="8"/>
        <v>500000</v>
      </c>
    </row>
    <row r="58" spans="1:25" s="82" customFormat="1" ht="13" hidden="1">
      <c r="A58" s="81">
        <f t="shared" si="2"/>
        <v>52</v>
      </c>
      <c r="B58" s="81">
        <v>52</v>
      </c>
      <c r="C58" s="87" t="s">
        <v>837</v>
      </c>
      <c r="D58" s="88" t="s">
        <v>32</v>
      </c>
      <c r="E58" s="87" t="s">
        <v>838</v>
      </c>
      <c r="F58" s="86">
        <v>1600</v>
      </c>
      <c r="G58" s="86">
        <v>1700</v>
      </c>
      <c r="H58" s="89" t="s">
        <v>839</v>
      </c>
      <c r="I58" s="89" t="s">
        <v>35</v>
      </c>
      <c r="J58" s="89" t="s">
        <v>36</v>
      </c>
      <c r="K58" s="318" t="s">
        <v>37</v>
      </c>
      <c r="L58" s="294" t="s">
        <v>112</v>
      </c>
      <c r="M58" s="132"/>
      <c r="N58" s="313" t="s">
        <v>840</v>
      </c>
      <c r="O58" s="306" t="s">
        <v>40</v>
      </c>
      <c r="P58" s="294" t="s">
        <v>41</v>
      </c>
      <c r="Q58" s="298"/>
      <c r="R58" s="275">
        <v>950000</v>
      </c>
      <c r="S58" s="162">
        <f t="shared" si="3"/>
        <v>1</v>
      </c>
      <c r="T58" s="88"/>
      <c r="U58" s="122">
        <f t="shared" si="6"/>
        <v>0</v>
      </c>
      <c r="V58" s="165">
        <f t="shared" si="8"/>
        <v>0</v>
      </c>
      <c r="W58" s="90"/>
      <c r="X58" s="91"/>
      <c r="Y58" s="90"/>
    </row>
    <row r="59" spans="1:25" s="82" customFormat="1" ht="13" hidden="1">
      <c r="A59" s="81">
        <f t="shared" si="2"/>
        <v>53</v>
      </c>
      <c r="B59" s="81">
        <v>53</v>
      </c>
      <c r="C59" s="94">
        <v>4185</v>
      </c>
      <c r="D59" s="94" t="s">
        <v>32</v>
      </c>
      <c r="E59" s="102" t="s">
        <v>716</v>
      </c>
      <c r="F59" s="86">
        <v>1000</v>
      </c>
      <c r="G59" s="86">
        <v>1630</v>
      </c>
      <c r="H59" s="94" t="s">
        <v>835</v>
      </c>
      <c r="I59" s="140" t="s">
        <v>35</v>
      </c>
      <c r="J59" s="140" t="s">
        <v>36</v>
      </c>
      <c r="K59" s="316">
        <v>12</v>
      </c>
      <c r="L59" s="297"/>
      <c r="M59" s="132"/>
      <c r="N59" s="310" t="s">
        <v>841</v>
      </c>
      <c r="O59" s="132" t="s">
        <v>174</v>
      </c>
      <c r="P59" s="132"/>
      <c r="Q59" s="298"/>
      <c r="R59" s="275"/>
      <c r="S59" s="162">
        <f t="shared" si="3"/>
        <v>6.3</v>
      </c>
      <c r="T59" s="94"/>
      <c r="U59" s="122">
        <f t="shared" si="6"/>
        <v>0</v>
      </c>
      <c r="V59" s="124">
        <f t="shared" si="8"/>
        <v>0</v>
      </c>
    </row>
    <row r="60" spans="1:25" s="82" customFormat="1" ht="13" hidden="1">
      <c r="A60" s="81">
        <f t="shared" si="2"/>
        <v>54</v>
      </c>
      <c r="B60" s="81">
        <v>54</v>
      </c>
      <c r="C60" s="94">
        <v>4178</v>
      </c>
      <c r="D60" s="94" t="s">
        <v>32</v>
      </c>
      <c r="E60" s="102">
        <v>45144</v>
      </c>
      <c r="F60" s="86">
        <v>900</v>
      </c>
      <c r="G60" s="86">
        <v>1700</v>
      </c>
      <c r="H60" s="94" t="s">
        <v>842</v>
      </c>
      <c r="I60" s="140" t="s">
        <v>35</v>
      </c>
      <c r="J60" s="140" t="s">
        <v>36</v>
      </c>
      <c r="K60" s="316">
        <v>12</v>
      </c>
      <c r="L60" s="297"/>
      <c r="M60" s="132"/>
      <c r="N60" s="281" t="s">
        <v>843</v>
      </c>
      <c r="O60" s="132" t="s">
        <v>174</v>
      </c>
      <c r="P60" s="132"/>
      <c r="Q60" s="275"/>
      <c r="R60" s="275"/>
      <c r="S60" s="162">
        <f t="shared" si="3"/>
        <v>8</v>
      </c>
      <c r="T60" s="94"/>
      <c r="U60" s="270">
        <f t="shared" si="6"/>
        <v>0</v>
      </c>
      <c r="V60" s="124">
        <f t="shared" si="8"/>
        <v>0</v>
      </c>
    </row>
    <row r="61" spans="1:25" s="82" customFormat="1" ht="13" hidden="1">
      <c r="A61" s="81">
        <f t="shared" si="2"/>
        <v>55</v>
      </c>
      <c r="B61" s="81">
        <v>55</v>
      </c>
      <c r="C61" s="103">
        <v>4177</v>
      </c>
      <c r="D61" s="94" t="s">
        <v>32</v>
      </c>
      <c r="E61" s="102">
        <v>45083</v>
      </c>
      <c r="F61" s="86">
        <v>900</v>
      </c>
      <c r="G61" s="86">
        <v>1700</v>
      </c>
      <c r="H61" s="94" t="s">
        <v>842</v>
      </c>
      <c r="I61" s="140" t="s">
        <v>35</v>
      </c>
      <c r="J61" s="140" t="s">
        <v>36</v>
      </c>
      <c r="K61" s="316">
        <v>12</v>
      </c>
      <c r="L61" s="297"/>
      <c r="M61" s="132"/>
      <c r="N61" s="281" t="s">
        <v>844</v>
      </c>
      <c r="O61" s="132" t="s">
        <v>174</v>
      </c>
      <c r="P61" s="132"/>
      <c r="Q61" s="308"/>
      <c r="R61" s="275"/>
      <c r="S61" s="162">
        <f t="shared" si="3"/>
        <v>8</v>
      </c>
      <c r="T61" s="94"/>
      <c r="U61" s="270">
        <f t="shared" si="6"/>
        <v>0</v>
      </c>
      <c r="V61" s="124">
        <f t="shared" si="8"/>
        <v>0</v>
      </c>
    </row>
    <row r="62" spans="1:25" s="82" customFormat="1" ht="13" hidden="1">
      <c r="A62" s="81">
        <f t="shared" si="2"/>
        <v>56</v>
      </c>
      <c r="B62" s="81">
        <v>56</v>
      </c>
      <c r="C62" s="103">
        <v>4176</v>
      </c>
      <c r="D62" s="94" t="s">
        <v>32</v>
      </c>
      <c r="E62" s="102">
        <v>45052</v>
      </c>
      <c r="F62" s="86">
        <v>900</v>
      </c>
      <c r="G62" s="86">
        <v>1700</v>
      </c>
      <c r="H62" s="94" t="s">
        <v>842</v>
      </c>
      <c r="I62" s="140" t="s">
        <v>35</v>
      </c>
      <c r="J62" s="140" t="s">
        <v>36</v>
      </c>
      <c r="K62" s="316">
        <v>12</v>
      </c>
      <c r="L62" s="297"/>
      <c r="M62" s="132"/>
      <c r="N62" s="281" t="s">
        <v>845</v>
      </c>
      <c r="O62" s="132" t="s">
        <v>174</v>
      </c>
      <c r="P62" s="132"/>
      <c r="Q62" s="275"/>
      <c r="R62" s="275"/>
      <c r="S62" s="162">
        <f t="shared" si="3"/>
        <v>8</v>
      </c>
      <c r="T62" s="94"/>
      <c r="U62" s="270">
        <f t="shared" si="6"/>
        <v>0</v>
      </c>
      <c r="V62" s="124">
        <f t="shared" ref="V62" si="9">Q62+((S62-8)*R62)</f>
        <v>0</v>
      </c>
    </row>
    <row r="63" spans="1:25" s="82" customFormat="1" ht="13" hidden="1">
      <c r="A63" s="81">
        <f t="shared" si="2"/>
        <v>57</v>
      </c>
      <c r="B63" s="81">
        <v>57</v>
      </c>
      <c r="C63" s="103">
        <v>4145</v>
      </c>
      <c r="D63" s="94" t="s">
        <v>32</v>
      </c>
      <c r="E63" s="102" t="s">
        <v>716</v>
      </c>
      <c r="F63" s="86">
        <v>1000</v>
      </c>
      <c r="G63" s="86">
        <v>1630</v>
      </c>
      <c r="H63" s="94" t="s">
        <v>835</v>
      </c>
      <c r="I63" s="140" t="s">
        <v>35</v>
      </c>
      <c r="J63" s="140" t="s">
        <v>140</v>
      </c>
      <c r="K63" s="316">
        <v>12</v>
      </c>
      <c r="L63" s="297"/>
      <c r="M63" s="132"/>
      <c r="N63" s="281" t="s">
        <v>846</v>
      </c>
      <c r="O63" s="132" t="s">
        <v>174</v>
      </c>
      <c r="P63" s="132"/>
      <c r="Q63" s="275"/>
      <c r="R63" s="275"/>
      <c r="S63" s="162">
        <f t="shared" si="3"/>
        <v>6.3</v>
      </c>
      <c r="T63" s="94"/>
      <c r="U63" s="270">
        <f t="shared" si="6"/>
        <v>0</v>
      </c>
      <c r="V63" s="124">
        <f>U63</f>
        <v>0</v>
      </c>
    </row>
    <row r="64" spans="1:25" s="82" customFormat="1" ht="13" hidden="1">
      <c r="A64" s="81">
        <f t="shared" si="2"/>
        <v>58</v>
      </c>
      <c r="B64" s="81" t="s">
        <v>197</v>
      </c>
      <c r="C64" s="103" t="s">
        <v>197</v>
      </c>
      <c r="D64" s="94" t="s">
        <v>198</v>
      </c>
      <c r="E64" s="102" t="s">
        <v>553</v>
      </c>
      <c r="F64" s="86">
        <v>1200</v>
      </c>
      <c r="G64" s="86">
        <v>1300</v>
      </c>
      <c r="H64" s="94" t="s">
        <v>554</v>
      </c>
      <c r="I64" s="140" t="s">
        <v>35</v>
      </c>
      <c r="J64" s="140" t="s">
        <v>555</v>
      </c>
      <c r="K64" s="316" t="s">
        <v>556</v>
      </c>
      <c r="L64" s="297" t="s">
        <v>172</v>
      </c>
      <c r="M64" s="132"/>
      <c r="N64" s="281"/>
      <c r="O64" s="306" t="s">
        <v>40</v>
      </c>
      <c r="P64" s="132"/>
      <c r="Q64" s="275"/>
      <c r="R64" s="275">
        <v>2200000</v>
      </c>
      <c r="S64" s="162">
        <f t="shared" si="3"/>
        <v>1</v>
      </c>
      <c r="T64" s="94"/>
      <c r="U64" s="122">
        <f t="shared" si="6"/>
        <v>2200000</v>
      </c>
      <c r="V64" s="124">
        <f>U64</f>
        <v>2200000</v>
      </c>
    </row>
    <row r="65" spans="1:25" s="82" customFormat="1" ht="13" hidden="1">
      <c r="A65" s="81">
        <f t="shared" si="2"/>
        <v>59</v>
      </c>
      <c r="B65" s="81" t="s">
        <v>197</v>
      </c>
      <c r="C65" s="103" t="s">
        <v>197</v>
      </c>
      <c r="D65" s="94" t="s">
        <v>198</v>
      </c>
      <c r="E65" s="102" t="s">
        <v>557</v>
      </c>
      <c r="F65" s="86">
        <v>1200</v>
      </c>
      <c r="G65" s="86">
        <v>1300</v>
      </c>
      <c r="H65" s="94" t="s">
        <v>554</v>
      </c>
      <c r="I65" s="140" t="s">
        <v>35</v>
      </c>
      <c r="J65" s="140" t="s">
        <v>555</v>
      </c>
      <c r="K65" s="316" t="s">
        <v>556</v>
      </c>
      <c r="L65" s="297" t="s">
        <v>172</v>
      </c>
      <c r="M65" s="132" t="s">
        <v>558</v>
      </c>
      <c r="N65" s="281"/>
      <c r="O65" s="306" t="s">
        <v>40</v>
      </c>
      <c r="P65" s="132"/>
      <c r="Q65" s="275"/>
      <c r="R65" s="275">
        <v>2200000</v>
      </c>
      <c r="S65" s="162">
        <f t="shared" si="3"/>
        <v>1</v>
      </c>
      <c r="T65" s="94"/>
      <c r="U65" s="122">
        <f t="shared" si="6"/>
        <v>2200000</v>
      </c>
      <c r="V65" s="124">
        <f>U65</f>
        <v>2200000</v>
      </c>
    </row>
    <row r="66" spans="1:25" s="82" customFormat="1" ht="13" hidden="1">
      <c r="A66" s="81">
        <f t="shared" si="2"/>
        <v>60</v>
      </c>
      <c r="B66" s="81" t="s">
        <v>197</v>
      </c>
      <c r="C66" s="103" t="s">
        <v>197</v>
      </c>
      <c r="D66" s="94" t="s">
        <v>198</v>
      </c>
      <c r="E66" s="102" t="s">
        <v>559</v>
      </c>
      <c r="F66" s="86">
        <v>900</v>
      </c>
      <c r="G66" s="86">
        <v>1300</v>
      </c>
      <c r="H66" s="94" t="s">
        <v>554</v>
      </c>
      <c r="I66" s="140" t="s">
        <v>35</v>
      </c>
      <c r="J66" s="140" t="s">
        <v>555</v>
      </c>
      <c r="K66" s="316" t="s">
        <v>556</v>
      </c>
      <c r="L66" s="297" t="s">
        <v>172</v>
      </c>
      <c r="M66" s="132" t="s">
        <v>560</v>
      </c>
      <c r="N66" s="281"/>
      <c r="O66" s="306" t="s">
        <v>40</v>
      </c>
      <c r="P66" s="132"/>
      <c r="Q66" s="275">
        <f>R66*3</f>
        <v>6600000</v>
      </c>
      <c r="R66" s="275">
        <v>2200000</v>
      </c>
      <c r="S66" s="162">
        <f t="shared" si="3"/>
        <v>4</v>
      </c>
      <c r="T66" s="94"/>
      <c r="U66" s="122">
        <f t="shared" si="6"/>
        <v>8800000</v>
      </c>
      <c r="V66" s="124">
        <f>Q66+((S66-4)*R66)</f>
        <v>6600000</v>
      </c>
    </row>
    <row r="67" spans="1:25" s="82" customFormat="1" ht="13" hidden="1">
      <c r="A67" s="81">
        <f t="shared" si="2"/>
        <v>61</v>
      </c>
      <c r="B67" s="81" t="s">
        <v>197</v>
      </c>
      <c r="C67" s="103" t="s">
        <v>197</v>
      </c>
      <c r="D67" s="94" t="s">
        <v>198</v>
      </c>
      <c r="E67" s="102" t="s">
        <v>561</v>
      </c>
      <c r="F67" s="86">
        <v>1200</v>
      </c>
      <c r="G67" s="86">
        <v>1300</v>
      </c>
      <c r="H67" s="94" t="s">
        <v>554</v>
      </c>
      <c r="I67" s="140" t="s">
        <v>35</v>
      </c>
      <c r="J67" s="140" t="s">
        <v>555</v>
      </c>
      <c r="K67" s="316" t="s">
        <v>556</v>
      </c>
      <c r="L67" s="297" t="s">
        <v>172</v>
      </c>
      <c r="M67" s="132"/>
      <c r="N67" s="281"/>
      <c r="O67" s="306" t="s">
        <v>40</v>
      </c>
      <c r="P67" s="132"/>
      <c r="Q67" s="275"/>
      <c r="R67" s="275">
        <v>2200000</v>
      </c>
      <c r="S67" s="162">
        <f t="shared" si="3"/>
        <v>1</v>
      </c>
      <c r="T67" s="94"/>
      <c r="U67" s="438">
        <f>S67*R67*(100-P67)/100</f>
        <v>2200000</v>
      </c>
      <c r="V67" s="124">
        <f>U67</f>
        <v>2200000</v>
      </c>
    </row>
    <row r="68" spans="1:25" s="82" customFormat="1" ht="13" hidden="1">
      <c r="A68" s="81">
        <f t="shared" si="2"/>
        <v>62</v>
      </c>
      <c r="B68" s="81" t="s">
        <v>197</v>
      </c>
      <c r="C68" s="103" t="s">
        <v>197</v>
      </c>
      <c r="D68" s="94" t="s">
        <v>198</v>
      </c>
      <c r="E68" s="102" t="s">
        <v>561</v>
      </c>
      <c r="F68" s="86">
        <v>1400</v>
      </c>
      <c r="G68" s="86">
        <v>1600</v>
      </c>
      <c r="H68" s="94" t="s">
        <v>554</v>
      </c>
      <c r="I68" s="140" t="s">
        <v>35</v>
      </c>
      <c r="J68" s="140" t="s">
        <v>555</v>
      </c>
      <c r="K68" s="316" t="s">
        <v>556</v>
      </c>
      <c r="L68" s="297" t="s">
        <v>172</v>
      </c>
      <c r="M68" s="132" t="s">
        <v>564</v>
      </c>
      <c r="N68" s="281"/>
      <c r="O68" s="306" t="s">
        <v>40</v>
      </c>
      <c r="P68" s="132"/>
      <c r="Q68" s="275"/>
      <c r="R68" s="275">
        <v>2200000</v>
      </c>
      <c r="S68" s="162">
        <f t="shared" si="3"/>
        <v>2</v>
      </c>
      <c r="T68" s="94"/>
      <c r="U68" s="438">
        <f>S68*R68*(100-P68)/100</f>
        <v>4400000</v>
      </c>
      <c r="V68" s="124">
        <f>U68</f>
        <v>4400000</v>
      </c>
    </row>
    <row r="69" spans="1:25" s="82" customFormat="1" ht="13">
      <c r="A69" s="94"/>
      <c r="B69" s="94"/>
      <c r="C69" s="94"/>
      <c r="D69" s="94"/>
      <c r="E69" s="103"/>
      <c r="F69" s="94"/>
      <c r="G69" s="94"/>
      <c r="H69" s="94"/>
      <c r="I69" s="140"/>
      <c r="J69" s="140"/>
      <c r="K69" s="94"/>
      <c r="L69" s="282"/>
      <c r="M69" s="282"/>
      <c r="N69" s="322"/>
      <c r="O69" s="282"/>
      <c r="P69" s="282"/>
      <c r="Q69" s="323"/>
      <c r="R69" s="83"/>
      <c r="S69" s="94"/>
      <c r="T69" s="94"/>
      <c r="U69" s="120">
        <f>SUBTOTAL(109,U7:U68)</f>
        <v>28750000</v>
      </c>
      <c r="V69" s="123">
        <f>SUBTOTAL(109,V7:V68)</f>
        <v>25750000</v>
      </c>
      <c r="Y69" s="376">
        <f>V69*1.1</f>
        <v>28325000.000000004</v>
      </c>
    </row>
    <row r="70" spans="1:25" s="82" customFormat="1" ht="13">
      <c r="E70" s="104"/>
      <c r="I70" s="160"/>
      <c r="J70" s="160"/>
      <c r="N70" s="104"/>
      <c r="Q70" s="99"/>
      <c r="V70" s="99"/>
    </row>
    <row r="71" spans="1:25">
      <c r="N71" s="68"/>
      <c r="V71" s="98">
        <f>V69-V52-V53</f>
        <v>24550000</v>
      </c>
    </row>
    <row r="72" spans="1:25">
      <c r="N72" s="68"/>
    </row>
    <row r="73" spans="1:25">
      <c r="N73" s="68"/>
      <c r="R73" s="356"/>
    </row>
    <row r="74" spans="1:25">
      <c r="N74" s="68"/>
      <c r="Q74" s="100"/>
      <c r="V74" s="100"/>
    </row>
    <row r="75" spans="1:25">
      <c r="N75" s="68"/>
      <c r="Q75" s="100"/>
      <c r="V75" s="100"/>
    </row>
    <row r="76" spans="1:25">
      <c r="N76" s="68"/>
      <c r="Q76" s="100"/>
      <c r="V76" s="100"/>
    </row>
    <row r="77" spans="1:25">
      <c r="N77" s="68"/>
    </row>
    <row r="78" spans="1:25">
      <c r="N78" s="68"/>
    </row>
    <row r="79" spans="1:25">
      <c r="N79" s="68"/>
    </row>
    <row r="80" spans="1:25">
      <c r="N80" s="68"/>
    </row>
    <row r="81" spans="14:14">
      <c r="N81" s="68"/>
    </row>
    <row r="82" spans="14:14">
      <c r="N82" s="68"/>
    </row>
    <row r="83" spans="14:14">
      <c r="N83" s="68"/>
    </row>
    <row r="84" spans="14:14">
      <c r="N84" s="68"/>
    </row>
    <row r="85" spans="14:14">
      <c r="N85" s="68"/>
    </row>
    <row r="86" spans="14:14">
      <c r="N86" s="68"/>
    </row>
    <row r="87" spans="14:14">
      <c r="N87" s="68"/>
    </row>
    <row r="88" spans="14:14">
      <c r="N88" s="68"/>
    </row>
    <row r="89" spans="14:14">
      <c r="N89" s="68"/>
    </row>
  </sheetData>
  <autoFilter ref="A6:AE68" xr:uid="{1028D278-910A-4D41-890F-0D5DC76C3F25}">
    <filterColumn colId="3">
      <filters>
        <filter val="VN Thư Viện 1 - The Library 1"/>
        <filter val="VN Thư Viện 2 - The Library 2"/>
      </filters>
    </filterColumn>
    <filterColumn colId="21">
      <filters>
        <filter val="1,000,000"/>
        <filter val="1,250,000"/>
        <filter val="1,425,000"/>
        <filter val="1,440,000"/>
        <filter val="1,500,000"/>
        <filter val="1,900,000"/>
        <filter val="2,200,000"/>
        <filter val="250,000"/>
        <filter val="3,500,000"/>
        <filter val="3,800,000"/>
        <filter val="375,000"/>
        <filter val="4,400,000"/>
        <filter val="500,000"/>
        <filter val="6,600,000"/>
        <filter val="625,000"/>
        <filter val="750,000"/>
        <filter val="950,000"/>
      </filters>
    </filterColumn>
  </autoFilter>
  <pageMargins left="0.7" right="0.7" top="0.75" bottom="0.75" header="0.3" footer="0.3"/>
  <pageSetup scale="3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3F0D0-9986-4845-B07C-E8F3FBA1568C}">
  <sheetPr codeName="Sheet16">
    <pageSetUpPr fitToPage="1"/>
  </sheetPr>
  <dimension ref="A2:AE89"/>
  <sheetViews>
    <sheetView zoomScale="80" zoomScaleNormal="80" workbookViewId="0">
      <selection activeCell="N10" sqref="N10"/>
    </sheetView>
  </sheetViews>
  <sheetFormatPr defaultColWidth="9.1796875" defaultRowHeight="14.5"/>
  <cols>
    <col min="1" max="2" width="8.81640625" style="100" customWidth="1"/>
    <col min="3" max="3" width="8.81640625" style="100" bestFit="1" customWidth="1"/>
    <col min="4" max="4" width="27.26953125" style="100" customWidth="1"/>
    <col min="5" max="5" width="13.81640625" style="68" customWidth="1"/>
    <col min="6" max="6" width="8.81640625" style="100" bestFit="1" customWidth="1"/>
    <col min="7" max="7" width="10" style="100" customWidth="1"/>
    <col min="8" max="8" width="25.54296875" style="100" customWidth="1"/>
    <col min="9" max="9" width="11.26953125" style="59" hidden="1" customWidth="1"/>
    <col min="10" max="10" width="12" style="59" hidden="1" customWidth="1"/>
    <col min="11" max="11" width="9.26953125" style="100" hidden="1" customWidth="1"/>
    <col min="12" max="12" width="14.1796875" style="100" hidden="1" customWidth="1"/>
    <col min="13" max="13" width="10.26953125" style="100" customWidth="1"/>
    <col min="14" max="14" width="22.26953125" style="157" customWidth="1"/>
    <col min="15" max="15" width="12.54296875" style="100" customWidth="1"/>
    <col min="16" max="16" width="9.1796875" style="100"/>
    <col min="17" max="17" width="13.26953125" style="101" customWidth="1"/>
    <col min="18" max="18" width="11.26953125" style="100" bestFit="1" customWidth="1"/>
    <col min="19" max="20" width="9.1796875" style="100"/>
    <col min="21" max="21" width="12.54296875" style="100" bestFit="1" customWidth="1"/>
    <col min="22" max="22" width="14.26953125" style="101" customWidth="1"/>
    <col min="23" max="23" width="10.26953125" style="100" bestFit="1" customWidth="1"/>
    <col min="24" max="24" width="9.1796875" style="100"/>
    <col min="25" max="25" width="13.7265625" style="100" customWidth="1"/>
    <col min="26" max="16384" width="9.1796875" style="100"/>
  </cols>
  <sheetData>
    <row r="2" spans="1:31" s="57" customFormat="1" ht="20.25" customHeight="1">
      <c r="A2" s="52" t="s">
        <v>0</v>
      </c>
      <c r="B2" s="52"/>
      <c r="C2" s="52"/>
      <c r="D2" s="52"/>
      <c r="E2" s="52"/>
      <c r="F2" s="52"/>
      <c r="G2" s="52"/>
      <c r="H2" s="52"/>
      <c r="I2" s="52"/>
      <c r="J2" s="389"/>
      <c r="K2" s="52"/>
      <c r="L2" s="52"/>
      <c r="M2" s="390"/>
      <c r="N2" s="391"/>
      <c r="O2" s="52"/>
      <c r="P2" s="52"/>
      <c r="Q2" s="52"/>
      <c r="R2" s="52"/>
      <c r="S2" s="52"/>
      <c r="T2" s="52"/>
      <c r="U2" s="52"/>
      <c r="V2" s="53"/>
      <c r="W2" s="54"/>
      <c r="X2" s="52"/>
      <c r="Y2" s="52"/>
      <c r="Z2" s="56"/>
      <c r="AD2" s="58"/>
      <c r="AE2" s="59" t="s">
        <v>1</v>
      </c>
    </row>
    <row r="3" spans="1:31" s="57" customFormat="1" ht="20.25" customHeight="1">
      <c r="A3" s="60" t="s">
        <v>2</v>
      </c>
      <c r="B3" s="60"/>
      <c r="C3" s="60"/>
      <c r="D3" s="60"/>
      <c r="E3" s="60"/>
      <c r="F3" s="60"/>
      <c r="G3" s="60"/>
      <c r="H3" s="60"/>
      <c r="I3" s="60"/>
      <c r="J3" s="392"/>
      <c r="K3" s="60"/>
      <c r="L3" s="60"/>
      <c r="M3" s="393"/>
      <c r="N3" s="394"/>
      <c r="O3" s="60"/>
      <c r="P3" s="60"/>
      <c r="Q3" s="60"/>
      <c r="R3" s="60"/>
      <c r="S3" s="60"/>
      <c r="T3" s="60"/>
      <c r="U3" s="60"/>
      <c r="V3" s="61"/>
      <c r="W3" s="62"/>
      <c r="X3" s="60"/>
      <c r="Y3" s="63"/>
      <c r="Z3" s="56"/>
      <c r="AD3" s="64"/>
      <c r="AE3" s="59" t="s">
        <v>3</v>
      </c>
    </row>
    <row r="4" spans="1:31" s="57" customFormat="1" ht="20.25" customHeight="1">
      <c r="A4" s="60" t="s">
        <v>847</v>
      </c>
      <c r="B4" s="60"/>
      <c r="C4" s="60"/>
      <c r="D4" s="60"/>
      <c r="E4" s="60"/>
      <c r="F4" s="60"/>
      <c r="G4" s="60"/>
      <c r="H4" s="60"/>
      <c r="I4" s="60"/>
      <c r="J4" s="392"/>
      <c r="K4" s="60"/>
      <c r="L4" s="60"/>
      <c r="M4" s="393"/>
      <c r="N4" s="394"/>
      <c r="O4" s="60"/>
      <c r="P4" s="60"/>
      <c r="Q4" s="60"/>
      <c r="R4" s="60"/>
      <c r="S4" s="60"/>
      <c r="T4" s="60"/>
      <c r="U4" s="60"/>
      <c r="V4" s="61"/>
      <c r="W4" s="62"/>
      <c r="X4" s="60"/>
      <c r="Y4" s="63"/>
      <c r="Z4" s="56"/>
      <c r="AD4" s="65"/>
      <c r="AE4" s="59" t="s">
        <v>5</v>
      </c>
    </row>
    <row r="5" spans="1:31" s="57" customFormat="1" ht="6" customHeight="1">
      <c r="D5" s="66"/>
      <c r="E5" s="67"/>
      <c r="F5" s="67"/>
      <c r="G5" s="67"/>
      <c r="H5" s="66"/>
      <c r="I5" s="66"/>
      <c r="J5" s="66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</row>
    <row r="6" spans="1:31" s="79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61" t="s">
        <v>13</v>
      </c>
      <c r="J6" s="159" t="s">
        <v>14</v>
      </c>
      <c r="K6" s="159" t="s">
        <v>15</v>
      </c>
      <c r="L6" s="134" t="s">
        <v>16</v>
      </c>
      <c r="M6" s="134" t="s">
        <v>17</v>
      </c>
      <c r="N6" s="319" t="s">
        <v>18</v>
      </c>
      <c r="O6" s="320" t="s">
        <v>19</v>
      </c>
      <c r="P6" s="134" t="s">
        <v>20</v>
      </c>
      <c r="Q6" s="321" t="s">
        <v>21</v>
      </c>
      <c r="R6" s="74" t="s">
        <v>22</v>
      </c>
      <c r="S6" s="74" t="s">
        <v>23</v>
      </c>
      <c r="T6" s="74" t="s">
        <v>24</v>
      </c>
      <c r="U6" s="78" t="s">
        <v>25</v>
      </c>
      <c r="V6" s="134" t="s">
        <v>26</v>
      </c>
      <c r="Z6" s="72" t="s">
        <v>27</v>
      </c>
      <c r="AA6" s="80" t="s">
        <v>28</v>
      </c>
      <c r="AB6" s="74" t="s">
        <v>29</v>
      </c>
      <c r="AC6" s="72" t="s">
        <v>30</v>
      </c>
    </row>
    <row r="7" spans="1:31" s="82" customFormat="1" ht="13">
      <c r="A7" s="81">
        <f>ROW()-6</f>
        <v>1</v>
      </c>
      <c r="B7" s="81"/>
      <c r="C7" s="258"/>
      <c r="D7" s="259"/>
      <c r="E7" s="260"/>
      <c r="F7" s="86"/>
      <c r="G7" s="86"/>
      <c r="H7" s="261"/>
      <c r="I7" s="261"/>
      <c r="J7" s="261"/>
      <c r="K7" s="315"/>
      <c r="L7" s="412"/>
      <c r="M7" s="355"/>
      <c r="N7" s="436"/>
      <c r="O7" s="276"/>
      <c r="P7" s="297"/>
      <c r="Q7" s="274"/>
      <c r="R7" s="275"/>
      <c r="S7" s="162">
        <f>(1625-1550)/100</f>
        <v>0.75</v>
      </c>
      <c r="T7" s="259"/>
      <c r="U7" s="270">
        <f t="shared" ref="U7:U31" si="0">S7*R7*(100-P7)/100</f>
        <v>0</v>
      </c>
      <c r="V7" s="397">
        <f t="shared" ref="V7:V13" si="1">U7</f>
        <v>0</v>
      </c>
      <c r="W7" s="90"/>
      <c r="X7" s="91"/>
      <c r="Y7" s="90"/>
    </row>
    <row r="8" spans="1:31" s="82" customFormat="1" ht="13">
      <c r="A8" s="81">
        <f t="shared" ref="A8:A68" si="2">ROW()-6</f>
        <v>2</v>
      </c>
      <c r="B8" s="81"/>
      <c r="C8" s="258"/>
      <c r="D8" s="259"/>
      <c r="E8" s="260"/>
      <c r="F8" s="86"/>
      <c r="G8" s="86"/>
      <c r="H8" s="261"/>
      <c r="I8" s="261"/>
      <c r="J8" s="261"/>
      <c r="K8" s="315"/>
      <c r="L8" s="297"/>
      <c r="M8" s="400"/>
      <c r="N8" s="296"/>
      <c r="O8" s="276"/>
      <c r="P8" s="297"/>
      <c r="Q8" s="274"/>
      <c r="R8" s="275"/>
      <c r="S8" s="162">
        <f t="shared" ref="S8:S68" si="3">(G8-F8)/100</f>
        <v>0</v>
      </c>
      <c r="T8" s="259"/>
      <c r="U8" s="270">
        <f t="shared" si="0"/>
        <v>0</v>
      </c>
      <c r="V8" s="395">
        <f t="shared" si="1"/>
        <v>0</v>
      </c>
      <c r="W8" s="90"/>
      <c r="X8" s="91"/>
      <c r="Y8" s="90"/>
    </row>
    <row r="9" spans="1:31" s="82" customFormat="1" ht="13">
      <c r="A9" s="81">
        <f t="shared" si="2"/>
        <v>3</v>
      </c>
      <c r="B9" s="81"/>
      <c r="C9" s="258"/>
      <c r="D9" s="259"/>
      <c r="E9" s="260"/>
      <c r="F9" s="86"/>
      <c r="G9" s="86"/>
      <c r="H9" s="293"/>
      <c r="I9" s="262"/>
      <c r="J9" s="262"/>
      <c r="K9" s="315"/>
      <c r="L9" s="412"/>
      <c r="M9" s="355"/>
      <c r="N9" s="436"/>
      <c r="O9" s="276"/>
      <c r="P9" s="297"/>
      <c r="Q9" s="298"/>
      <c r="R9" s="275"/>
      <c r="S9" s="162">
        <f t="shared" si="3"/>
        <v>0</v>
      </c>
      <c r="T9" s="259"/>
      <c r="U9" s="270">
        <f t="shared" si="0"/>
        <v>0</v>
      </c>
      <c r="V9" s="396">
        <f>Q9+((S9-8)*R9)</f>
        <v>0</v>
      </c>
      <c r="W9" s="90"/>
      <c r="X9" s="91"/>
      <c r="Y9" s="90"/>
    </row>
    <row r="10" spans="1:31" s="82" customFormat="1" ht="13">
      <c r="A10" s="81">
        <f t="shared" si="2"/>
        <v>4</v>
      </c>
      <c r="B10" s="81"/>
      <c r="C10" s="258"/>
      <c r="D10" s="259"/>
      <c r="E10" s="260"/>
      <c r="F10" s="86"/>
      <c r="G10" s="86"/>
      <c r="H10" s="293"/>
      <c r="I10" s="262"/>
      <c r="J10" s="262"/>
      <c r="K10" s="315"/>
      <c r="L10" s="297"/>
      <c r="M10" s="400"/>
      <c r="N10" s="296"/>
      <c r="O10" s="276"/>
      <c r="P10" s="297"/>
      <c r="Q10" s="298"/>
      <c r="R10" s="275"/>
      <c r="S10" s="162">
        <f t="shared" si="3"/>
        <v>0</v>
      </c>
      <c r="T10" s="259"/>
      <c r="U10" s="270">
        <f>S10*R10*(100-P10)/100</f>
        <v>0</v>
      </c>
      <c r="V10" s="347">
        <f t="shared" si="1"/>
        <v>0</v>
      </c>
      <c r="W10" s="91"/>
      <c r="X10" s="91"/>
      <c r="Y10" s="90"/>
    </row>
    <row r="11" spans="1:31" s="82" customFormat="1" ht="13">
      <c r="A11" s="81">
        <f t="shared" si="2"/>
        <v>5</v>
      </c>
      <c r="B11" s="81"/>
      <c r="C11" s="94"/>
      <c r="D11" s="259"/>
      <c r="E11" s="258"/>
      <c r="F11" s="86"/>
      <c r="G11" s="86"/>
      <c r="H11" s="94"/>
      <c r="I11" s="140"/>
      <c r="J11" s="140"/>
      <c r="K11" s="316"/>
      <c r="L11" s="412"/>
      <c r="M11" s="355"/>
      <c r="N11" s="441"/>
      <c r="O11" s="276"/>
      <c r="P11" s="132"/>
      <c r="Q11" s="298"/>
      <c r="R11" s="275"/>
      <c r="S11" s="162">
        <f>(1750-1300)/100</f>
        <v>4.5</v>
      </c>
      <c r="T11" s="94"/>
      <c r="U11" s="270">
        <f t="shared" si="0"/>
        <v>0</v>
      </c>
      <c r="V11" s="396">
        <f>Q11+((S11-4)*R11)</f>
        <v>0</v>
      </c>
      <c r="W11" s="83"/>
    </row>
    <row r="12" spans="1:31" s="82" customFormat="1" ht="13">
      <c r="A12" s="81">
        <f t="shared" si="2"/>
        <v>6</v>
      </c>
      <c r="B12" s="81"/>
      <c r="C12" s="258"/>
      <c r="D12" s="259"/>
      <c r="E12" s="258"/>
      <c r="F12" s="86"/>
      <c r="G12" s="86"/>
      <c r="H12" s="261"/>
      <c r="I12" s="261"/>
      <c r="J12" s="261"/>
      <c r="K12" s="315"/>
      <c r="L12" s="412"/>
      <c r="M12" s="401"/>
      <c r="N12" s="350"/>
      <c r="O12" s="276"/>
      <c r="P12" s="297"/>
      <c r="Q12" s="298"/>
      <c r="R12" s="275"/>
      <c r="S12" s="162">
        <f t="shared" si="3"/>
        <v>0</v>
      </c>
      <c r="T12" s="259"/>
      <c r="U12" s="270">
        <f t="shared" si="0"/>
        <v>0</v>
      </c>
      <c r="V12" s="395">
        <f>U12</f>
        <v>0</v>
      </c>
      <c r="W12" s="90"/>
      <c r="X12" s="91"/>
      <c r="Y12" s="90"/>
    </row>
    <row r="13" spans="1:31" s="82" customFormat="1" ht="13">
      <c r="A13" s="81">
        <f t="shared" si="2"/>
        <v>7</v>
      </c>
      <c r="B13" s="81"/>
      <c r="C13" s="94"/>
      <c r="D13" s="259"/>
      <c r="E13" s="258"/>
      <c r="F13" s="86"/>
      <c r="G13" s="86"/>
      <c r="H13" s="94"/>
      <c r="I13" s="140"/>
      <c r="J13" s="140"/>
      <c r="K13" s="315"/>
      <c r="L13" s="297"/>
      <c r="M13" s="400"/>
      <c r="N13" s="281"/>
      <c r="O13" s="276"/>
      <c r="P13" s="297"/>
      <c r="Q13" s="298"/>
      <c r="R13" s="275"/>
      <c r="S13" s="162">
        <f t="shared" si="3"/>
        <v>0</v>
      </c>
      <c r="T13" s="94"/>
      <c r="U13" s="270">
        <f t="shared" si="0"/>
        <v>0</v>
      </c>
      <c r="V13" s="395">
        <f t="shared" si="1"/>
        <v>0</v>
      </c>
    </row>
    <row r="14" spans="1:31" s="82" customFormat="1">
      <c r="A14" s="81">
        <f t="shared" si="2"/>
        <v>8</v>
      </c>
      <c r="B14" s="81"/>
      <c r="C14" s="258"/>
      <c r="D14" s="259"/>
      <c r="E14" s="258"/>
      <c r="F14" s="86"/>
      <c r="G14" s="86"/>
      <c r="H14" s="261"/>
      <c r="I14" s="140"/>
      <c r="J14" s="140"/>
      <c r="K14" s="315"/>
      <c r="L14" s="349"/>
      <c r="M14" s="94"/>
      <c r="N14" s="443"/>
      <c r="O14" s="276"/>
      <c r="P14" s="275"/>
      <c r="Q14" s="298"/>
      <c r="R14" s="275"/>
      <c r="S14" s="162">
        <f>(1750-F14)/100</f>
        <v>17.5</v>
      </c>
      <c r="T14" s="259"/>
      <c r="U14" s="270">
        <f t="shared" si="0"/>
        <v>0</v>
      </c>
      <c r="V14" s="396">
        <f>Q14+((S14-4)*R14)</f>
        <v>0</v>
      </c>
      <c r="W14" s="90"/>
      <c r="X14" s="91"/>
      <c r="Y14" s="90"/>
    </row>
    <row r="15" spans="1:31" s="82" customFormat="1" ht="14">
      <c r="A15" s="81">
        <f t="shared" si="2"/>
        <v>9</v>
      </c>
      <c r="B15" s="263"/>
      <c r="C15" s="264"/>
      <c r="D15" s="265"/>
      <c r="E15" s="264"/>
      <c r="F15" s="266"/>
      <c r="G15" s="266"/>
      <c r="H15" s="267"/>
      <c r="I15" s="268"/>
      <c r="J15" s="268"/>
      <c r="K15" s="317"/>
      <c r="L15" s="297"/>
      <c r="M15" s="402"/>
      <c r="N15" s="324"/>
      <c r="O15" s="300"/>
      <c r="P15" s="301"/>
      <c r="Q15" s="302"/>
      <c r="R15" s="275"/>
      <c r="S15" s="162">
        <f t="shared" si="3"/>
        <v>0</v>
      </c>
      <c r="T15" s="265"/>
      <c r="U15" s="273">
        <f>S15*R15*(100-P15)/100</f>
        <v>0</v>
      </c>
      <c r="V15" s="395">
        <f>U15</f>
        <v>0</v>
      </c>
      <c r="W15" s="90"/>
      <c r="X15" s="91"/>
      <c r="Y15" s="90"/>
    </row>
    <row r="16" spans="1:31" s="82" customFormat="1">
      <c r="A16" s="81">
        <f t="shared" si="2"/>
        <v>10</v>
      </c>
      <c r="B16" s="81"/>
      <c r="C16" s="258"/>
      <c r="D16" s="259"/>
      <c r="E16" s="258"/>
      <c r="F16" s="86"/>
      <c r="G16" s="86"/>
      <c r="H16" s="261"/>
      <c r="I16" s="140"/>
      <c r="J16" s="140"/>
      <c r="K16" s="315"/>
      <c r="L16" s="297"/>
      <c r="M16" s="132"/>
      <c r="N16" s="325"/>
      <c r="O16" s="276"/>
      <c r="P16" s="272"/>
      <c r="Q16" s="298"/>
      <c r="R16" s="275"/>
      <c r="S16" s="162">
        <f t="shared" si="3"/>
        <v>0</v>
      </c>
      <c r="T16" s="259"/>
      <c r="U16" s="270">
        <f t="shared" si="0"/>
        <v>0</v>
      </c>
      <c r="V16" s="395">
        <f>U16</f>
        <v>0</v>
      </c>
      <c r="W16" s="90"/>
      <c r="X16" s="91"/>
      <c r="Y16" s="90"/>
    </row>
    <row r="17" spans="1:25" s="82" customFormat="1">
      <c r="A17" s="81">
        <f t="shared" si="2"/>
        <v>11</v>
      </c>
      <c r="B17" s="81"/>
      <c r="C17" s="258"/>
      <c r="D17" s="259"/>
      <c r="E17" s="258"/>
      <c r="F17" s="86"/>
      <c r="G17" s="86"/>
      <c r="H17" s="261"/>
      <c r="I17" s="140"/>
      <c r="J17" s="140"/>
      <c r="K17" s="315"/>
      <c r="L17" s="297"/>
      <c r="M17" s="132"/>
      <c r="N17" s="325"/>
      <c r="O17" s="276"/>
      <c r="P17" s="272"/>
      <c r="Q17" s="274"/>
      <c r="R17" s="275"/>
      <c r="S17" s="162">
        <f t="shared" si="3"/>
        <v>0</v>
      </c>
      <c r="T17" s="259"/>
      <c r="U17" s="270">
        <f t="shared" si="0"/>
        <v>0</v>
      </c>
      <c r="V17" s="395">
        <f>U17</f>
        <v>0</v>
      </c>
      <c r="W17" s="90"/>
      <c r="X17" s="91"/>
      <c r="Y17" s="90"/>
    </row>
    <row r="18" spans="1:25" s="82" customFormat="1">
      <c r="A18" s="81">
        <f t="shared" si="2"/>
        <v>12</v>
      </c>
      <c r="B18" s="81"/>
      <c r="C18" s="258"/>
      <c r="D18" s="259"/>
      <c r="E18" s="258"/>
      <c r="F18" s="86"/>
      <c r="G18" s="86"/>
      <c r="H18" s="261"/>
      <c r="I18" s="140"/>
      <c r="J18" s="140"/>
      <c r="K18" s="315"/>
      <c r="L18" s="297"/>
      <c r="M18" s="295"/>
      <c r="N18" s="271"/>
      <c r="O18" s="276"/>
      <c r="P18" s="272"/>
      <c r="Q18" s="303"/>
      <c r="R18" s="275"/>
      <c r="S18" s="162">
        <f t="shared" si="3"/>
        <v>0</v>
      </c>
      <c r="T18" s="94"/>
      <c r="U18" s="270">
        <f>S18*R18*(100-P18)/100</f>
        <v>0</v>
      </c>
      <c r="V18" s="395">
        <f>U18</f>
        <v>0</v>
      </c>
    </row>
    <row r="19" spans="1:25" s="82" customFormat="1">
      <c r="A19" s="81">
        <f t="shared" si="2"/>
        <v>13</v>
      </c>
      <c r="B19" s="81"/>
      <c r="C19" s="258"/>
      <c r="D19" s="259"/>
      <c r="E19" s="258"/>
      <c r="F19" s="86"/>
      <c r="G19" s="86"/>
      <c r="H19" s="261"/>
      <c r="I19" s="140"/>
      <c r="J19" s="140"/>
      <c r="K19" s="315"/>
      <c r="L19" s="297"/>
      <c r="M19" s="352"/>
      <c r="N19" s="271"/>
      <c r="O19" s="276"/>
      <c r="P19" s="297"/>
      <c r="Q19" s="275"/>
      <c r="R19" s="275"/>
      <c r="S19" s="162">
        <f t="shared" si="3"/>
        <v>0</v>
      </c>
      <c r="T19" s="259"/>
      <c r="U19" s="270">
        <f t="shared" si="0"/>
        <v>0</v>
      </c>
      <c r="V19" s="396">
        <f>Q19+((S19-4)*R19)</f>
        <v>0</v>
      </c>
      <c r="W19" s="90"/>
      <c r="X19" s="91"/>
      <c r="Y19" s="90"/>
    </row>
    <row r="20" spans="1:25" s="82" customFormat="1">
      <c r="A20" s="81">
        <f t="shared" si="2"/>
        <v>14</v>
      </c>
      <c r="B20" s="81"/>
      <c r="C20" s="258"/>
      <c r="D20" s="259"/>
      <c r="E20" s="258"/>
      <c r="F20" s="86"/>
      <c r="G20" s="86"/>
      <c r="H20" s="261"/>
      <c r="I20" s="140"/>
      <c r="J20" s="140"/>
      <c r="K20" s="315"/>
      <c r="L20" s="412"/>
      <c r="M20" s="94"/>
      <c r="N20" s="633"/>
      <c r="O20" s="276"/>
      <c r="P20" s="275"/>
      <c r="Q20" s="274"/>
      <c r="R20" s="275"/>
      <c r="S20" s="162">
        <f t="shared" si="3"/>
        <v>0</v>
      </c>
      <c r="T20" s="259"/>
      <c r="U20" s="270">
        <f t="shared" si="0"/>
        <v>0</v>
      </c>
      <c r="V20" s="397">
        <f t="shared" ref="V20:V48" si="4">U20</f>
        <v>0</v>
      </c>
      <c r="W20" s="90"/>
      <c r="X20" s="91"/>
      <c r="Y20" s="90"/>
    </row>
    <row r="21" spans="1:25" s="82" customFormat="1">
      <c r="A21" s="81">
        <f t="shared" si="2"/>
        <v>15</v>
      </c>
      <c r="B21" s="81"/>
      <c r="C21" s="258"/>
      <c r="D21" s="259"/>
      <c r="E21" s="258"/>
      <c r="F21" s="86"/>
      <c r="G21" s="86"/>
      <c r="H21" s="261"/>
      <c r="I21" s="140"/>
      <c r="J21" s="140"/>
      <c r="K21" s="315"/>
      <c r="L21" s="297"/>
      <c r="M21" s="354"/>
      <c r="N21" s="271"/>
      <c r="O21" s="276"/>
      <c r="P21" s="272"/>
      <c r="Q21" s="298"/>
      <c r="R21" s="275"/>
      <c r="S21" s="162">
        <f t="shared" si="3"/>
        <v>0</v>
      </c>
      <c r="T21" s="259"/>
      <c r="U21" s="270">
        <f t="shared" si="0"/>
        <v>0</v>
      </c>
      <c r="V21" s="395">
        <f t="shared" si="4"/>
        <v>0</v>
      </c>
      <c r="W21" s="90"/>
      <c r="X21" s="91"/>
      <c r="Y21" s="90"/>
    </row>
    <row r="22" spans="1:25" s="82" customFormat="1">
      <c r="A22" s="81">
        <f t="shared" si="2"/>
        <v>16</v>
      </c>
      <c r="B22" s="81"/>
      <c r="C22" s="258"/>
      <c r="D22" s="259"/>
      <c r="E22" s="258"/>
      <c r="F22" s="86"/>
      <c r="G22" s="86"/>
      <c r="H22" s="261"/>
      <c r="I22" s="140"/>
      <c r="J22" s="140"/>
      <c r="K22" s="315"/>
      <c r="L22" s="297"/>
      <c r="M22" s="132"/>
      <c r="N22" s="271"/>
      <c r="O22" s="276"/>
      <c r="P22" s="298"/>
      <c r="Q22" s="298"/>
      <c r="R22" s="275"/>
      <c r="S22" s="162">
        <f t="shared" si="3"/>
        <v>0</v>
      </c>
      <c r="T22" s="94"/>
      <c r="U22" s="270">
        <f t="shared" si="0"/>
        <v>0</v>
      </c>
      <c r="V22" s="395">
        <f t="shared" si="4"/>
        <v>0</v>
      </c>
    </row>
    <row r="23" spans="1:25" s="82" customFormat="1">
      <c r="A23" s="81">
        <f t="shared" si="2"/>
        <v>17</v>
      </c>
      <c r="B23" s="81"/>
      <c r="C23" s="258"/>
      <c r="D23" s="259"/>
      <c r="E23" s="258"/>
      <c r="F23" s="86"/>
      <c r="G23" s="86"/>
      <c r="H23" s="261"/>
      <c r="I23" s="140"/>
      <c r="J23" s="140"/>
      <c r="K23" s="315"/>
      <c r="L23" s="297"/>
      <c r="M23" s="295"/>
      <c r="N23" s="271"/>
      <c r="O23" s="276"/>
      <c r="P23" s="272"/>
      <c r="Q23" s="298"/>
      <c r="R23" s="275"/>
      <c r="S23" s="162">
        <f t="shared" si="3"/>
        <v>0</v>
      </c>
      <c r="T23" s="259"/>
      <c r="U23" s="270">
        <f t="shared" si="0"/>
        <v>0</v>
      </c>
      <c r="V23" s="347">
        <f>Q23+((S23-4)*R23)</f>
        <v>0</v>
      </c>
      <c r="W23" s="90"/>
      <c r="X23" s="91"/>
      <c r="Y23" s="90"/>
    </row>
    <row r="24" spans="1:25" s="82" customFormat="1">
      <c r="A24" s="81">
        <f t="shared" si="2"/>
        <v>18</v>
      </c>
      <c r="B24" s="81"/>
      <c r="C24" s="258"/>
      <c r="D24" s="259"/>
      <c r="E24" s="258"/>
      <c r="F24" s="86"/>
      <c r="G24" s="86"/>
      <c r="H24" s="261"/>
      <c r="I24" s="140"/>
      <c r="J24" s="140"/>
      <c r="K24" s="315"/>
      <c r="L24" s="297"/>
      <c r="M24" s="132"/>
      <c r="N24" s="271"/>
      <c r="O24" s="276"/>
      <c r="P24" s="272"/>
      <c r="Q24" s="274"/>
      <c r="R24" s="275"/>
      <c r="S24" s="162">
        <f t="shared" si="3"/>
        <v>0</v>
      </c>
      <c r="T24" s="259"/>
      <c r="U24" s="270">
        <f t="shared" si="0"/>
        <v>0</v>
      </c>
      <c r="V24" s="124">
        <f t="shared" si="4"/>
        <v>0</v>
      </c>
      <c r="W24" s="90"/>
      <c r="X24" s="91"/>
      <c r="Y24" s="90"/>
    </row>
    <row r="25" spans="1:25" s="82" customFormat="1">
      <c r="A25" s="81">
        <f t="shared" si="2"/>
        <v>19</v>
      </c>
      <c r="B25" s="81"/>
      <c r="C25" s="258"/>
      <c r="D25" s="259"/>
      <c r="E25" s="258"/>
      <c r="F25" s="86"/>
      <c r="G25" s="86"/>
      <c r="H25" s="261"/>
      <c r="I25" s="140"/>
      <c r="J25" s="140"/>
      <c r="K25" s="315"/>
      <c r="L25" s="297"/>
      <c r="M25" s="295"/>
      <c r="N25" s="325"/>
      <c r="O25" s="276"/>
      <c r="P25" s="298"/>
      <c r="Q25" s="275"/>
      <c r="R25" s="275"/>
      <c r="S25" s="162">
        <f t="shared" si="3"/>
        <v>0</v>
      </c>
      <c r="T25" s="94"/>
      <c r="U25" s="270">
        <f t="shared" si="0"/>
        <v>0</v>
      </c>
      <c r="V25" s="347">
        <f>U25</f>
        <v>0</v>
      </c>
    </row>
    <row r="26" spans="1:25" s="82" customFormat="1">
      <c r="A26" s="81">
        <f t="shared" si="2"/>
        <v>20</v>
      </c>
      <c r="B26" s="81"/>
      <c r="C26" s="258"/>
      <c r="D26" s="259"/>
      <c r="E26" s="258"/>
      <c r="F26" s="86"/>
      <c r="G26" s="86"/>
      <c r="H26" s="261"/>
      <c r="I26" s="140"/>
      <c r="J26" s="140"/>
      <c r="K26" s="315"/>
      <c r="L26" s="297"/>
      <c r="M26" s="132"/>
      <c r="N26" s="325"/>
      <c r="O26" s="276"/>
      <c r="P26" s="298"/>
      <c r="Q26" s="274"/>
      <c r="R26" s="275"/>
      <c r="S26" s="162">
        <f t="shared" si="3"/>
        <v>0</v>
      </c>
      <c r="T26" s="259"/>
      <c r="U26" s="270">
        <f t="shared" si="0"/>
        <v>0</v>
      </c>
      <c r="V26" s="347">
        <f t="shared" si="4"/>
        <v>0</v>
      </c>
      <c r="W26" s="90"/>
      <c r="X26" s="91"/>
      <c r="Y26" s="90"/>
    </row>
    <row r="27" spans="1:25" s="82" customFormat="1">
      <c r="A27" s="81">
        <f t="shared" si="2"/>
        <v>21</v>
      </c>
      <c r="B27" s="81"/>
      <c r="C27" s="258"/>
      <c r="D27" s="259"/>
      <c r="E27" s="258"/>
      <c r="F27" s="86"/>
      <c r="G27" s="86"/>
      <c r="H27" s="261"/>
      <c r="I27" s="140"/>
      <c r="J27" s="140"/>
      <c r="K27" s="315"/>
      <c r="L27" s="297"/>
      <c r="M27" s="132"/>
      <c r="N27" s="448"/>
      <c r="O27" s="276"/>
      <c r="P27" s="298"/>
      <c r="Q27" s="298"/>
      <c r="R27" s="275"/>
      <c r="S27" s="162">
        <f t="shared" si="3"/>
        <v>0</v>
      </c>
      <c r="T27" s="94"/>
      <c r="U27" s="270">
        <f t="shared" si="0"/>
        <v>0</v>
      </c>
      <c r="V27" s="395">
        <f t="shared" si="4"/>
        <v>0</v>
      </c>
    </row>
    <row r="28" spans="1:25" s="82" customFormat="1">
      <c r="A28" s="81">
        <f t="shared" si="2"/>
        <v>22</v>
      </c>
      <c r="B28" s="81"/>
      <c r="C28" s="258"/>
      <c r="D28" s="259"/>
      <c r="E28" s="258"/>
      <c r="F28" s="86"/>
      <c r="G28" s="86"/>
      <c r="H28" s="261"/>
      <c r="I28" s="140"/>
      <c r="J28" s="140"/>
      <c r="K28" s="315"/>
      <c r="L28" s="297"/>
      <c r="M28" s="132"/>
      <c r="N28" s="277"/>
      <c r="O28" s="276"/>
      <c r="P28" s="272"/>
      <c r="Q28" s="298"/>
      <c r="R28" s="275"/>
      <c r="S28" s="162">
        <f t="shared" si="3"/>
        <v>0</v>
      </c>
      <c r="T28" s="259"/>
      <c r="U28" s="270">
        <f t="shared" si="0"/>
        <v>0</v>
      </c>
      <c r="V28" s="124">
        <f t="shared" si="4"/>
        <v>0</v>
      </c>
      <c r="W28" s="90"/>
      <c r="X28" s="91"/>
      <c r="Y28" s="90"/>
    </row>
    <row r="29" spans="1:25" s="82" customFormat="1">
      <c r="A29" s="81">
        <f t="shared" si="2"/>
        <v>23</v>
      </c>
      <c r="B29" s="81"/>
      <c r="C29" s="258"/>
      <c r="D29" s="259"/>
      <c r="E29" s="258"/>
      <c r="F29" s="86"/>
      <c r="G29" s="86"/>
      <c r="H29" s="261"/>
      <c r="I29" s="140"/>
      <c r="J29" s="140"/>
      <c r="K29" s="315"/>
      <c r="L29" s="295"/>
      <c r="N29" s="448"/>
      <c r="O29" s="276"/>
      <c r="P29" s="272"/>
      <c r="Q29" s="303"/>
      <c r="R29" s="275"/>
      <c r="S29" s="162">
        <f t="shared" si="3"/>
        <v>0</v>
      </c>
      <c r="T29" s="94"/>
      <c r="U29" s="270">
        <f t="shared" si="0"/>
        <v>0</v>
      </c>
      <c r="V29" s="395">
        <f t="shared" si="4"/>
        <v>0</v>
      </c>
      <c r="W29" s="82" t="s">
        <v>848</v>
      </c>
    </row>
    <row r="30" spans="1:25" s="82" customFormat="1" ht="13">
      <c r="A30" s="81">
        <f t="shared" si="2"/>
        <v>24</v>
      </c>
      <c r="B30" s="81"/>
      <c r="C30" s="258"/>
      <c r="D30" s="259"/>
      <c r="E30" s="258"/>
      <c r="F30" s="86"/>
      <c r="G30" s="86"/>
      <c r="H30" s="261"/>
      <c r="I30" s="140"/>
      <c r="J30" s="140"/>
      <c r="K30" s="315"/>
      <c r="L30" s="297"/>
      <c r="M30" s="132"/>
      <c r="N30" s="278"/>
      <c r="O30" s="276"/>
      <c r="P30" s="298"/>
      <c r="Q30" s="303"/>
      <c r="R30" s="275"/>
      <c r="S30" s="162">
        <f t="shared" si="3"/>
        <v>0</v>
      </c>
      <c r="T30" s="259"/>
      <c r="U30" s="270">
        <f>S30*R30*(100-P30)/100</f>
        <v>0</v>
      </c>
      <c r="V30" s="347">
        <f t="shared" si="4"/>
        <v>0</v>
      </c>
      <c r="W30" s="90"/>
      <c r="X30" s="91"/>
      <c r="Y30" s="90"/>
    </row>
    <row r="31" spans="1:25" s="82" customFormat="1" ht="13">
      <c r="A31" s="81">
        <f t="shared" si="2"/>
        <v>25</v>
      </c>
      <c r="B31" s="81"/>
      <c r="C31" s="258"/>
      <c r="D31" s="259"/>
      <c r="E31" s="258"/>
      <c r="F31" s="86"/>
      <c r="G31" s="86"/>
      <c r="H31" s="261"/>
      <c r="I31" s="140"/>
      <c r="J31" s="140"/>
      <c r="K31" s="315"/>
      <c r="L31" s="297"/>
      <c r="M31" s="295"/>
      <c r="N31" s="451"/>
      <c r="O31" s="276"/>
      <c r="P31" s="298"/>
      <c r="Q31" s="308"/>
      <c r="R31" s="275"/>
      <c r="S31" s="162">
        <f t="shared" si="3"/>
        <v>0</v>
      </c>
      <c r="T31" s="259"/>
      <c r="U31" s="270">
        <f t="shared" si="0"/>
        <v>0</v>
      </c>
      <c r="V31" s="397">
        <f t="shared" si="4"/>
        <v>0</v>
      </c>
      <c r="W31" s="90"/>
      <c r="X31" s="91"/>
      <c r="Y31" s="90"/>
    </row>
    <row r="32" spans="1:25" s="82" customFormat="1">
      <c r="A32" s="81">
        <f t="shared" si="2"/>
        <v>26</v>
      </c>
      <c r="B32" s="81"/>
      <c r="C32" s="258"/>
      <c r="D32" s="259"/>
      <c r="E32" s="258"/>
      <c r="F32" s="86"/>
      <c r="G32" s="86"/>
      <c r="H32" s="261"/>
      <c r="I32" s="140"/>
      <c r="J32" s="140"/>
      <c r="K32" s="315"/>
      <c r="L32" s="297"/>
      <c r="M32" s="132"/>
      <c r="N32" s="448"/>
      <c r="O32" s="276"/>
      <c r="P32" s="272"/>
      <c r="Q32" s="275"/>
      <c r="R32" s="275"/>
      <c r="S32" s="162">
        <f t="shared" si="3"/>
        <v>0</v>
      </c>
      <c r="T32" s="259"/>
      <c r="U32" s="270">
        <f>S32*R32*(100-P32)/100</f>
        <v>0</v>
      </c>
      <c r="V32" s="395">
        <f t="shared" si="4"/>
        <v>0</v>
      </c>
      <c r="W32" s="90"/>
      <c r="X32" s="91"/>
      <c r="Y32" s="90"/>
    </row>
    <row r="33" spans="1:25" s="82" customFormat="1" ht="14">
      <c r="A33" s="81">
        <f t="shared" si="2"/>
        <v>27</v>
      </c>
      <c r="B33" s="81"/>
      <c r="C33" s="258"/>
      <c r="D33" s="259"/>
      <c r="E33" s="258"/>
      <c r="F33" s="86"/>
      <c r="G33" s="86"/>
      <c r="H33" s="261"/>
      <c r="I33" s="140"/>
      <c r="J33" s="140"/>
      <c r="K33" s="315"/>
      <c r="L33" s="297"/>
      <c r="M33" s="132"/>
      <c r="N33" s="278"/>
      <c r="O33" s="276"/>
      <c r="P33" s="272"/>
      <c r="Q33" s="298"/>
      <c r="R33" s="275"/>
      <c r="S33" s="162">
        <f t="shared" si="3"/>
        <v>0</v>
      </c>
      <c r="T33" s="259"/>
      <c r="U33" s="270">
        <f>S33*R33*(100-P33)/100</f>
        <v>0</v>
      </c>
      <c r="V33" s="395">
        <f t="shared" si="4"/>
        <v>0</v>
      </c>
      <c r="W33" s="90"/>
      <c r="X33" s="91"/>
      <c r="Y33" s="90"/>
    </row>
    <row r="34" spans="1:25" s="82" customFormat="1" ht="13">
      <c r="A34" s="81">
        <f t="shared" si="2"/>
        <v>28</v>
      </c>
      <c r="B34" s="81"/>
      <c r="C34" s="258"/>
      <c r="D34" s="259"/>
      <c r="E34" s="258"/>
      <c r="F34" s="86"/>
      <c r="G34" s="86"/>
      <c r="H34" s="261"/>
      <c r="I34" s="140"/>
      <c r="J34" s="140"/>
      <c r="K34" s="315"/>
      <c r="L34" s="297"/>
      <c r="M34" s="132"/>
      <c r="N34" s="278"/>
      <c r="O34" s="276"/>
      <c r="P34" s="297"/>
      <c r="Q34" s="298"/>
      <c r="R34" s="275"/>
      <c r="S34" s="162">
        <f t="shared" si="3"/>
        <v>0</v>
      </c>
      <c r="T34" s="259"/>
      <c r="U34" s="270">
        <f>S34*R34*(100-P34)/100</f>
        <v>0</v>
      </c>
      <c r="V34" s="396">
        <f>U34</f>
        <v>0</v>
      </c>
      <c r="W34" s="90"/>
      <c r="X34" s="91"/>
      <c r="Y34" s="90"/>
    </row>
    <row r="35" spans="1:25" s="82" customFormat="1" ht="13">
      <c r="A35" s="81">
        <f t="shared" si="2"/>
        <v>29</v>
      </c>
      <c r="B35" s="81"/>
      <c r="C35" s="258"/>
      <c r="D35" s="259"/>
      <c r="E35" s="258"/>
      <c r="F35" s="86"/>
      <c r="G35" s="86"/>
      <c r="H35" s="261"/>
      <c r="I35" s="140"/>
      <c r="J35" s="140"/>
      <c r="K35" s="315"/>
      <c r="L35" s="297"/>
      <c r="M35" s="132"/>
      <c r="N35" s="278"/>
      <c r="O35" s="276"/>
      <c r="P35" s="297"/>
      <c r="Q35" s="298"/>
      <c r="R35" s="275"/>
      <c r="S35" s="162">
        <f t="shared" si="3"/>
        <v>0</v>
      </c>
      <c r="T35" s="259"/>
      <c r="U35" s="270">
        <f>S35*R35*(100-P35)/100</f>
        <v>0</v>
      </c>
      <c r="V35" s="386">
        <f>U35</f>
        <v>0</v>
      </c>
      <c r="W35" s="90" t="s">
        <v>848</v>
      </c>
      <c r="X35" s="91"/>
      <c r="Y35" s="90"/>
    </row>
    <row r="36" spans="1:25" s="82" customFormat="1">
      <c r="A36" s="81">
        <f t="shared" si="2"/>
        <v>30</v>
      </c>
      <c r="B36" s="81"/>
      <c r="C36" s="258"/>
      <c r="D36" s="259"/>
      <c r="E36" s="269"/>
      <c r="F36" s="86"/>
      <c r="G36" s="86"/>
      <c r="H36" s="261"/>
      <c r="I36" s="140"/>
      <c r="J36" s="140"/>
      <c r="K36" s="315"/>
      <c r="L36" s="297"/>
      <c r="M36" s="132"/>
      <c r="N36" s="277"/>
      <c r="O36" s="276"/>
      <c r="P36" s="297"/>
      <c r="Q36" s="298"/>
      <c r="R36" s="275"/>
      <c r="S36" s="162">
        <f>(1650-F36)/100</f>
        <v>16.5</v>
      </c>
      <c r="T36" s="259"/>
      <c r="U36" s="270">
        <f>S36*R36*(100-P36)/100</f>
        <v>0</v>
      </c>
      <c r="V36" s="396">
        <f>U36</f>
        <v>0</v>
      </c>
      <c r="W36" s="90"/>
      <c r="X36" s="91"/>
      <c r="Y36" s="90"/>
    </row>
    <row r="37" spans="1:25" s="82" customFormat="1">
      <c r="A37" s="81">
        <f t="shared" si="2"/>
        <v>31</v>
      </c>
      <c r="B37" s="81"/>
      <c r="C37" s="258"/>
      <c r="D37" s="259"/>
      <c r="E37" s="258"/>
      <c r="F37" s="86"/>
      <c r="G37" s="86"/>
      <c r="H37" s="261"/>
      <c r="I37" s="140"/>
      <c r="J37" s="140"/>
      <c r="K37" s="315"/>
      <c r="L37" s="297"/>
      <c r="M37" s="295"/>
      <c r="N37" s="448"/>
      <c r="O37" s="276"/>
      <c r="P37" s="272"/>
      <c r="Q37" s="298"/>
      <c r="R37" s="275"/>
      <c r="S37" s="162">
        <f>(1650-F37)/100</f>
        <v>16.5</v>
      </c>
      <c r="T37" s="259"/>
      <c r="U37" s="270">
        <f t="shared" ref="U37:U66" si="5">S37*R37*(100-P37)/100</f>
        <v>0</v>
      </c>
      <c r="V37" s="395">
        <f t="shared" si="4"/>
        <v>0</v>
      </c>
      <c r="W37" s="90"/>
      <c r="X37" s="91"/>
      <c r="Y37" s="90"/>
    </row>
    <row r="38" spans="1:25" s="82" customFormat="1">
      <c r="A38" s="81">
        <f t="shared" si="2"/>
        <v>32</v>
      </c>
      <c r="B38" s="81"/>
      <c r="C38" s="258"/>
      <c r="D38" s="259"/>
      <c r="E38" s="258"/>
      <c r="F38" s="86"/>
      <c r="G38" s="86"/>
      <c r="H38" s="261"/>
      <c r="I38" s="140"/>
      <c r="J38" s="140"/>
      <c r="K38" s="315"/>
      <c r="L38" s="297"/>
      <c r="M38" s="295"/>
      <c r="N38" s="448"/>
      <c r="O38" s="276"/>
      <c r="P38" s="272"/>
      <c r="Q38" s="298"/>
      <c r="R38" s="275"/>
      <c r="S38" s="162">
        <f t="shared" si="3"/>
        <v>0</v>
      </c>
      <c r="T38" s="259"/>
      <c r="U38" s="270">
        <f t="shared" si="5"/>
        <v>0</v>
      </c>
      <c r="V38" s="395">
        <f t="shared" si="4"/>
        <v>0</v>
      </c>
      <c r="W38" s="90"/>
      <c r="X38" s="91"/>
      <c r="Y38" s="90"/>
    </row>
    <row r="39" spans="1:25" s="82" customFormat="1">
      <c r="A39" s="81">
        <f t="shared" si="2"/>
        <v>33</v>
      </c>
      <c r="B39" s="81"/>
      <c r="C39" s="258"/>
      <c r="D39" s="259"/>
      <c r="E39" s="258"/>
      <c r="F39" s="86"/>
      <c r="G39" s="86"/>
      <c r="H39" s="261"/>
      <c r="I39" s="140"/>
      <c r="J39" s="140"/>
      <c r="K39" s="315"/>
      <c r="L39" s="297"/>
      <c r="M39" s="295"/>
      <c r="N39" s="277"/>
      <c r="O39" s="276"/>
      <c r="P39" s="272"/>
      <c r="Q39" s="298"/>
      <c r="R39" s="275"/>
      <c r="S39" s="162">
        <f t="shared" si="3"/>
        <v>0</v>
      </c>
      <c r="T39" s="259"/>
      <c r="U39" s="270">
        <f t="shared" si="5"/>
        <v>0</v>
      </c>
      <c r="V39" s="347">
        <f t="shared" si="4"/>
        <v>0</v>
      </c>
      <c r="W39" s="90"/>
      <c r="X39" s="90"/>
      <c r="Y39" s="90"/>
    </row>
    <row r="40" spans="1:25" s="82" customFormat="1">
      <c r="A40" s="81">
        <f t="shared" si="2"/>
        <v>34</v>
      </c>
      <c r="B40" s="81"/>
      <c r="C40" s="258"/>
      <c r="D40" s="259"/>
      <c r="E40" s="258"/>
      <c r="F40" s="86"/>
      <c r="G40" s="86"/>
      <c r="H40" s="261"/>
      <c r="I40" s="140"/>
      <c r="J40" s="140"/>
      <c r="K40" s="315"/>
      <c r="L40" s="297"/>
      <c r="M40" s="295"/>
      <c r="N40" s="448"/>
      <c r="O40" s="276"/>
      <c r="P40" s="272"/>
      <c r="Q40" s="298"/>
      <c r="R40" s="275"/>
      <c r="S40" s="162">
        <f t="shared" si="3"/>
        <v>0</v>
      </c>
      <c r="T40" s="94"/>
      <c r="U40" s="270">
        <f t="shared" si="5"/>
        <v>0</v>
      </c>
      <c r="V40" s="124">
        <f t="shared" si="4"/>
        <v>0</v>
      </c>
    </row>
    <row r="41" spans="1:25" s="82" customFormat="1" ht="13">
      <c r="A41" s="81">
        <f t="shared" si="2"/>
        <v>35</v>
      </c>
      <c r="B41" s="81"/>
      <c r="C41" s="258"/>
      <c r="D41" s="259"/>
      <c r="E41" s="258"/>
      <c r="F41" s="86"/>
      <c r="G41" s="86"/>
      <c r="H41" s="261"/>
      <c r="I41" s="140"/>
      <c r="J41" s="140"/>
      <c r="K41" s="315"/>
      <c r="L41" s="297"/>
      <c r="M41" s="295"/>
      <c r="N41" s="451"/>
      <c r="O41" s="276"/>
      <c r="P41" s="298"/>
      <c r="Q41" s="298"/>
      <c r="R41" s="275"/>
      <c r="S41" s="162">
        <f>(1450-F41)/100</f>
        <v>14.5</v>
      </c>
      <c r="T41" s="94"/>
      <c r="U41" s="270">
        <f t="shared" si="5"/>
        <v>0</v>
      </c>
      <c r="V41" s="397">
        <f t="shared" si="4"/>
        <v>0</v>
      </c>
    </row>
    <row r="42" spans="1:25" s="82" customFormat="1" ht="14">
      <c r="A42" s="81">
        <f t="shared" si="2"/>
        <v>36</v>
      </c>
      <c r="B42" s="81"/>
      <c r="C42" s="258"/>
      <c r="D42" s="259"/>
      <c r="E42" s="258"/>
      <c r="F42" s="86"/>
      <c r="G42" s="86"/>
      <c r="H42" s="261"/>
      <c r="I42" s="140"/>
      <c r="J42" s="140"/>
      <c r="K42" s="315"/>
      <c r="L42" s="297"/>
      <c r="M42" s="295"/>
      <c r="N42" s="278"/>
      <c r="O42" s="276"/>
      <c r="P42" s="272"/>
      <c r="Q42" s="298"/>
      <c r="R42" s="275"/>
      <c r="S42" s="162">
        <f t="shared" si="3"/>
        <v>0</v>
      </c>
      <c r="T42" s="94"/>
      <c r="U42" s="270">
        <f t="shared" si="5"/>
        <v>0</v>
      </c>
      <c r="V42" s="395">
        <f>U42</f>
        <v>0</v>
      </c>
    </row>
    <row r="43" spans="1:25" s="82" customFormat="1">
      <c r="A43" s="81">
        <f t="shared" si="2"/>
        <v>37</v>
      </c>
      <c r="B43" s="81"/>
      <c r="C43" s="258"/>
      <c r="D43" s="259"/>
      <c r="E43" s="258"/>
      <c r="F43" s="86"/>
      <c r="G43" s="86"/>
      <c r="H43" s="261"/>
      <c r="I43" s="140"/>
      <c r="J43" s="140"/>
      <c r="K43" s="315"/>
      <c r="L43" s="297"/>
      <c r="M43" s="295"/>
      <c r="N43" s="451"/>
      <c r="O43" s="276"/>
      <c r="P43" s="279"/>
      <c r="Q43" s="298"/>
      <c r="R43" s="275"/>
      <c r="S43" s="162">
        <f>(1550-F43)/100</f>
        <v>15.5</v>
      </c>
      <c r="T43" s="46"/>
      <c r="U43" s="270">
        <f t="shared" si="5"/>
        <v>0</v>
      </c>
      <c r="V43" s="395">
        <f t="shared" si="4"/>
        <v>0</v>
      </c>
    </row>
    <row r="44" spans="1:25" s="82" customFormat="1" ht="13">
      <c r="A44" s="81">
        <f t="shared" si="2"/>
        <v>38</v>
      </c>
      <c r="B44" s="81"/>
      <c r="C44" s="258"/>
      <c r="D44" s="259"/>
      <c r="E44" s="258"/>
      <c r="F44" s="86"/>
      <c r="G44" s="86"/>
      <c r="H44" s="261"/>
      <c r="I44" s="261"/>
      <c r="J44" s="261"/>
      <c r="K44" s="315"/>
      <c r="L44" s="297"/>
      <c r="M44" s="132"/>
      <c r="N44" s="280"/>
      <c r="O44" s="276"/>
      <c r="P44" s="297"/>
      <c r="Q44" s="298"/>
      <c r="R44" s="275"/>
      <c r="S44" s="162">
        <f t="shared" si="3"/>
        <v>0</v>
      </c>
      <c r="T44" s="259"/>
      <c r="U44" s="270">
        <f t="shared" si="5"/>
        <v>0</v>
      </c>
      <c r="V44" s="395">
        <f t="shared" si="4"/>
        <v>0</v>
      </c>
      <c r="W44" s="90"/>
      <c r="X44" s="91"/>
      <c r="Y44" s="90"/>
    </row>
    <row r="45" spans="1:25" s="82" customFormat="1" ht="13">
      <c r="A45" s="81">
        <f t="shared" si="2"/>
        <v>39</v>
      </c>
      <c r="B45" s="81"/>
      <c r="C45" s="258"/>
      <c r="D45" s="259"/>
      <c r="E45" s="258"/>
      <c r="F45" s="86"/>
      <c r="G45" s="86"/>
      <c r="H45" s="261"/>
      <c r="I45" s="261"/>
      <c r="J45" s="261"/>
      <c r="K45" s="315"/>
      <c r="L45" s="297"/>
      <c r="M45" s="309"/>
      <c r="N45" s="280"/>
      <c r="O45" s="276"/>
      <c r="P45" s="297"/>
      <c r="Q45" s="275"/>
      <c r="R45" s="275"/>
      <c r="S45" s="162">
        <f t="shared" si="3"/>
        <v>0</v>
      </c>
      <c r="T45" s="259"/>
      <c r="U45" s="270">
        <f t="shared" si="5"/>
        <v>0</v>
      </c>
      <c r="V45" s="347">
        <f t="shared" si="4"/>
        <v>0</v>
      </c>
      <c r="W45" s="90"/>
      <c r="X45" s="91"/>
      <c r="Y45" s="90"/>
    </row>
    <row r="46" spans="1:25" s="82" customFormat="1" ht="13">
      <c r="A46" s="81">
        <f t="shared" si="2"/>
        <v>40</v>
      </c>
      <c r="B46" s="81"/>
      <c r="C46" s="94"/>
      <c r="D46" s="94"/>
      <c r="E46" s="139"/>
      <c r="F46" s="96"/>
      <c r="G46" s="96"/>
      <c r="H46" s="95"/>
      <c r="I46" s="140"/>
      <c r="J46" s="140"/>
      <c r="K46" s="316"/>
      <c r="L46" s="297"/>
      <c r="M46" s="295"/>
      <c r="N46" s="310"/>
      <c r="O46" s="311"/>
      <c r="P46" s="311"/>
      <c r="Q46" s="298"/>
      <c r="R46" s="275"/>
      <c r="S46" s="162">
        <f t="shared" si="3"/>
        <v>0</v>
      </c>
      <c r="T46" s="95"/>
      <c r="U46" s="270">
        <f t="shared" si="5"/>
        <v>0</v>
      </c>
      <c r="V46" s="397">
        <f t="shared" si="4"/>
        <v>0</v>
      </c>
    </row>
    <row r="47" spans="1:25" s="82" customFormat="1" ht="13">
      <c r="A47" s="81">
        <f t="shared" si="2"/>
        <v>41</v>
      </c>
      <c r="B47" s="81"/>
      <c r="C47" s="94"/>
      <c r="D47" s="94"/>
      <c r="E47" s="102"/>
      <c r="F47" s="86"/>
      <c r="G47" s="86"/>
      <c r="H47" s="94"/>
      <c r="I47" s="140"/>
      <c r="J47" s="140"/>
      <c r="K47" s="316"/>
      <c r="L47" s="297"/>
      <c r="M47" s="295"/>
      <c r="N47" s="281"/>
      <c r="O47" s="132"/>
      <c r="P47" s="132"/>
      <c r="Q47" s="298"/>
      <c r="R47" s="275"/>
      <c r="S47" s="162">
        <f t="shared" si="3"/>
        <v>0</v>
      </c>
      <c r="T47" s="94"/>
      <c r="U47" s="270">
        <f t="shared" si="5"/>
        <v>0</v>
      </c>
      <c r="V47" s="395">
        <f t="shared" si="4"/>
        <v>0</v>
      </c>
    </row>
    <row r="48" spans="1:25" s="82" customFormat="1" ht="13">
      <c r="A48" s="81">
        <f t="shared" si="2"/>
        <v>42</v>
      </c>
      <c r="B48" s="81"/>
      <c r="C48" s="258"/>
      <c r="D48" s="259"/>
      <c r="E48" s="258"/>
      <c r="F48" s="86"/>
      <c r="G48" s="86"/>
      <c r="H48" s="261"/>
      <c r="I48" s="261"/>
      <c r="J48" s="261"/>
      <c r="K48" s="315"/>
      <c r="L48" s="297"/>
      <c r="M48" s="295"/>
      <c r="N48" s="280"/>
      <c r="O48" s="276"/>
      <c r="P48" s="297"/>
      <c r="Q48" s="298"/>
      <c r="R48" s="275"/>
      <c r="S48" s="162">
        <f t="shared" si="3"/>
        <v>0</v>
      </c>
      <c r="T48" s="259"/>
      <c r="U48" s="270">
        <f t="shared" si="5"/>
        <v>0</v>
      </c>
      <c r="V48" s="397">
        <f t="shared" si="4"/>
        <v>0</v>
      </c>
      <c r="W48" s="90"/>
      <c r="X48" s="91"/>
      <c r="Y48" s="90"/>
    </row>
    <row r="49" spans="1:25" s="82" customFormat="1" ht="13">
      <c r="A49" s="81">
        <f t="shared" si="2"/>
        <v>43</v>
      </c>
      <c r="B49" s="81"/>
      <c r="C49" s="258"/>
      <c r="D49" s="259"/>
      <c r="E49" s="258"/>
      <c r="F49" s="86"/>
      <c r="G49" s="86"/>
      <c r="H49" s="261"/>
      <c r="I49" s="261"/>
      <c r="J49" s="261"/>
      <c r="K49" s="315"/>
      <c r="L49" s="297"/>
      <c r="M49" s="295"/>
      <c r="N49" s="280"/>
      <c r="O49" s="276"/>
      <c r="P49" s="297"/>
      <c r="Q49" s="298"/>
      <c r="R49" s="275"/>
      <c r="S49" s="162">
        <f t="shared" si="3"/>
        <v>0</v>
      </c>
      <c r="T49" s="259"/>
      <c r="U49" s="270">
        <f>S49*R49*(100-P49)/100</f>
        <v>0</v>
      </c>
      <c r="V49" s="347">
        <f>U49</f>
        <v>0</v>
      </c>
      <c r="W49" s="90"/>
      <c r="X49" s="91"/>
      <c r="Y49" s="90"/>
    </row>
    <row r="50" spans="1:25" s="82" customFormat="1" ht="13">
      <c r="A50" s="81">
        <f t="shared" si="2"/>
        <v>44</v>
      </c>
      <c r="B50" s="81"/>
      <c r="C50" s="94"/>
      <c r="D50" s="94"/>
      <c r="E50" s="102"/>
      <c r="F50" s="86"/>
      <c r="G50" s="86"/>
      <c r="H50" s="94"/>
      <c r="I50" s="140"/>
      <c r="J50" s="140"/>
      <c r="K50" s="316"/>
      <c r="L50" s="297"/>
      <c r="M50" s="295"/>
      <c r="N50" s="281"/>
      <c r="O50" s="132"/>
      <c r="P50" s="132"/>
      <c r="Q50" s="298"/>
      <c r="R50" s="275"/>
      <c r="S50" s="162">
        <f t="shared" si="3"/>
        <v>0</v>
      </c>
      <c r="T50" s="94"/>
      <c r="U50" s="270">
        <f t="shared" si="5"/>
        <v>0</v>
      </c>
      <c r="V50" s="395">
        <f>U50</f>
        <v>0</v>
      </c>
    </row>
    <row r="51" spans="1:25" s="82" customFormat="1" ht="13">
      <c r="A51" s="81">
        <f t="shared" si="2"/>
        <v>45</v>
      </c>
      <c r="B51" s="81"/>
      <c r="C51" s="94"/>
      <c r="D51" s="94"/>
      <c r="E51" s="102"/>
      <c r="F51" s="86"/>
      <c r="G51" s="86"/>
      <c r="H51" s="94"/>
      <c r="I51" s="140"/>
      <c r="J51" s="140"/>
      <c r="K51" s="316"/>
      <c r="L51" s="297"/>
      <c r="M51" s="295"/>
      <c r="N51" s="281"/>
      <c r="O51" s="132"/>
      <c r="P51" s="132"/>
      <c r="Q51" s="298"/>
      <c r="R51" s="275"/>
      <c r="S51" s="162">
        <f>(1750-F51)/100</f>
        <v>17.5</v>
      </c>
      <c r="T51" s="94"/>
      <c r="U51" s="270">
        <f t="shared" si="5"/>
        <v>0</v>
      </c>
      <c r="V51" s="386">
        <f>U51</f>
        <v>0</v>
      </c>
    </row>
    <row r="52" spans="1:25" s="82" customFormat="1" ht="13">
      <c r="A52" s="81">
        <f t="shared" si="2"/>
        <v>46</v>
      </c>
      <c r="B52" s="81"/>
      <c r="C52" s="94"/>
      <c r="D52" s="94"/>
      <c r="E52" s="102"/>
      <c r="F52" s="86"/>
      <c r="G52" s="86"/>
      <c r="H52" s="94"/>
      <c r="I52" s="140"/>
      <c r="J52" s="140"/>
      <c r="K52" s="316"/>
      <c r="L52" s="297"/>
      <c r="M52" s="295"/>
      <c r="N52" s="281"/>
      <c r="O52" s="132"/>
      <c r="P52" s="132"/>
      <c r="Q52" s="298"/>
      <c r="R52" s="275"/>
      <c r="S52" s="162">
        <f>(G52-1150)/100</f>
        <v>-11.5</v>
      </c>
      <c r="T52" s="94" t="s">
        <v>738</v>
      </c>
      <c r="U52" s="270">
        <f t="shared" si="5"/>
        <v>0</v>
      </c>
      <c r="V52" s="347">
        <f>U52</f>
        <v>0</v>
      </c>
    </row>
    <row r="53" spans="1:25" s="82" customFormat="1" ht="13">
      <c r="A53" s="81">
        <f t="shared" si="2"/>
        <v>47</v>
      </c>
      <c r="B53" s="81"/>
      <c r="C53" s="258"/>
      <c r="D53" s="259"/>
      <c r="E53" s="258"/>
      <c r="F53" s="86"/>
      <c r="G53" s="86"/>
      <c r="H53" s="261"/>
      <c r="I53" s="261"/>
      <c r="J53" s="261"/>
      <c r="K53" s="315"/>
      <c r="L53" s="297"/>
      <c r="M53" s="295"/>
      <c r="N53" s="280"/>
      <c r="O53" s="276"/>
      <c r="P53" s="295"/>
      <c r="Q53" s="298"/>
      <c r="R53" s="275"/>
      <c r="S53" s="162">
        <f t="shared" si="3"/>
        <v>0</v>
      </c>
      <c r="T53" s="259" t="s">
        <v>738</v>
      </c>
      <c r="U53" s="270">
        <f t="shared" si="5"/>
        <v>0</v>
      </c>
      <c r="V53" s="347">
        <f>Q53+((S53-0)*R53)</f>
        <v>0</v>
      </c>
      <c r="W53" s="388"/>
      <c r="X53" s="91"/>
      <c r="Y53" s="90"/>
    </row>
    <row r="54" spans="1:25" s="82" customFormat="1" ht="13">
      <c r="A54" s="81">
        <f t="shared" si="2"/>
        <v>48</v>
      </c>
      <c r="B54" s="81"/>
      <c r="C54" s="103"/>
      <c r="D54" s="94"/>
      <c r="E54" s="102"/>
      <c r="F54" s="86"/>
      <c r="G54" s="86"/>
      <c r="H54" s="132"/>
      <c r="I54" s="292"/>
      <c r="J54" s="132"/>
      <c r="K54" s="132"/>
      <c r="L54" s="632"/>
      <c r="M54" s="437"/>
      <c r="N54" s="162"/>
      <c r="O54" s="132"/>
      <c r="P54" s="122"/>
      <c r="Q54" s="124"/>
      <c r="R54" s="275"/>
      <c r="S54" s="162">
        <f t="shared" si="3"/>
        <v>0</v>
      </c>
      <c r="T54" s="259"/>
      <c r="U54" s="270">
        <f>S54*R54*(100-P54)/100</f>
        <v>0</v>
      </c>
      <c r="V54" s="347">
        <f t="shared" ref="V54" si="6">U54</f>
        <v>0</v>
      </c>
      <c r="W54" s="90"/>
      <c r="X54" s="91"/>
      <c r="Y54" s="90"/>
    </row>
    <row r="55" spans="1:25" s="82" customFormat="1" ht="13">
      <c r="A55" s="81">
        <f t="shared" si="2"/>
        <v>49</v>
      </c>
      <c r="B55" s="81"/>
      <c r="C55" s="94"/>
      <c r="D55" s="94"/>
      <c r="E55" s="102"/>
      <c r="F55" s="86"/>
      <c r="G55" s="86"/>
      <c r="H55" s="94"/>
      <c r="I55" s="140"/>
      <c r="J55" s="140"/>
      <c r="K55" s="316"/>
      <c r="L55" s="297"/>
      <c r="M55" s="132"/>
      <c r="N55" s="310"/>
      <c r="O55" s="132"/>
      <c r="P55" s="132"/>
      <c r="Q55" s="275"/>
      <c r="R55" s="275"/>
      <c r="S55" s="162">
        <f t="shared" si="3"/>
        <v>0</v>
      </c>
      <c r="T55" s="94"/>
      <c r="U55" s="122">
        <f t="shared" si="5"/>
        <v>0</v>
      </c>
      <c r="V55" s="124">
        <f>Q55+((S55-4)*R55)</f>
        <v>0</v>
      </c>
    </row>
    <row r="56" spans="1:25" s="82" customFormat="1" ht="13">
      <c r="A56" s="81">
        <f t="shared" si="2"/>
        <v>50</v>
      </c>
      <c r="B56" s="81"/>
      <c r="C56" s="94"/>
      <c r="D56" s="94"/>
      <c r="E56" s="102"/>
      <c r="F56" s="86"/>
      <c r="G56" s="86"/>
      <c r="H56" s="94"/>
      <c r="I56" s="140"/>
      <c r="J56" s="140"/>
      <c r="K56" s="316"/>
      <c r="L56" s="297"/>
      <c r="M56" s="132"/>
      <c r="N56" s="281"/>
      <c r="O56" s="132"/>
      <c r="P56" s="132"/>
      <c r="Q56" s="275"/>
      <c r="R56" s="275"/>
      <c r="S56" s="162">
        <f t="shared" si="3"/>
        <v>0</v>
      </c>
      <c r="T56" s="94"/>
      <c r="U56" s="122">
        <f t="shared" si="5"/>
        <v>0</v>
      </c>
      <c r="V56" s="124">
        <f t="shared" ref="V56:V61" si="7">U56</f>
        <v>0</v>
      </c>
    </row>
    <row r="57" spans="1:25" s="82" customFormat="1" ht="13">
      <c r="A57" s="81">
        <f t="shared" si="2"/>
        <v>51</v>
      </c>
      <c r="B57" s="81"/>
      <c r="C57" s="94"/>
      <c r="D57" s="94"/>
      <c r="E57" s="102"/>
      <c r="F57" s="86"/>
      <c r="G57" s="86"/>
      <c r="H57" s="94"/>
      <c r="I57" s="140"/>
      <c r="J57" s="140"/>
      <c r="K57" s="316"/>
      <c r="L57" s="297"/>
      <c r="M57" s="132"/>
      <c r="N57" s="281"/>
      <c r="O57" s="132"/>
      <c r="P57" s="312"/>
      <c r="Q57" s="275"/>
      <c r="R57" s="275"/>
      <c r="S57" s="162">
        <f t="shared" si="3"/>
        <v>0</v>
      </c>
      <c r="T57" s="94"/>
      <c r="U57" s="270">
        <f t="shared" si="5"/>
        <v>0</v>
      </c>
      <c r="V57" s="124">
        <f t="shared" si="7"/>
        <v>0</v>
      </c>
    </row>
    <row r="58" spans="1:25" s="82" customFormat="1" ht="13">
      <c r="A58" s="81">
        <f t="shared" si="2"/>
        <v>52</v>
      </c>
      <c r="B58" s="81"/>
      <c r="C58" s="87"/>
      <c r="D58" s="88"/>
      <c r="E58" s="87"/>
      <c r="F58" s="86"/>
      <c r="G58" s="86"/>
      <c r="H58" s="89"/>
      <c r="I58" s="89"/>
      <c r="J58" s="89"/>
      <c r="K58" s="318"/>
      <c r="L58" s="294"/>
      <c r="M58" s="132"/>
      <c r="N58" s="313"/>
      <c r="O58" s="306"/>
      <c r="P58" s="294"/>
      <c r="Q58" s="298"/>
      <c r="R58" s="275"/>
      <c r="S58" s="162">
        <f t="shared" si="3"/>
        <v>0</v>
      </c>
      <c r="T58" s="88"/>
      <c r="U58" s="122">
        <f t="shared" si="5"/>
        <v>0</v>
      </c>
      <c r="V58" s="165">
        <f t="shared" si="7"/>
        <v>0</v>
      </c>
      <c r="W58" s="90"/>
      <c r="X58" s="91"/>
      <c r="Y58" s="90"/>
    </row>
    <row r="59" spans="1:25" s="82" customFormat="1" ht="13">
      <c r="A59" s="81">
        <f t="shared" si="2"/>
        <v>53</v>
      </c>
      <c r="B59" s="81"/>
      <c r="C59" s="94"/>
      <c r="D59" s="94"/>
      <c r="E59" s="102"/>
      <c r="F59" s="86"/>
      <c r="G59" s="86"/>
      <c r="H59" s="94"/>
      <c r="I59" s="140"/>
      <c r="J59" s="140"/>
      <c r="K59" s="316"/>
      <c r="L59" s="297"/>
      <c r="M59" s="132"/>
      <c r="N59" s="310"/>
      <c r="O59" s="132"/>
      <c r="P59" s="132"/>
      <c r="Q59" s="298"/>
      <c r="R59" s="275"/>
      <c r="S59" s="162">
        <f t="shared" si="3"/>
        <v>0</v>
      </c>
      <c r="T59" s="94"/>
      <c r="U59" s="122">
        <f t="shared" si="5"/>
        <v>0</v>
      </c>
      <c r="V59" s="124">
        <f t="shared" si="7"/>
        <v>0</v>
      </c>
    </row>
    <row r="60" spans="1:25" s="82" customFormat="1" ht="13">
      <c r="A60" s="81">
        <f t="shared" si="2"/>
        <v>54</v>
      </c>
      <c r="B60" s="81"/>
      <c r="C60" s="94"/>
      <c r="D60" s="94"/>
      <c r="E60" s="102"/>
      <c r="F60" s="86"/>
      <c r="G60" s="86"/>
      <c r="H60" s="94"/>
      <c r="I60" s="140"/>
      <c r="J60" s="140"/>
      <c r="K60" s="316"/>
      <c r="L60" s="297"/>
      <c r="M60" s="132"/>
      <c r="N60" s="281"/>
      <c r="O60" s="132"/>
      <c r="P60" s="132"/>
      <c r="Q60" s="275"/>
      <c r="R60" s="275"/>
      <c r="S60" s="162">
        <f t="shared" si="3"/>
        <v>0</v>
      </c>
      <c r="T60" s="94"/>
      <c r="U60" s="270">
        <f t="shared" si="5"/>
        <v>0</v>
      </c>
      <c r="V60" s="124">
        <f t="shared" si="7"/>
        <v>0</v>
      </c>
    </row>
    <row r="61" spans="1:25" s="82" customFormat="1" ht="13">
      <c r="A61" s="81">
        <f t="shared" si="2"/>
        <v>55</v>
      </c>
      <c r="B61" s="81"/>
      <c r="C61" s="103"/>
      <c r="D61" s="94"/>
      <c r="E61" s="102"/>
      <c r="F61" s="86"/>
      <c r="G61" s="86"/>
      <c r="H61" s="94"/>
      <c r="I61" s="140"/>
      <c r="J61" s="140"/>
      <c r="K61" s="316"/>
      <c r="L61" s="297"/>
      <c r="M61" s="132"/>
      <c r="N61" s="281"/>
      <c r="O61" s="132"/>
      <c r="P61" s="132"/>
      <c r="Q61" s="308"/>
      <c r="R61" s="275"/>
      <c r="S61" s="162">
        <f t="shared" si="3"/>
        <v>0</v>
      </c>
      <c r="T61" s="94"/>
      <c r="U61" s="270">
        <f t="shared" si="5"/>
        <v>0</v>
      </c>
      <c r="V61" s="124">
        <f t="shared" si="7"/>
        <v>0</v>
      </c>
    </row>
    <row r="62" spans="1:25" s="82" customFormat="1" ht="13">
      <c r="A62" s="81">
        <f t="shared" si="2"/>
        <v>56</v>
      </c>
      <c r="B62" s="81"/>
      <c r="C62" s="103"/>
      <c r="D62" s="94"/>
      <c r="E62" s="102"/>
      <c r="F62" s="86"/>
      <c r="G62" s="86"/>
      <c r="H62" s="94"/>
      <c r="I62" s="140"/>
      <c r="J62" s="140"/>
      <c r="K62" s="316"/>
      <c r="L62" s="297"/>
      <c r="M62" s="132"/>
      <c r="N62" s="281"/>
      <c r="O62" s="132"/>
      <c r="P62" s="132"/>
      <c r="Q62" s="275"/>
      <c r="R62" s="275"/>
      <c r="S62" s="162">
        <f t="shared" si="3"/>
        <v>0</v>
      </c>
      <c r="T62" s="94"/>
      <c r="U62" s="270">
        <f t="shared" si="5"/>
        <v>0</v>
      </c>
      <c r="V62" s="124">
        <f t="shared" ref="V62" si="8">Q62+((S62-8)*R62)</f>
        <v>0</v>
      </c>
    </row>
    <row r="63" spans="1:25" s="82" customFormat="1" ht="13">
      <c r="A63" s="81">
        <f t="shared" si="2"/>
        <v>57</v>
      </c>
      <c r="B63" s="81"/>
      <c r="C63" s="103"/>
      <c r="D63" s="94"/>
      <c r="E63" s="102"/>
      <c r="F63" s="86"/>
      <c r="G63" s="86"/>
      <c r="H63" s="94"/>
      <c r="I63" s="140"/>
      <c r="J63" s="140"/>
      <c r="K63" s="316"/>
      <c r="L63" s="297"/>
      <c r="M63" s="132"/>
      <c r="N63" s="281"/>
      <c r="O63" s="132"/>
      <c r="P63" s="132"/>
      <c r="Q63" s="275"/>
      <c r="R63" s="275"/>
      <c r="S63" s="162">
        <f t="shared" si="3"/>
        <v>0</v>
      </c>
      <c r="T63" s="94"/>
      <c r="U63" s="270">
        <f t="shared" si="5"/>
        <v>0</v>
      </c>
      <c r="V63" s="124">
        <f>U63</f>
        <v>0</v>
      </c>
    </row>
    <row r="64" spans="1:25" s="82" customFormat="1" ht="13">
      <c r="A64" s="81">
        <f t="shared" si="2"/>
        <v>58</v>
      </c>
      <c r="B64" s="81"/>
      <c r="C64" s="103"/>
      <c r="D64" s="94"/>
      <c r="E64" s="102"/>
      <c r="F64" s="86"/>
      <c r="G64" s="86"/>
      <c r="H64" s="94"/>
      <c r="I64" s="140"/>
      <c r="J64" s="140"/>
      <c r="K64" s="316"/>
      <c r="L64" s="297"/>
      <c r="M64" s="132"/>
      <c r="N64" s="281"/>
      <c r="O64" s="306"/>
      <c r="P64" s="132"/>
      <c r="Q64" s="275"/>
      <c r="R64" s="275"/>
      <c r="S64" s="162">
        <f t="shared" si="3"/>
        <v>0</v>
      </c>
      <c r="T64" s="94"/>
      <c r="U64" s="122">
        <f t="shared" si="5"/>
        <v>0</v>
      </c>
      <c r="V64" s="124">
        <f>U64</f>
        <v>0</v>
      </c>
    </row>
    <row r="65" spans="1:25" s="82" customFormat="1" ht="13">
      <c r="A65" s="81">
        <f t="shared" si="2"/>
        <v>59</v>
      </c>
      <c r="B65" s="81"/>
      <c r="C65" s="103"/>
      <c r="D65" s="94"/>
      <c r="E65" s="102"/>
      <c r="F65" s="86"/>
      <c r="G65" s="86"/>
      <c r="H65" s="94"/>
      <c r="I65" s="140"/>
      <c r="J65" s="140"/>
      <c r="K65" s="316"/>
      <c r="L65" s="297"/>
      <c r="M65" s="132"/>
      <c r="N65" s="281"/>
      <c r="O65" s="306"/>
      <c r="P65" s="132"/>
      <c r="Q65" s="275"/>
      <c r="R65" s="275"/>
      <c r="S65" s="162">
        <f t="shared" si="3"/>
        <v>0</v>
      </c>
      <c r="T65" s="94"/>
      <c r="U65" s="122">
        <f t="shared" si="5"/>
        <v>0</v>
      </c>
      <c r="V65" s="124">
        <f>U65</f>
        <v>0</v>
      </c>
    </row>
    <row r="66" spans="1:25" s="82" customFormat="1" ht="13">
      <c r="A66" s="81">
        <f t="shared" si="2"/>
        <v>60</v>
      </c>
      <c r="B66" s="81"/>
      <c r="C66" s="103"/>
      <c r="D66" s="94"/>
      <c r="E66" s="102"/>
      <c r="F66" s="86"/>
      <c r="G66" s="86"/>
      <c r="H66" s="94"/>
      <c r="I66" s="140"/>
      <c r="J66" s="140"/>
      <c r="K66" s="316"/>
      <c r="L66" s="297"/>
      <c r="M66" s="132"/>
      <c r="N66" s="281"/>
      <c r="O66" s="306"/>
      <c r="P66" s="132"/>
      <c r="Q66" s="275"/>
      <c r="R66" s="275"/>
      <c r="S66" s="162">
        <f t="shared" si="3"/>
        <v>0</v>
      </c>
      <c r="T66" s="94"/>
      <c r="U66" s="122">
        <f t="shared" si="5"/>
        <v>0</v>
      </c>
      <c r="V66" s="124">
        <f>Q66+((S66-4)*R66)</f>
        <v>0</v>
      </c>
    </row>
    <row r="67" spans="1:25" s="82" customFormat="1" ht="13">
      <c r="A67" s="81">
        <f t="shared" si="2"/>
        <v>61</v>
      </c>
      <c r="B67" s="81"/>
      <c r="C67" s="103"/>
      <c r="D67" s="94"/>
      <c r="E67" s="102"/>
      <c r="F67" s="86"/>
      <c r="G67" s="86"/>
      <c r="H67" s="94"/>
      <c r="I67" s="140"/>
      <c r="J67" s="140"/>
      <c r="K67" s="316"/>
      <c r="L67" s="297"/>
      <c r="M67" s="132"/>
      <c r="N67" s="281"/>
      <c r="O67" s="306"/>
      <c r="P67" s="132"/>
      <c r="Q67" s="275"/>
      <c r="R67" s="275"/>
      <c r="S67" s="162">
        <f t="shared" si="3"/>
        <v>0</v>
      </c>
      <c r="T67" s="94"/>
      <c r="U67" s="438">
        <f>S67*R67*(100-P67)/100</f>
        <v>0</v>
      </c>
      <c r="V67" s="124">
        <f>U67</f>
        <v>0</v>
      </c>
    </row>
    <row r="68" spans="1:25" s="82" customFormat="1" ht="13">
      <c r="A68" s="81">
        <f t="shared" si="2"/>
        <v>62</v>
      </c>
      <c r="B68" s="81"/>
      <c r="C68" s="103"/>
      <c r="D68" s="94"/>
      <c r="E68" s="102"/>
      <c r="F68" s="86"/>
      <c r="G68" s="86"/>
      <c r="H68" s="94"/>
      <c r="I68" s="140"/>
      <c r="J68" s="140"/>
      <c r="K68" s="316"/>
      <c r="L68" s="297"/>
      <c r="M68" s="417"/>
      <c r="N68" s="281"/>
      <c r="O68" s="306"/>
      <c r="P68" s="132"/>
      <c r="Q68" s="275"/>
      <c r="R68" s="275"/>
      <c r="S68" s="162">
        <f t="shared" si="3"/>
        <v>0</v>
      </c>
      <c r="T68" s="94"/>
      <c r="U68" s="438">
        <f>S68*R68*(100-P68)/100</f>
        <v>0</v>
      </c>
      <c r="V68" s="124">
        <f>U68</f>
        <v>0</v>
      </c>
    </row>
    <row r="69" spans="1:25" s="82" customFormat="1" ht="13">
      <c r="A69" s="94"/>
      <c r="B69" s="94"/>
      <c r="C69" s="94"/>
      <c r="D69" s="94"/>
      <c r="E69" s="103"/>
      <c r="F69" s="94"/>
      <c r="G69" s="94"/>
      <c r="H69" s="94"/>
      <c r="I69" s="140"/>
      <c r="J69" s="140"/>
      <c r="K69" s="94"/>
      <c r="L69" s="398"/>
      <c r="M69" s="94"/>
      <c r="N69" s="399"/>
      <c r="O69" s="282"/>
      <c r="P69" s="282"/>
      <c r="Q69" s="275"/>
      <c r="R69" s="83"/>
      <c r="S69" s="94"/>
      <c r="T69" s="94"/>
      <c r="U69" s="120">
        <f>SUBTOTAL(109,U7:U68)</f>
        <v>0</v>
      </c>
      <c r="V69" s="123">
        <f>SUBTOTAL(109,V7:V68)</f>
        <v>0</v>
      </c>
      <c r="Y69" s="376">
        <f>V69*1.1</f>
        <v>0</v>
      </c>
    </row>
    <row r="70" spans="1:25" s="82" customFormat="1" ht="13">
      <c r="E70" s="104"/>
      <c r="I70" s="160"/>
      <c r="J70" s="160"/>
      <c r="N70" s="104"/>
      <c r="Q70" s="99"/>
      <c r="V70" s="99"/>
    </row>
    <row r="71" spans="1:25">
      <c r="N71" s="68"/>
      <c r="V71" s="98">
        <f>V69-V52-V53</f>
        <v>0</v>
      </c>
    </row>
    <row r="72" spans="1:25">
      <c r="N72" s="68"/>
    </row>
    <row r="73" spans="1:25">
      <c r="N73" s="68"/>
      <c r="R73" s="356"/>
    </row>
    <row r="74" spans="1:25">
      <c r="N74" s="68"/>
      <c r="Q74" s="100"/>
      <c r="R74" s="356"/>
      <c r="V74" s="100"/>
    </row>
    <row r="75" spans="1:25">
      <c r="N75" s="68"/>
      <c r="Q75" s="100"/>
      <c r="V75" s="100"/>
    </row>
    <row r="76" spans="1:25">
      <c r="N76" s="68"/>
      <c r="Q76" s="100"/>
      <c r="V76" s="100"/>
    </row>
    <row r="77" spans="1:25">
      <c r="N77" s="68"/>
    </row>
    <row r="78" spans="1:25">
      <c r="N78" s="68"/>
    </row>
    <row r="79" spans="1:25">
      <c r="N79" s="68"/>
    </row>
    <row r="80" spans="1:25">
      <c r="N80" s="68"/>
    </row>
    <row r="81" spans="14:14">
      <c r="N81" s="68"/>
    </row>
    <row r="82" spans="14:14">
      <c r="N82" s="68"/>
    </row>
    <row r="83" spans="14:14">
      <c r="N83" s="68"/>
    </row>
    <row r="84" spans="14:14">
      <c r="N84" s="68"/>
    </row>
    <row r="85" spans="14:14">
      <c r="N85" s="68"/>
    </row>
    <row r="86" spans="14:14">
      <c r="N86" s="68"/>
    </row>
    <row r="87" spans="14:14">
      <c r="N87" s="68"/>
    </row>
    <row r="88" spans="14:14">
      <c r="N88" s="68"/>
    </row>
    <row r="89" spans="14:14">
      <c r="N89" s="68"/>
    </row>
  </sheetData>
  <autoFilter ref="A6:AE68" xr:uid="{1028D278-910A-4D41-890F-0D5DC76C3F25}"/>
  <pageMargins left="0.7" right="0.7" top="0.75" bottom="0.75" header="0.3" footer="0.3"/>
  <pageSetup scale="33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606A-3B3B-453C-A12B-3FA6F80442B8}">
  <sheetPr codeName="Sheet131">
    <pageSetUpPr fitToPage="1"/>
  </sheetPr>
  <dimension ref="A2:AE89"/>
  <sheetViews>
    <sheetView topLeftCell="A38" zoomScale="80" zoomScaleNormal="80" workbookViewId="0">
      <selection activeCell="V7" sqref="V7:V48"/>
    </sheetView>
  </sheetViews>
  <sheetFormatPr defaultColWidth="9.1796875" defaultRowHeight="14.5"/>
  <cols>
    <col min="1" max="2" width="8.81640625" style="100" customWidth="1"/>
    <col min="3" max="3" width="8.81640625" style="100" bestFit="1" customWidth="1"/>
    <col min="4" max="4" width="27.26953125" style="100" customWidth="1"/>
    <col min="5" max="5" width="13.81640625" style="68" customWidth="1"/>
    <col min="6" max="6" width="8.81640625" style="100" bestFit="1" customWidth="1"/>
    <col min="7" max="7" width="10" style="100" customWidth="1"/>
    <col min="8" max="8" width="25.54296875" style="100" customWidth="1"/>
    <col min="9" max="9" width="11.26953125" style="59" hidden="1" customWidth="1"/>
    <col min="10" max="10" width="12" style="59" hidden="1" customWidth="1"/>
    <col min="11" max="11" width="9.26953125" style="100" hidden="1" customWidth="1"/>
    <col min="12" max="12" width="14.1796875" style="100" hidden="1" customWidth="1"/>
    <col min="13" max="13" width="10.26953125" style="100" customWidth="1"/>
    <col min="14" max="14" width="22.26953125" style="157" customWidth="1"/>
    <col min="15" max="15" width="12.54296875" style="100" customWidth="1"/>
    <col min="16" max="16" width="9.1796875" style="100"/>
    <col min="17" max="17" width="13.26953125" style="101" customWidth="1"/>
    <col min="18" max="18" width="11.26953125" style="100" bestFit="1" customWidth="1"/>
    <col min="19" max="20" width="9.1796875" style="100"/>
    <col min="21" max="21" width="12.54296875" style="100" bestFit="1" customWidth="1"/>
    <col min="22" max="22" width="14.26953125" style="101" customWidth="1"/>
    <col min="23" max="23" width="10.26953125" style="100" bestFit="1" customWidth="1"/>
    <col min="24" max="24" width="9.1796875" style="100"/>
    <col min="25" max="25" width="13.7265625" style="100" customWidth="1"/>
    <col min="26" max="16384" width="9.1796875" style="100"/>
  </cols>
  <sheetData>
    <row r="2" spans="1:31" s="57" customFormat="1" ht="20.25" customHeight="1">
      <c r="A2" s="52" t="s">
        <v>0</v>
      </c>
      <c r="B2" s="52"/>
      <c r="C2" s="52"/>
      <c r="D2" s="52"/>
      <c r="E2" s="52"/>
      <c r="F2" s="52"/>
      <c r="G2" s="52"/>
      <c r="H2" s="52"/>
      <c r="I2" s="52"/>
      <c r="J2" s="389"/>
      <c r="K2" s="52"/>
      <c r="L2" s="52"/>
      <c r="M2" s="390"/>
      <c r="N2" s="391"/>
      <c r="O2" s="52"/>
      <c r="P2" s="52"/>
      <c r="Q2" s="52"/>
      <c r="R2" s="52"/>
      <c r="S2" s="52"/>
      <c r="T2" s="52"/>
      <c r="U2" s="52"/>
      <c r="V2" s="53"/>
      <c r="W2" s="54"/>
      <c r="X2" s="52"/>
      <c r="Y2" s="120">
        <f>18287500+30500000</f>
        <v>48787500</v>
      </c>
      <c r="Z2" s="56"/>
      <c r="AD2" s="58"/>
      <c r="AE2" s="59" t="s">
        <v>1</v>
      </c>
    </row>
    <row r="3" spans="1:31" s="57" customFormat="1" ht="20.25" customHeight="1">
      <c r="A3" s="60" t="s">
        <v>2</v>
      </c>
      <c r="B3" s="60"/>
      <c r="C3" s="60"/>
      <c r="D3" s="60"/>
      <c r="E3" s="60"/>
      <c r="F3" s="60"/>
      <c r="G3" s="60"/>
      <c r="H3" s="60"/>
      <c r="I3" s="60"/>
      <c r="J3" s="392"/>
      <c r="K3" s="60"/>
      <c r="L3" s="60"/>
      <c r="M3" s="393"/>
      <c r="N3" s="394"/>
      <c r="O3" s="60"/>
      <c r="P3" s="60"/>
      <c r="Q3" s="60"/>
      <c r="R3" s="60"/>
      <c r="S3" s="60"/>
      <c r="T3" s="60"/>
      <c r="U3" s="60"/>
      <c r="V3" s="61"/>
      <c r="W3" s="62"/>
      <c r="X3" s="60"/>
      <c r="Y3" s="63"/>
      <c r="Z3" s="56"/>
      <c r="AD3" s="64"/>
      <c r="AE3" s="59" t="s">
        <v>3</v>
      </c>
    </row>
    <row r="4" spans="1:31" s="57" customFormat="1" ht="20.25" customHeight="1">
      <c r="A4" s="60" t="s">
        <v>847</v>
      </c>
      <c r="B4" s="60"/>
      <c r="C4" s="60"/>
      <c r="D4" s="60"/>
      <c r="E4" s="60"/>
      <c r="F4" s="60"/>
      <c r="G4" s="60"/>
      <c r="H4" s="60"/>
      <c r="I4" s="60"/>
      <c r="J4" s="392"/>
      <c r="K4" s="60"/>
      <c r="L4" s="60"/>
      <c r="M4" s="393"/>
      <c r="N4" s="394"/>
      <c r="O4" s="60"/>
      <c r="P4" s="60"/>
      <c r="Q4" s="60"/>
      <c r="R4" s="60"/>
      <c r="S4" s="60"/>
      <c r="T4" s="60"/>
      <c r="U4" s="60"/>
      <c r="V4" s="61"/>
      <c r="W4" s="62"/>
      <c r="X4" s="60"/>
      <c r="Y4" s="63"/>
      <c r="Z4" s="56"/>
      <c r="AD4" s="65"/>
      <c r="AE4" s="59" t="s">
        <v>5</v>
      </c>
    </row>
    <row r="5" spans="1:31" s="57" customFormat="1" ht="6" customHeight="1">
      <c r="D5" s="66"/>
      <c r="E5" s="67"/>
      <c r="F5" s="67"/>
      <c r="G5" s="67"/>
      <c r="H5" s="66"/>
      <c r="I5" s="66"/>
      <c r="J5" s="66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</row>
    <row r="6" spans="1:31" s="79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61" t="s">
        <v>13</v>
      </c>
      <c r="J6" s="159" t="s">
        <v>14</v>
      </c>
      <c r="K6" s="159" t="s">
        <v>15</v>
      </c>
      <c r="L6" s="134" t="s">
        <v>16</v>
      </c>
      <c r="M6" s="134" t="s">
        <v>17</v>
      </c>
      <c r="N6" s="319" t="s">
        <v>18</v>
      </c>
      <c r="O6" s="320" t="s">
        <v>19</v>
      </c>
      <c r="P6" s="134" t="s">
        <v>20</v>
      </c>
      <c r="Q6" s="321" t="s">
        <v>21</v>
      </c>
      <c r="R6" s="74" t="s">
        <v>22</v>
      </c>
      <c r="S6" s="74" t="s">
        <v>23</v>
      </c>
      <c r="T6" s="74" t="s">
        <v>24</v>
      </c>
      <c r="U6" s="78" t="s">
        <v>25</v>
      </c>
      <c r="V6" s="134" t="s">
        <v>26</v>
      </c>
      <c r="Z6" s="72" t="s">
        <v>27</v>
      </c>
      <c r="AA6" s="80" t="s">
        <v>28</v>
      </c>
      <c r="AB6" s="74" t="s">
        <v>29</v>
      </c>
      <c r="AC6" s="72" t="s">
        <v>30</v>
      </c>
    </row>
    <row r="7" spans="1:31" s="82" customFormat="1" ht="13">
      <c r="A7" s="81">
        <f>ROW()-6</f>
        <v>1</v>
      </c>
      <c r="B7" s="81">
        <v>1</v>
      </c>
      <c r="C7" s="258" t="s">
        <v>849</v>
      </c>
      <c r="D7" s="259" t="s">
        <v>43</v>
      </c>
      <c r="E7" s="260" t="s">
        <v>850</v>
      </c>
      <c r="F7" s="86">
        <v>1530</v>
      </c>
      <c r="G7" s="86">
        <v>1615</v>
      </c>
      <c r="H7" s="261" t="s">
        <v>851</v>
      </c>
      <c r="I7" s="261" t="s">
        <v>35</v>
      </c>
      <c r="J7" s="261" t="s">
        <v>36</v>
      </c>
      <c r="K7" s="315" t="s">
        <v>76</v>
      </c>
      <c r="L7" s="412"/>
      <c r="M7" s="355" t="s">
        <v>255</v>
      </c>
      <c r="N7" s="436" t="s">
        <v>852</v>
      </c>
      <c r="O7" s="276" t="s">
        <v>40</v>
      </c>
      <c r="P7" s="297"/>
      <c r="Q7" s="274"/>
      <c r="R7" s="275">
        <v>500000</v>
      </c>
      <c r="S7" s="162">
        <f>(1625-1550)/100</f>
        <v>0.75</v>
      </c>
      <c r="T7" s="259"/>
      <c r="U7" s="270">
        <f t="shared" ref="U7:U31" si="0">S7*R7*(100-P7)/100</f>
        <v>375000</v>
      </c>
      <c r="V7" s="397">
        <f t="shared" ref="V7:V13" si="1">U7</f>
        <v>375000</v>
      </c>
      <c r="W7" s="90"/>
      <c r="X7" s="91"/>
      <c r="Y7" s="90"/>
    </row>
    <row r="8" spans="1:31" s="82" customFormat="1" ht="26">
      <c r="A8" s="81">
        <f t="shared" ref="A8:A68" si="2">ROW()-6</f>
        <v>2</v>
      </c>
      <c r="B8" s="81">
        <v>2</v>
      </c>
      <c r="C8" s="258" t="s">
        <v>853</v>
      </c>
      <c r="D8" s="259" t="s">
        <v>75</v>
      </c>
      <c r="E8" s="260" t="s">
        <v>850</v>
      </c>
      <c r="F8" s="86">
        <v>1030</v>
      </c>
      <c r="G8" s="86">
        <v>1130</v>
      </c>
      <c r="H8" s="261" t="s">
        <v>854</v>
      </c>
      <c r="I8" s="261" t="s">
        <v>35</v>
      </c>
      <c r="J8" s="261" t="s">
        <v>36</v>
      </c>
      <c r="K8" s="315" t="s">
        <v>76</v>
      </c>
      <c r="L8" s="297"/>
      <c r="M8" s="400" t="s">
        <v>47</v>
      </c>
      <c r="N8" s="296" t="s">
        <v>855</v>
      </c>
      <c r="O8" s="276" t="s">
        <v>40</v>
      </c>
      <c r="P8" s="297"/>
      <c r="Q8" s="274"/>
      <c r="R8" s="275">
        <v>500000</v>
      </c>
      <c r="S8" s="162">
        <f t="shared" ref="S8:S68" si="3">(G8-F8)/100</f>
        <v>1</v>
      </c>
      <c r="T8" s="259"/>
      <c r="U8" s="270">
        <f t="shared" si="0"/>
        <v>500000</v>
      </c>
      <c r="V8" s="395">
        <f t="shared" si="1"/>
        <v>500000</v>
      </c>
      <c r="W8" s="90"/>
      <c r="X8" s="91"/>
      <c r="Y8" s="90"/>
    </row>
    <row r="9" spans="1:31" s="82" customFormat="1" ht="13">
      <c r="A9" s="81">
        <f t="shared" si="2"/>
        <v>3</v>
      </c>
      <c r="B9" s="81">
        <v>3</v>
      </c>
      <c r="C9" s="258" t="s">
        <v>856</v>
      </c>
      <c r="D9" s="259" t="s">
        <v>32</v>
      </c>
      <c r="E9" s="260" t="s">
        <v>857</v>
      </c>
      <c r="F9" s="86">
        <v>900</v>
      </c>
      <c r="G9" s="86">
        <v>1700</v>
      </c>
      <c r="H9" s="293" t="s">
        <v>858</v>
      </c>
      <c r="I9" s="262" t="s">
        <v>35</v>
      </c>
      <c r="J9" s="262" t="s">
        <v>36</v>
      </c>
      <c r="K9" s="315" t="s">
        <v>46</v>
      </c>
      <c r="L9" s="412"/>
      <c r="M9" s="355" t="s">
        <v>255</v>
      </c>
      <c r="N9" s="436" t="s">
        <v>859</v>
      </c>
      <c r="O9" s="276" t="s">
        <v>40</v>
      </c>
      <c r="P9" s="297"/>
      <c r="Q9" s="298">
        <f>R9*6</f>
        <v>5700000</v>
      </c>
      <c r="R9" s="275">
        <v>950000</v>
      </c>
      <c r="S9" s="162">
        <f t="shared" si="3"/>
        <v>8</v>
      </c>
      <c r="T9" s="259"/>
      <c r="U9" s="270">
        <f t="shared" si="0"/>
        <v>7600000</v>
      </c>
      <c r="V9" s="396">
        <f>Q9+((S9-8)*R9)</f>
        <v>5700000</v>
      </c>
      <c r="W9" s="90"/>
      <c r="X9" s="91"/>
      <c r="Y9" s="90"/>
    </row>
    <row r="10" spans="1:31" s="82" customFormat="1" ht="13">
      <c r="A10" s="81">
        <f t="shared" si="2"/>
        <v>4</v>
      </c>
      <c r="B10" s="81">
        <v>4</v>
      </c>
      <c r="C10" s="258" t="s">
        <v>860</v>
      </c>
      <c r="D10" s="259" t="s">
        <v>32</v>
      </c>
      <c r="E10" s="260" t="s">
        <v>857</v>
      </c>
      <c r="F10" s="86">
        <v>1000</v>
      </c>
      <c r="G10" s="86">
        <v>1800</v>
      </c>
      <c r="H10" s="293" t="s">
        <v>861</v>
      </c>
      <c r="I10" s="262" t="s">
        <v>35</v>
      </c>
      <c r="J10" s="262" t="s">
        <v>36</v>
      </c>
      <c r="K10" s="315" t="s">
        <v>46</v>
      </c>
      <c r="L10" s="297"/>
      <c r="M10" s="400" t="s">
        <v>255</v>
      </c>
      <c r="N10" s="296" t="s">
        <v>862</v>
      </c>
      <c r="O10" s="276" t="s">
        <v>174</v>
      </c>
      <c r="P10" s="297"/>
      <c r="Q10" s="298"/>
      <c r="R10" s="275"/>
      <c r="S10" s="162">
        <f t="shared" si="3"/>
        <v>8</v>
      </c>
      <c r="T10" s="259"/>
      <c r="U10" s="270">
        <f>S10*R10*(100-P10)/100</f>
        <v>0</v>
      </c>
      <c r="V10" s="347">
        <f t="shared" si="1"/>
        <v>0</v>
      </c>
      <c r="W10" s="91"/>
      <c r="X10" s="91"/>
      <c r="Y10" s="90"/>
    </row>
    <row r="11" spans="1:31" s="82" customFormat="1" ht="13">
      <c r="A11" s="81">
        <f t="shared" si="2"/>
        <v>5</v>
      </c>
      <c r="B11" s="81">
        <v>5</v>
      </c>
      <c r="C11" s="94">
        <v>4279</v>
      </c>
      <c r="D11" s="259" t="s">
        <v>32</v>
      </c>
      <c r="E11" s="258" t="s">
        <v>863</v>
      </c>
      <c r="F11" s="86">
        <v>1300</v>
      </c>
      <c r="G11" s="86">
        <v>1730</v>
      </c>
      <c r="H11" s="94" t="s">
        <v>864</v>
      </c>
      <c r="I11" s="140" t="s">
        <v>35</v>
      </c>
      <c r="J11" s="140" t="s">
        <v>36</v>
      </c>
      <c r="K11" s="316">
        <v>12</v>
      </c>
      <c r="L11" s="412"/>
      <c r="M11" s="355" t="s">
        <v>255</v>
      </c>
      <c r="N11" s="441" t="s">
        <v>865</v>
      </c>
      <c r="O11" s="276" t="s">
        <v>40</v>
      </c>
      <c r="P11" s="132"/>
      <c r="Q11" s="298">
        <f>R11*3</f>
        <v>2850000</v>
      </c>
      <c r="R11" s="275">
        <v>950000</v>
      </c>
      <c r="S11" s="162">
        <f>(1750-1300)/100</f>
        <v>4.5</v>
      </c>
      <c r="T11" s="94"/>
      <c r="U11" s="270">
        <f t="shared" si="0"/>
        <v>4275000</v>
      </c>
      <c r="V11" s="396">
        <f>Q11+((S11-4)*R11)</f>
        <v>3325000</v>
      </c>
      <c r="W11" s="83"/>
    </row>
    <row r="12" spans="1:31" s="82" customFormat="1" ht="26">
      <c r="A12" s="81">
        <f t="shared" si="2"/>
        <v>6</v>
      </c>
      <c r="B12" s="81">
        <v>6</v>
      </c>
      <c r="C12" s="258" t="s">
        <v>866</v>
      </c>
      <c r="D12" s="259" t="s">
        <v>75</v>
      </c>
      <c r="E12" s="258" t="s">
        <v>867</v>
      </c>
      <c r="F12" s="86">
        <v>1230</v>
      </c>
      <c r="G12" s="86">
        <v>1430</v>
      </c>
      <c r="H12" s="261" t="s">
        <v>868</v>
      </c>
      <c r="I12" s="261" t="s">
        <v>35</v>
      </c>
      <c r="J12" s="261" t="s">
        <v>36</v>
      </c>
      <c r="K12" s="315" t="s">
        <v>76</v>
      </c>
      <c r="L12" s="412"/>
      <c r="M12" s="401" t="s">
        <v>47</v>
      </c>
      <c r="N12" s="350" t="s">
        <v>869</v>
      </c>
      <c r="O12" s="276" t="s">
        <v>40</v>
      </c>
      <c r="P12" s="297"/>
      <c r="Q12" s="298"/>
      <c r="R12" s="275">
        <v>500000</v>
      </c>
      <c r="S12" s="162">
        <f t="shared" si="3"/>
        <v>2</v>
      </c>
      <c r="T12" s="259"/>
      <c r="U12" s="270">
        <f t="shared" si="0"/>
        <v>1000000</v>
      </c>
      <c r="V12" s="395">
        <f>U12</f>
        <v>1000000</v>
      </c>
      <c r="W12" s="90"/>
      <c r="X12" s="91"/>
      <c r="Y12" s="90"/>
    </row>
    <row r="13" spans="1:31" s="82" customFormat="1" ht="13">
      <c r="A13" s="81">
        <f t="shared" si="2"/>
        <v>7</v>
      </c>
      <c r="B13" s="81">
        <v>7</v>
      </c>
      <c r="C13" s="94">
        <v>4277</v>
      </c>
      <c r="D13" s="259" t="s">
        <v>43</v>
      </c>
      <c r="E13" s="258" t="s">
        <v>867</v>
      </c>
      <c r="F13" s="86">
        <v>1230</v>
      </c>
      <c r="G13" s="86">
        <v>1430</v>
      </c>
      <c r="H13" s="94" t="s">
        <v>868</v>
      </c>
      <c r="I13" s="140" t="s">
        <v>35</v>
      </c>
      <c r="J13" s="140" t="s">
        <v>36</v>
      </c>
      <c r="K13" s="315" t="s">
        <v>76</v>
      </c>
      <c r="L13" s="297"/>
      <c r="M13" s="400" t="s">
        <v>47</v>
      </c>
      <c r="N13" s="281" t="s">
        <v>870</v>
      </c>
      <c r="O13" s="276" t="s">
        <v>40</v>
      </c>
      <c r="P13" s="297"/>
      <c r="Q13" s="298"/>
      <c r="R13" s="275">
        <v>500000</v>
      </c>
      <c r="S13" s="162">
        <f t="shared" si="3"/>
        <v>2</v>
      </c>
      <c r="T13" s="94"/>
      <c r="U13" s="270">
        <f t="shared" si="0"/>
        <v>1000000</v>
      </c>
      <c r="V13" s="395">
        <f t="shared" si="1"/>
        <v>1000000</v>
      </c>
    </row>
    <row r="14" spans="1:31" s="82" customFormat="1">
      <c r="A14" s="81">
        <f t="shared" si="2"/>
        <v>8</v>
      </c>
      <c r="B14" s="81">
        <v>8</v>
      </c>
      <c r="C14" s="258" t="s">
        <v>871</v>
      </c>
      <c r="D14" s="259" t="s">
        <v>43</v>
      </c>
      <c r="E14" s="258" t="s">
        <v>872</v>
      </c>
      <c r="F14" s="86">
        <v>1300</v>
      </c>
      <c r="G14" s="86">
        <v>1730</v>
      </c>
      <c r="H14" s="261" t="s">
        <v>811</v>
      </c>
      <c r="I14" s="140" t="s">
        <v>35</v>
      </c>
      <c r="J14" s="140" t="s">
        <v>36</v>
      </c>
      <c r="K14" s="315" t="s">
        <v>76</v>
      </c>
      <c r="L14" s="349" t="s">
        <v>873</v>
      </c>
      <c r="M14" s="94" t="s">
        <v>255</v>
      </c>
      <c r="N14" s="443" t="s">
        <v>874</v>
      </c>
      <c r="O14" s="276" t="s">
        <v>40</v>
      </c>
      <c r="P14" s="275"/>
      <c r="Q14" s="298">
        <f>R14*3</f>
        <v>1500000</v>
      </c>
      <c r="R14" s="275">
        <v>500000</v>
      </c>
      <c r="S14" s="162">
        <f>(1750-F14)/100</f>
        <v>4.5</v>
      </c>
      <c r="T14" s="259"/>
      <c r="U14" s="270">
        <f t="shared" si="0"/>
        <v>2250000</v>
      </c>
      <c r="V14" s="396">
        <f>Q14+((S14-4)*R14)</f>
        <v>1750000</v>
      </c>
      <c r="W14" s="90"/>
      <c r="X14" s="91"/>
      <c r="Y14" s="90"/>
    </row>
    <row r="15" spans="1:31" s="82" customFormat="1" ht="26">
      <c r="A15" s="81">
        <f t="shared" si="2"/>
        <v>9</v>
      </c>
      <c r="B15" s="263">
        <v>9</v>
      </c>
      <c r="C15" s="264" t="s">
        <v>875</v>
      </c>
      <c r="D15" s="265" t="s">
        <v>75</v>
      </c>
      <c r="E15" s="264" t="s">
        <v>863</v>
      </c>
      <c r="F15" s="266">
        <v>1400</v>
      </c>
      <c r="G15" s="266">
        <v>1600</v>
      </c>
      <c r="H15" s="267" t="s">
        <v>876</v>
      </c>
      <c r="I15" s="268" t="s">
        <v>35</v>
      </c>
      <c r="J15" s="268" t="s">
        <v>36</v>
      </c>
      <c r="K15" s="317" t="s">
        <v>76</v>
      </c>
      <c r="L15" s="297"/>
      <c r="M15" s="402" t="s">
        <v>47</v>
      </c>
      <c r="N15" s="324" t="s">
        <v>877</v>
      </c>
      <c r="O15" s="300" t="s">
        <v>40</v>
      </c>
      <c r="P15" s="301"/>
      <c r="Q15" s="302"/>
      <c r="R15" s="275">
        <v>500000</v>
      </c>
      <c r="S15" s="162">
        <f t="shared" si="3"/>
        <v>2</v>
      </c>
      <c r="T15" s="265"/>
      <c r="U15" s="273">
        <f>S15*R15*(100-P15)/100</f>
        <v>1000000</v>
      </c>
      <c r="V15" s="395">
        <f>U15</f>
        <v>1000000</v>
      </c>
      <c r="W15" s="90"/>
      <c r="X15" s="91"/>
      <c r="Y15" s="90"/>
    </row>
    <row r="16" spans="1:31" s="82" customFormat="1" ht="26">
      <c r="A16" s="81">
        <f t="shared" si="2"/>
        <v>10</v>
      </c>
      <c r="B16" s="81">
        <v>10</v>
      </c>
      <c r="C16" s="258" t="s">
        <v>878</v>
      </c>
      <c r="D16" s="259" t="s">
        <v>43</v>
      </c>
      <c r="E16" s="258" t="s">
        <v>867</v>
      </c>
      <c r="F16" s="86">
        <v>900</v>
      </c>
      <c r="G16" s="86">
        <v>1100</v>
      </c>
      <c r="H16" s="261" t="s">
        <v>879</v>
      </c>
      <c r="I16" s="140" t="s">
        <v>35</v>
      </c>
      <c r="J16" s="140" t="s">
        <v>36</v>
      </c>
      <c r="K16" s="315" t="s">
        <v>76</v>
      </c>
      <c r="L16" s="297"/>
      <c r="M16" s="132" t="s">
        <v>47</v>
      </c>
      <c r="N16" s="325" t="s">
        <v>880</v>
      </c>
      <c r="O16" s="276" t="s">
        <v>40</v>
      </c>
      <c r="P16" s="272"/>
      <c r="Q16" s="298"/>
      <c r="R16" s="275">
        <v>500000</v>
      </c>
      <c r="S16" s="162">
        <f t="shared" si="3"/>
        <v>2</v>
      </c>
      <c r="T16" s="259"/>
      <c r="U16" s="270">
        <f t="shared" si="0"/>
        <v>1000000</v>
      </c>
      <c r="V16" s="395">
        <f>U16</f>
        <v>1000000</v>
      </c>
      <c r="W16" s="90"/>
      <c r="X16" s="91"/>
      <c r="Y16" s="90"/>
    </row>
    <row r="17" spans="1:25" s="82" customFormat="1" ht="26">
      <c r="A17" s="81">
        <f t="shared" si="2"/>
        <v>11</v>
      </c>
      <c r="B17" s="81">
        <v>11</v>
      </c>
      <c r="C17" s="258" t="s">
        <v>881</v>
      </c>
      <c r="D17" s="259" t="s">
        <v>43</v>
      </c>
      <c r="E17" s="258" t="s">
        <v>863</v>
      </c>
      <c r="F17" s="86">
        <v>1500</v>
      </c>
      <c r="G17" s="86">
        <v>1700</v>
      </c>
      <c r="H17" s="261" t="s">
        <v>879</v>
      </c>
      <c r="I17" s="140" t="s">
        <v>35</v>
      </c>
      <c r="J17" s="140" t="s">
        <v>36</v>
      </c>
      <c r="K17" s="315" t="s">
        <v>76</v>
      </c>
      <c r="L17" s="297"/>
      <c r="M17" s="132" t="s">
        <v>47</v>
      </c>
      <c r="N17" s="325" t="s">
        <v>882</v>
      </c>
      <c r="O17" s="276" t="s">
        <v>40</v>
      </c>
      <c r="P17" s="272"/>
      <c r="Q17" s="274"/>
      <c r="R17" s="275">
        <v>500000</v>
      </c>
      <c r="S17" s="162">
        <f t="shared" si="3"/>
        <v>2</v>
      </c>
      <c r="T17" s="259"/>
      <c r="U17" s="270">
        <f t="shared" si="0"/>
        <v>1000000</v>
      </c>
      <c r="V17" s="395">
        <f>U17</f>
        <v>1000000</v>
      </c>
      <c r="W17" s="90"/>
      <c r="X17" s="91"/>
      <c r="Y17" s="90"/>
    </row>
    <row r="18" spans="1:25" s="82" customFormat="1" ht="26">
      <c r="A18" s="81">
        <f t="shared" si="2"/>
        <v>12</v>
      </c>
      <c r="B18" s="81">
        <v>12</v>
      </c>
      <c r="C18" s="258" t="s">
        <v>883</v>
      </c>
      <c r="D18" s="259" t="s">
        <v>43</v>
      </c>
      <c r="E18" s="258" t="s">
        <v>884</v>
      </c>
      <c r="F18" s="86">
        <v>1400</v>
      </c>
      <c r="G18" s="86">
        <v>1500</v>
      </c>
      <c r="H18" s="261" t="s">
        <v>885</v>
      </c>
      <c r="I18" s="140" t="s">
        <v>35</v>
      </c>
      <c r="J18" s="140" t="s">
        <v>36</v>
      </c>
      <c r="K18" s="315" t="s">
        <v>76</v>
      </c>
      <c r="L18" s="297"/>
      <c r="M18" s="295" t="s">
        <v>47</v>
      </c>
      <c r="N18" s="271" t="s">
        <v>886</v>
      </c>
      <c r="O18" s="276" t="s">
        <v>40</v>
      </c>
      <c r="P18" s="272"/>
      <c r="Q18" s="303"/>
      <c r="R18" s="275">
        <v>500000</v>
      </c>
      <c r="S18" s="162">
        <f t="shared" si="3"/>
        <v>1</v>
      </c>
      <c r="T18" s="94"/>
      <c r="U18" s="270">
        <f>S18*R18*(100-P18)/100</f>
        <v>500000</v>
      </c>
      <c r="V18" s="395">
        <f>U18</f>
        <v>500000</v>
      </c>
    </row>
    <row r="19" spans="1:25" s="82" customFormat="1" ht="26">
      <c r="A19" s="81">
        <f t="shared" si="2"/>
        <v>13</v>
      </c>
      <c r="B19" s="81">
        <v>13</v>
      </c>
      <c r="C19" s="258" t="s">
        <v>887</v>
      </c>
      <c r="D19" s="259" t="s">
        <v>75</v>
      </c>
      <c r="E19" s="258" t="s">
        <v>884</v>
      </c>
      <c r="F19" s="86">
        <v>900</v>
      </c>
      <c r="G19" s="86">
        <v>1600</v>
      </c>
      <c r="H19" s="261" t="s">
        <v>888</v>
      </c>
      <c r="I19" s="140" t="s">
        <v>35</v>
      </c>
      <c r="J19" s="140" t="s">
        <v>36</v>
      </c>
      <c r="K19" s="315" t="s">
        <v>76</v>
      </c>
      <c r="L19" s="297"/>
      <c r="M19" s="352" t="s">
        <v>47</v>
      </c>
      <c r="N19" s="271" t="s">
        <v>889</v>
      </c>
      <c r="O19" s="276" t="s">
        <v>40</v>
      </c>
      <c r="P19" s="297"/>
      <c r="Q19" s="275">
        <f>R19*3</f>
        <v>1500000</v>
      </c>
      <c r="R19" s="275">
        <v>500000</v>
      </c>
      <c r="S19" s="162">
        <f t="shared" si="3"/>
        <v>7</v>
      </c>
      <c r="T19" s="259"/>
      <c r="U19" s="270">
        <f t="shared" si="0"/>
        <v>3500000</v>
      </c>
      <c r="V19" s="396">
        <f>Q19+((S19-4)*R19)</f>
        <v>3000000</v>
      </c>
      <c r="W19" s="90"/>
      <c r="X19" s="91"/>
      <c r="Y19" s="90"/>
    </row>
    <row r="20" spans="1:25" s="82" customFormat="1">
      <c r="A20" s="81">
        <f t="shared" si="2"/>
        <v>14</v>
      </c>
      <c r="B20" s="81">
        <v>14</v>
      </c>
      <c r="C20" s="258" t="s">
        <v>890</v>
      </c>
      <c r="D20" s="259" t="s">
        <v>43</v>
      </c>
      <c r="E20" s="258" t="s">
        <v>891</v>
      </c>
      <c r="F20" s="86">
        <v>1330</v>
      </c>
      <c r="G20" s="86">
        <v>1430</v>
      </c>
      <c r="H20" s="261" t="s">
        <v>892</v>
      </c>
      <c r="I20" s="140" t="s">
        <v>35</v>
      </c>
      <c r="J20" s="140" t="s">
        <v>36</v>
      </c>
      <c r="K20" s="315" t="s">
        <v>76</v>
      </c>
      <c r="L20" s="412"/>
      <c r="M20" s="94" t="s">
        <v>72</v>
      </c>
      <c r="N20" s="633" t="s">
        <v>893</v>
      </c>
      <c r="O20" s="276" t="s">
        <v>40</v>
      </c>
      <c r="P20" s="275">
        <v>100</v>
      </c>
      <c r="Q20" s="274"/>
      <c r="R20" s="275">
        <v>500000</v>
      </c>
      <c r="S20" s="162">
        <f t="shared" si="3"/>
        <v>1</v>
      </c>
      <c r="T20" s="259"/>
      <c r="U20" s="270">
        <f t="shared" si="0"/>
        <v>0</v>
      </c>
      <c r="V20" s="397">
        <f t="shared" ref="V20:V48" si="4">U20</f>
        <v>0</v>
      </c>
      <c r="W20" s="90"/>
      <c r="X20" s="91"/>
      <c r="Y20" s="90"/>
    </row>
    <row r="21" spans="1:25" s="82" customFormat="1" ht="26">
      <c r="A21" s="81">
        <f t="shared" si="2"/>
        <v>15</v>
      </c>
      <c r="B21" s="81">
        <v>15</v>
      </c>
      <c r="C21" s="258" t="s">
        <v>894</v>
      </c>
      <c r="D21" s="259" t="s">
        <v>43</v>
      </c>
      <c r="E21" s="258" t="s">
        <v>850</v>
      </c>
      <c r="F21" s="86">
        <v>1000</v>
      </c>
      <c r="G21" s="86">
        <v>1200</v>
      </c>
      <c r="H21" s="261" t="s">
        <v>895</v>
      </c>
      <c r="I21" s="140" t="s">
        <v>35</v>
      </c>
      <c r="J21" s="140" t="s">
        <v>36</v>
      </c>
      <c r="K21" s="315" t="s">
        <v>76</v>
      </c>
      <c r="L21" s="297"/>
      <c r="M21" s="354" t="s">
        <v>47</v>
      </c>
      <c r="N21" s="271" t="s">
        <v>896</v>
      </c>
      <c r="O21" s="276" t="s">
        <v>40</v>
      </c>
      <c r="P21" s="272"/>
      <c r="Q21" s="298"/>
      <c r="R21" s="275">
        <v>500000</v>
      </c>
      <c r="S21" s="162">
        <f t="shared" si="3"/>
        <v>2</v>
      </c>
      <c r="T21" s="259"/>
      <c r="U21" s="270">
        <f t="shared" si="0"/>
        <v>1000000</v>
      </c>
      <c r="V21" s="395">
        <f t="shared" si="4"/>
        <v>1000000</v>
      </c>
      <c r="W21" s="90"/>
      <c r="X21" s="91"/>
      <c r="Y21" s="90"/>
    </row>
    <row r="22" spans="1:25" s="82" customFormat="1" ht="26">
      <c r="A22" s="81">
        <f t="shared" si="2"/>
        <v>16</v>
      </c>
      <c r="B22" s="81">
        <v>16</v>
      </c>
      <c r="C22" s="258" t="s">
        <v>897</v>
      </c>
      <c r="D22" s="259" t="s">
        <v>43</v>
      </c>
      <c r="E22" s="258" t="s">
        <v>884</v>
      </c>
      <c r="F22" s="86">
        <v>1000</v>
      </c>
      <c r="G22" s="86">
        <v>1100</v>
      </c>
      <c r="H22" s="261" t="s">
        <v>898</v>
      </c>
      <c r="I22" s="140" t="s">
        <v>35</v>
      </c>
      <c r="J22" s="140" t="s">
        <v>36</v>
      </c>
      <c r="K22" s="315" t="s">
        <v>46</v>
      </c>
      <c r="L22" s="297"/>
      <c r="M22" s="132" t="s">
        <v>47</v>
      </c>
      <c r="N22" s="271" t="s">
        <v>899</v>
      </c>
      <c r="O22" s="276" t="s">
        <v>40</v>
      </c>
      <c r="P22" s="298"/>
      <c r="Q22" s="298"/>
      <c r="R22" s="275">
        <v>500000</v>
      </c>
      <c r="S22" s="162">
        <f t="shared" si="3"/>
        <v>1</v>
      </c>
      <c r="T22" s="94"/>
      <c r="U22" s="270">
        <f t="shared" si="0"/>
        <v>500000</v>
      </c>
      <c r="V22" s="395">
        <f t="shared" si="4"/>
        <v>500000</v>
      </c>
    </row>
    <row r="23" spans="1:25" s="82" customFormat="1" ht="26">
      <c r="A23" s="81">
        <f t="shared" si="2"/>
        <v>17</v>
      </c>
      <c r="B23" s="81">
        <v>17</v>
      </c>
      <c r="C23" s="258" t="s">
        <v>900</v>
      </c>
      <c r="D23" s="259" t="s">
        <v>43</v>
      </c>
      <c r="E23" s="258" t="s">
        <v>884</v>
      </c>
      <c r="F23" s="86">
        <v>1000</v>
      </c>
      <c r="G23" s="86">
        <v>1100</v>
      </c>
      <c r="H23" s="261" t="s">
        <v>898</v>
      </c>
      <c r="I23" s="140" t="s">
        <v>35</v>
      </c>
      <c r="J23" s="140" t="s">
        <v>36</v>
      </c>
      <c r="K23" s="315" t="s">
        <v>46</v>
      </c>
      <c r="L23" s="297"/>
      <c r="M23" s="295" t="s">
        <v>47</v>
      </c>
      <c r="N23" s="271" t="s">
        <v>901</v>
      </c>
      <c r="O23" s="276" t="s">
        <v>174</v>
      </c>
      <c r="P23" s="272"/>
      <c r="Q23" s="298"/>
      <c r="R23" s="275"/>
      <c r="S23" s="162">
        <f t="shared" si="3"/>
        <v>1</v>
      </c>
      <c r="T23" s="259"/>
      <c r="U23" s="270">
        <f t="shared" si="0"/>
        <v>0</v>
      </c>
      <c r="V23" s="347">
        <f>Q23+((S23-4)*R23)</f>
        <v>0</v>
      </c>
      <c r="W23" s="90"/>
      <c r="X23" s="91"/>
      <c r="Y23" s="90"/>
    </row>
    <row r="24" spans="1:25" s="82" customFormat="1" ht="26">
      <c r="A24" s="81">
        <f t="shared" si="2"/>
        <v>18</v>
      </c>
      <c r="B24" s="81">
        <v>18</v>
      </c>
      <c r="C24" s="258" t="s">
        <v>902</v>
      </c>
      <c r="D24" s="259" t="s">
        <v>32</v>
      </c>
      <c r="E24" s="258" t="s">
        <v>903</v>
      </c>
      <c r="F24" s="86">
        <v>1200</v>
      </c>
      <c r="G24" s="86">
        <v>1415</v>
      </c>
      <c r="H24" s="261"/>
      <c r="I24" s="140" t="s">
        <v>904</v>
      </c>
      <c r="J24" s="140" t="s">
        <v>905</v>
      </c>
      <c r="K24" s="315" t="s">
        <v>906</v>
      </c>
      <c r="L24" s="297" t="s">
        <v>907</v>
      </c>
      <c r="M24" s="132"/>
      <c r="N24" s="271" t="s">
        <v>908</v>
      </c>
      <c r="O24" s="276" t="s">
        <v>174</v>
      </c>
      <c r="P24" s="272"/>
      <c r="Q24" s="274"/>
      <c r="R24" s="275"/>
      <c r="S24" s="162">
        <f t="shared" si="3"/>
        <v>2.15</v>
      </c>
      <c r="T24" s="259"/>
      <c r="U24" s="270">
        <f t="shared" si="0"/>
        <v>0</v>
      </c>
      <c r="V24" s="124">
        <f t="shared" si="4"/>
        <v>0</v>
      </c>
      <c r="W24" s="90"/>
      <c r="X24" s="91"/>
      <c r="Y24" s="90"/>
    </row>
    <row r="25" spans="1:25" s="82" customFormat="1" ht="26">
      <c r="A25" s="81">
        <f t="shared" si="2"/>
        <v>19</v>
      </c>
      <c r="B25" s="81">
        <v>19</v>
      </c>
      <c r="C25" s="258" t="s">
        <v>909</v>
      </c>
      <c r="D25" s="259" t="s">
        <v>32</v>
      </c>
      <c r="E25" s="258" t="s">
        <v>910</v>
      </c>
      <c r="F25" s="86">
        <v>1700</v>
      </c>
      <c r="G25" s="86">
        <v>1730</v>
      </c>
      <c r="H25" s="261"/>
      <c r="I25" s="140" t="s">
        <v>904</v>
      </c>
      <c r="J25" s="140" t="s">
        <v>905</v>
      </c>
      <c r="K25" s="315" t="s">
        <v>906</v>
      </c>
      <c r="L25" s="297" t="s">
        <v>907</v>
      </c>
      <c r="M25" s="295"/>
      <c r="N25" s="325" t="s">
        <v>911</v>
      </c>
      <c r="O25" s="276" t="s">
        <v>174</v>
      </c>
      <c r="P25" s="298"/>
      <c r="Q25" s="275"/>
      <c r="R25" s="275"/>
      <c r="S25" s="162">
        <f t="shared" si="3"/>
        <v>0.3</v>
      </c>
      <c r="T25" s="94"/>
      <c r="U25" s="270">
        <f t="shared" si="0"/>
        <v>0</v>
      </c>
      <c r="V25" s="347">
        <f>U25</f>
        <v>0</v>
      </c>
    </row>
    <row r="26" spans="1:25" s="82" customFormat="1" ht="26">
      <c r="A26" s="81">
        <f t="shared" si="2"/>
        <v>20</v>
      </c>
      <c r="B26" s="81">
        <v>20</v>
      </c>
      <c r="C26" s="258" t="s">
        <v>912</v>
      </c>
      <c r="D26" s="259" t="s">
        <v>32</v>
      </c>
      <c r="E26" s="258" t="s">
        <v>910</v>
      </c>
      <c r="F26" s="86">
        <v>800</v>
      </c>
      <c r="G26" s="86">
        <v>830</v>
      </c>
      <c r="H26" s="261"/>
      <c r="I26" s="140" t="s">
        <v>904</v>
      </c>
      <c r="J26" s="140" t="s">
        <v>905</v>
      </c>
      <c r="K26" s="315" t="s">
        <v>906</v>
      </c>
      <c r="L26" s="297" t="s">
        <v>907</v>
      </c>
      <c r="M26" s="132"/>
      <c r="N26" s="325" t="s">
        <v>913</v>
      </c>
      <c r="O26" s="276" t="s">
        <v>174</v>
      </c>
      <c r="P26" s="298"/>
      <c r="Q26" s="274"/>
      <c r="R26" s="275"/>
      <c r="S26" s="162">
        <f t="shared" si="3"/>
        <v>0.3</v>
      </c>
      <c r="T26" s="259"/>
      <c r="U26" s="270">
        <f t="shared" si="0"/>
        <v>0</v>
      </c>
      <c r="V26" s="347">
        <f t="shared" si="4"/>
        <v>0</v>
      </c>
      <c r="W26" s="90"/>
      <c r="X26" s="91"/>
      <c r="Y26" s="90"/>
    </row>
    <row r="27" spans="1:25" s="82" customFormat="1">
      <c r="A27" s="81">
        <f t="shared" si="2"/>
        <v>21</v>
      </c>
      <c r="B27" s="81">
        <v>21</v>
      </c>
      <c r="C27" s="258" t="s">
        <v>914</v>
      </c>
      <c r="D27" s="259" t="s">
        <v>43</v>
      </c>
      <c r="E27" s="258" t="s">
        <v>915</v>
      </c>
      <c r="F27" s="86">
        <v>1400</v>
      </c>
      <c r="G27" s="86">
        <v>1500</v>
      </c>
      <c r="H27" s="261" t="s">
        <v>916</v>
      </c>
      <c r="I27" s="140" t="s">
        <v>35</v>
      </c>
      <c r="J27" s="140" t="s">
        <v>36</v>
      </c>
      <c r="K27" s="315" t="s">
        <v>76</v>
      </c>
      <c r="L27" s="297"/>
      <c r="M27" s="132" t="s">
        <v>124</v>
      </c>
      <c r="N27" s="448" t="s">
        <v>917</v>
      </c>
      <c r="O27" s="276" t="s">
        <v>40</v>
      </c>
      <c r="P27" s="298"/>
      <c r="Q27" s="298"/>
      <c r="R27" s="275">
        <v>500000</v>
      </c>
      <c r="S27" s="162">
        <f t="shared" si="3"/>
        <v>1</v>
      </c>
      <c r="T27" s="94"/>
      <c r="U27" s="270">
        <f t="shared" si="0"/>
        <v>500000</v>
      </c>
      <c r="V27" s="395">
        <f t="shared" si="4"/>
        <v>500000</v>
      </c>
    </row>
    <row r="28" spans="1:25" s="82" customFormat="1">
      <c r="A28" s="81">
        <f t="shared" si="2"/>
        <v>22</v>
      </c>
      <c r="B28" s="81">
        <v>22</v>
      </c>
      <c r="C28" s="258" t="s">
        <v>918</v>
      </c>
      <c r="D28" s="259" t="s">
        <v>43</v>
      </c>
      <c r="E28" s="258" t="s">
        <v>910</v>
      </c>
      <c r="F28" s="86">
        <v>1400</v>
      </c>
      <c r="G28" s="86">
        <v>1500</v>
      </c>
      <c r="H28" s="261" t="s">
        <v>916</v>
      </c>
      <c r="I28" s="140" t="s">
        <v>35</v>
      </c>
      <c r="J28" s="140" t="s">
        <v>36</v>
      </c>
      <c r="K28" s="315" t="s">
        <v>76</v>
      </c>
      <c r="L28" s="297"/>
      <c r="M28" s="132" t="s">
        <v>124</v>
      </c>
      <c r="N28" s="277" t="s">
        <v>919</v>
      </c>
      <c r="O28" s="276" t="s">
        <v>174</v>
      </c>
      <c r="P28" s="272"/>
      <c r="Q28" s="298"/>
      <c r="R28" s="275"/>
      <c r="S28" s="162">
        <f t="shared" si="3"/>
        <v>1</v>
      </c>
      <c r="T28" s="259"/>
      <c r="U28" s="270">
        <f t="shared" si="0"/>
        <v>0</v>
      </c>
      <c r="V28" s="124">
        <f t="shared" si="4"/>
        <v>0</v>
      </c>
      <c r="W28" s="90"/>
      <c r="X28" s="91"/>
      <c r="Y28" s="90"/>
    </row>
    <row r="29" spans="1:25" s="82" customFormat="1">
      <c r="A29" s="81">
        <f t="shared" si="2"/>
        <v>23</v>
      </c>
      <c r="B29" s="81">
        <v>23</v>
      </c>
      <c r="C29" s="258" t="s">
        <v>920</v>
      </c>
      <c r="D29" s="259" t="s">
        <v>43</v>
      </c>
      <c r="E29" s="258" t="s">
        <v>921</v>
      </c>
      <c r="F29" s="86">
        <v>900</v>
      </c>
      <c r="G29" s="86">
        <v>1100</v>
      </c>
      <c r="H29" s="261" t="s">
        <v>922</v>
      </c>
      <c r="I29" s="140" t="s">
        <v>35</v>
      </c>
      <c r="J29" s="140" t="s">
        <v>36</v>
      </c>
      <c r="K29" s="315" t="s">
        <v>76</v>
      </c>
      <c r="L29" s="295" t="s">
        <v>923</v>
      </c>
      <c r="M29" s="82" t="s">
        <v>924</v>
      </c>
      <c r="N29" s="448" t="s">
        <v>925</v>
      </c>
      <c r="O29" s="276" t="s">
        <v>40</v>
      </c>
      <c r="P29" s="272"/>
      <c r="Q29" s="303"/>
      <c r="R29" s="275">
        <v>500000</v>
      </c>
      <c r="S29" s="162">
        <f t="shared" si="3"/>
        <v>2</v>
      </c>
      <c r="T29" s="94"/>
      <c r="U29" s="270">
        <f t="shared" si="0"/>
        <v>1000000</v>
      </c>
      <c r="V29" s="395">
        <f t="shared" si="4"/>
        <v>1000000</v>
      </c>
      <c r="W29" s="82" t="s">
        <v>848</v>
      </c>
    </row>
    <row r="30" spans="1:25" s="82" customFormat="1" ht="13">
      <c r="A30" s="81">
        <f t="shared" si="2"/>
        <v>24</v>
      </c>
      <c r="B30" s="81">
        <v>24</v>
      </c>
      <c r="C30" s="258" t="s">
        <v>926</v>
      </c>
      <c r="D30" s="259" t="s">
        <v>375</v>
      </c>
      <c r="E30" s="258" t="s">
        <v>921</v>
      </c>
      <c r="F30" s="86">
        <v>900</v>
      </c>
      <c r="G30" s="86">
        <v>1100</v>
      </c>
      <c r="H30" s="261" t="s">
        <v>927</v>
      </c>
      <c r="I30" s="140" t="s">
        <v>35</v>
      </c>
      <c r="J30" s="140" t="s">
        <v>36</v>
      </c>
      <c r="K30" s="315" t="s">
        <v>76</v>
      </c>
      <c r="L30" s="297"/>
      <c r="M30" s="132" t="s">
        <v>924</v>
      </c>
      <c r="N30" s="278" t="s">
        <v>928</v>
      </c>
      <c r="O30" s="276" t="s">
        <v>174</v>
      </c>
      <c r="P30" s="298"/>
      <c r="Q30" s="303"/>
      <c r="R30" s="275"/>
      <c r="S30" s="162">
        <f t="shared" si="3"/>
        <v>2</v>
      </c>
      <c r="T30" s="259"/>
      <c r="U30" s="270">
        <f>S30*R30*(100-P30)/100</f>
        <v>0</v>
      </c>
      <c r="V30" s="347">
        <f t="shared" si="4"/>
        <v>0</v>
      </c>
      <c r="W30" s="90"/>
      <c r="X30" s="91"/>
      <c r="Y30" s="90"/>
    </row>
    <row r="31" spans="1:25" s="82" customFormat="1" ht="39">
      <c r="A31" s="81">
        <f t="shared" si="2"/>
        <v>25</v>
      </c>
      <c r="B31" s="81">
        <v>25</v>
      </c>
      <c r="C31" s="258" t="s">
        <v>929</v>
      </c>
      <c r="D31" s="259" t="s">
        <v>43</v>
      </c>
      <c r="E31" s="258" t="s">
        <v>930</v>
      </c>
      <c r="F31" s="86">
        <v>1415</v>
      </c>
      <c r="G31" s="86">
        <v>1445</v>
      </c>
      <c r="H31" s="261" t="s">
        <v>931</v>
      </c>
      <c r="I31" s="140" t="s">
        <v>36</v>
      </c>
      <c r="J31" s="140" t="s">
        <v>36</v>
      </c>
      <c r="K31" s="315" t="s">
        <v>133</v>
      </c>
      <c r="L31" s="297"/>
      <c r="M31" s="295" t="s">
        <v>484</v>
      </c>
      <c r="N31" s="451">
        <v>45237.629490740743</v>
      </c>
      <c r="O31" s="276" t="s">
        <v>40</v>
      </c>
      <c r="P31" s="298">
        <v>100</v>
      </c>
      <c r="Q31" s="308"/>
      <c r="R31" s="275">
        <v>500000</v>
      </c>
      <c r="S31" s="162">
        <f t="shared" si="3"/>
        <v>0.3</v>
      </c>
      <c r="T31" s="259"/>
      <c r="U31" s="270">
        <f t="shared" si="0"/>
        <v>0</v>
      </c>
      <c r="V31" s="397">
        <f t="shared" si="4"/>
        <v>0</v>
      </c>
      <c r="W31" s="90"/>
      <c r="X31" s="91"/>
      <c r="Y31" s="90"/>
    </row>
    <row r="32" spans="1:25" s="82" customFormat="1" ht="26">
      <c r="A32" s="81">
        <f t="shared" si="2"/>
        <v>26</v>
      </c>
      <c r="B32" s="81">
        <v>26</v>
      </c>
      <c r="C32" s="258" t="s">
        <v>932</v>
      </c>
      <c r="D32" s="259" t="s">
        <v>43</v>
      </c>
      <c r="E32" s="258" t="s">
        <v>933</v>
      </c>
      <c r="F32" s="86">
        <v>1630</v>
      </c>
      <c r="G32" s="86">
        <v>1730</v>
      </c>
      <c r="H32" s="261" t="s">
        <v>934</v>
      </c>
      <c r="I32" s="140" t="s">
        <v>35</v>
      </c>
      <c r="J32" s="140" t="s">
        <v>36</v>
      </c>
      <c r="K32" s="315" t="s">
        <v>76</v>
      </c>
      <c r="L32" s="297"/>
      <c r="M32" s="132" t="s">
        <v>47</v>
      </c>
      <c r="N32" s="448">
        <v>45206.727824074071</v>
      </c>
      <c r="O32" s="276" t="s">
        <v>40</v>
      </c>
      <c r="P32" s="272"/>
      <c r="Q32" s="275"/>
      <c r="R32" s="275">
        <v>500000</v>
      </c>
      <c r="S32" s="162">
        <f t="shared" si="3"/>
        <v>1</v>
      </c>
      <c r="T32" s="259"/>
      <c r="U32" s="270">
        <f>S32*R32*(100-P32)/100</f>
        <v>500000</v>
      </c>
      <c r="V32" s="395">
        <f t="shared" si="4"/>
        <v>500000</v>
      </c>
      <c r="W32" s="90"/>
      <c r="X32" s="91"/>
      <c r="Y32" s="90"/>
    </row>
    <row r="33" spans="1:25" s="82" customFormat="1" ht="26">
      <c r="A33" s="81">
        <f t="shared" si="2"/>
        <v>27</v>
      </c>
      <c r="B33" s="81">
        <v>27</v>
      </c>
      <c r="C33" s="258" t="s">
        <v>935</v>
      </c>
      <c r="D33" s="259" t="s">
        <v>43</v>
      </c>
      <c r="E33" s="258" t="s">
        <v>933</v>
      </c>
      <c r="F33" s="86">
        <v>930</v>
      </c>
      <c r="G33" s="86">
        <v>1030</v>
      </c>
      <c r="H33" s="261" t="s">
        <v>936</v>
      </c>
      <c r="I33" s="140" t="s">
        <v>35</v>
      </c>
      <c r="J33" s="140" t="s">
        <v>36</v>
      </c>
      <c r="K33" s="315" t="s">
        <v>76</v>
      </c>
      <c r="L33" s="297"/>
      <c r="M33" s="132" t="s">
        <v>47</v>
      </c>
      <c r="N33" s="278">
        <v>45206.443078703705</v>
      </c>
      <c r="O33" s="276" t="s">
        <v>40</v>
      </c>
      <c r="P33" s="272"/>
      <c r="Q33" s="298"/>
      <c r="R33" s="275">
        <v>500000</v>
      </c>
      <c r="S33" s="162">
        <f t="shared" si="3"/>
        <v>1</v>
      </c>
      <c r="T33" s="259"/>
      <c r="U33" s="270">
        <f>S33*R33*(100-P33)/100</f>
        <v>500000</v>
      </c>
      <c r="V33" s="395">
        <f t="shared" si="4"/>
        <v>500000</v>
      </c>
      <c r="W33" s="90"/>
      <c r="X33" s="91"/>
      <c r="Y33" s="90"/>
    </row>
    <row r="34" spans="1:25" s="82" customFormat="1" ht="26">
      <c r="A34" s="81">
        <f t="shared" si="2"/>
        <v>28</v>
      </c>
      <c r="B34" s="81">
        <v>28</v>
      </c>
      <c r="C34" s="258" t="s">
        <v>937</v>
      </c>
      <c r="D34" s="259" t="s">
        <v>75</v>
      </c>
      <c r="E34" s="258" t="s">
        <v>938</v>
      </c>
      <c r="F34" s="86">
        <v>1200</v>
      </c>
      <c r="G34" s="86">
        <v>1300</v>
      </c>
      <c r="H34" s="261" t="s">
        <v>939</v>
      </c>
      <c r="I34" s="140" t="s">
        <v>35</v>
      </c>
      <c r="J34" s="140" t="s">
        <v>36</v>
      </c>
      <c r="K34" s="315" t="s">
        <v>76</v>
      </c>
      <c r="L34" s="297"/>
      <c r="M34" s="132" t="s">
        <v>47</v>
      </c>
      <c r="N34" s="278">
        <v>45114.535185185188</v>
      </c>
      <c r="O34" s="276" t="s">
        <v>40</v>
      </c>
      <c r="P34" s="297"/>
      <c r="Q34" s="298"/>
      <c r="R34" s="275">
        <v>500000</v>
      </c>
      <c r="S34" s="162">
        <f t="shared" si="3"/>
        <v>1</v>
      </c>
      <c r="T34" s="259"/>
      <c r="U34" s="270">
        <f>S34*R34*(100-P34)/100</f>
        <v>500000</v>
      </c>
      <c r="V34" s="396">
        <f>U34</f>
        <v>500000</v>
      </c>
      <c r="W34" s="90"/>
      <c r="X34" s="91"/>
      <c r="Y34" s="90"/>
    </row>
    <row r="35" spans="1:25" s="82" customFormat="1" ht="26">
      <c r="A35" s="81">
        <f t="shared" si="2"/>
        <v>29</v>
      </c>
      <c r="B35" s="81">
        <v>29</v>
      </c>
      <c r="C35" s="258" t="s">
        <v>940</v>
      </c>
      <c r="D35" s="259" t="s">
        <v>32</v>
      </c>
      <c r="E35" s="258" t="s">
        <v>938</v>
      </c>
      <c r="F35" s="86">
        <v>1500</v>
      </c>
      <c r="G35" s="86">
        <v>1700</v>
      </c>
      <c r="H35" s="261" t="s">
        <v>941</v>
      </c>
      <c r="I35" s="140" t="s">
        <v>35</v>
      </c>
      <c r="J35" s="140" t="s">
        <v>36</v>
      </c>
      <c r="K35" s="315" t="s">
        <v>37</v>
      </c>
      <c r="L35" s="297"/>
      <c r="M35" s="132" t="s">
        <v>942</v>
      </c>
      <c r="N35" s="278">
        <v>45114.509953703702</v>
      </c>
      <c r="O35" s="276" t="s">
        <v>40</v>
      </c>
      <c r="P35" s="297"/>
      <c r="Q35" s="298"/>
      <c r="R35" s="275">
        <f>950000*125%</f>
        <v>1187500</v>
      </c>
      <c r="S35" s="162">
        <f t="shared" si="3"/>
        <v>2</v>
      </c>
      <c r="T35" s="259"/>
      <c r="U35" s="270">
        <f>S35*R35*(100-P35)/100</f>
        <v>2375000</v>
      </c>
      <c r="V35" s="386">
        <f>U35</f>
        <v>2375000</v>
      </c>
      <c r="W35" s="90" t="s">
        <v>848</v>
      </c>
      <c r="X35" s="91"/>
      <c r="Y35" s="90"/>
    </row>
    <row r="36" spans="1:25" s="82" customFormat="1" ht="26">
      <c r="A36" s="81">
        <f t="shared" si="2"/>
        <v>30</v>
      </c>
      <c r="B36" s="81">
        <v>30</v>
      </c>
      <c r="C36" s="258" t="s">
        <v>943</v>
      </c>
      <c r="D36" s="259" t="s">
        <v>75</v>
      </c>
      <c r="E36" s="269">
        <v>45114</v>
      </c>
      <c r="F36" s="86">
        <v>1500</v>
      </c>
      <c r="G36" s="86">
        <v>1630</v>
      </c>
      <c r="H36" s="261" t="s">
        <v>944</v>
      </c>
      <c r="I36" s="140" t="s">
        <v>35</v>
      </c>
      <c r="J36" s="140" t="s">
        <v>36</v>
      </c>
      <c r="K36" s="315" t="s">
        <v>443</v>
      </c>
      <c r="L36" s="297"/>
      <c r="M36" s="132" t="s">
        <v>47</v>
      </c>
      <c r="N36" s="277">
        <v>45114.441655092596</v>
      </c>
      <c r="O36" s="276" t="s">
        <v>40</v>
      </c>
      <c r="P36" s="297"/>
      <c r="Q36" s="298"/>
      <c r="R36" s="275">
        <v>500000</v>
      </c>
      <c r="S36" s="162">
        <f>(1650-F36)/100</f>
        <v>1.5</v>
      </c>
      <c r="T36" s="259"/>
      <c r="U36" s="270">
        <f>S36*R36*(100-P36)/100</f>
        <v>750000</v>
      </c>
      <c r="V36" s="396">
        <f>U36</f>
        <v>750000</v>
      </c>
      <c r="W36" s="90"/>
      <c r="X36" s="91"/>
      <c r="Y36" s="90"/>
    </row>
    <row r="37" spans="1:25" s="82" customFormat="1" ht="26">
      <c r="A37" s="81">
        <f t="shared" si="2"/>
        <v>31</v>
      </c>
      <c r="B37" s="81">
        <v>31</v>
      </c>
      <c r="C37" s="258" t="s">
        <v>945</v>
      </c>
      <c r="D37" s="259" t="s">
        <v>43</v>
      </c>
      <c r="E37" s="258" t="s">
        <v>938</v>
      </c>
      <c r="F37" s="86">
        <v>1500</v>
      </c>
      <c r="G37" s="86">
        <v>1630</v>
      </c>
      <c r="H37" s="261" t="s">
        <v>944</v>
      </c>
      <c r="I37" s="140" t="s">
        <v>35</v>
      </c>
      <c r="J37" s="140" t="s">
        <v>36</v>
      </c>
      <c r="K37" s="315" t="s">
        <v>443</v>
      </c>
      <c r="L37" s="297"/>
      <c r="M37" s="295" t="s">
        <v>47</v>
      </c>
      <c r="N37" s="448">
        <v>45114.441493055558</v>
      </c>
      <c r="O37" s="276" t="s">
        <v>40</v>
      </c>
      <c r="P37" s="272"/>
      <c r="Q37" s="298"/>
      <c r="R37" s="275">
        <v>500000</v>
      </c>
      <c r="S37" s="162">
        <f>(1650-F37)/100</f>
        <v>1.5</v>
      </c>
      <c r="T37" s="259"/>
      <c r="U37" s="270">
        <f t="shared" ref="U37:U66" si="5">S37*R37*(100-P37)/100</f>
        <v>750000</v>
      </c>
      <c r="V37" s="395">
        <f t="shared" si="4"/>
        <v>750000</v>
      </c>
      <c r="W37" s="90"/>
      <c r="X37" s="91"/>
      <c r="Y37" s="90"/>
    </row>
    <row r="38" spans="1:25" s="82" customFormat="1" ht="26">
      <c r="A38" s="81">
        <f t="shared" si="2"/>
        <v>32</v>
      </c>
      <c r="B38" s="81">
        <v>32</v>
      </c>
      <c r="C38" s="258" t="s">
        <v>946</v>
      </c>
      <c r="D38" s="259" t="s">
        <v>43</v>
      </c>
      <c r="E38" s="258" t="s">
        <v>938</v>
      </c>
      <c r="F38" s="86">
        <v>1100</v>
      </c>
      <c r="G38" s="86">
        <v>1200</v>
      </c>
      <c r="H38" s="261" t="s">
        <v>944</v>
      </c>
      <c r="I38" s="140" t="s">
        <v>35</v>
      </c>
      <c r="J38" s="140" t="s">
        <v>36</v>
      </c>
      <c r="K38" s="315" t="s">
        <v>56</v>
      </c>
      <c r="L38" s="297"/>
      <c r="M38" s="295" t="s">
        <v>47</v>
      </c>
      <c r="N38" s="448">
        <v>45114.440995370373</v>
      </c>
      <c r="O38" s="276" t="s">
        <v>40</v>
      </c>
      <c r="P38" s="272"/>
      <c r="Q38" s="298"/>
      <c r="R38" s="275">
        <v>500000</v>
      </c>
      <c r="S38" s="162">
        <f t="shared" si="3"/>
        <v>1</v>
      </c>
      <c r="T38" s="259"/>
      <c r="U38" s="270">
        <f t="shared" si="5"/>
        <v>500000</v>
      </c>
      <c r="V38" s="395">
        <f t="shared" si="4"/>
        <v>500000</v>
      </c>
      <c r="W38" s="90"/>
      <c r="X38" s="91"/>
      <c r="Y38" s="90"/>
    </row>
    <row r="39" spans="1:25" s="82" customFormat="1" ht="26">
      <c r="A39" s="81">
        <f t="shared" si="2"/>
        <v>33</v>
      </c>
      <c r="B39" s="81">
        <v>33</v>
      </c>
      <c r="C39" s="258" t="s">
        <v>947</v>
      </c>
      <c r="D39" s="259" t="s">
        <v>43</v>
      </c>
      <c r="E39" s="258" t="s">
        <v>938</v>
      </c>
      <c r="F39" s="86">
        <v>1000</v>
      </c>
      <c r="G39" s="86">
        <v>1100</v>
      </c>
      <c r="H39" s="261"/>
      <c r="I39" s="140" t="s">
        <v>948</v>
      </c>
      <c r="J39" s="140" t="s">
        <v>948</v>
      </c>
      <c r="K39" s="315" t="s">
        <v>906</v>
      </c>
      <c r="L39" s="297" t="s">
        <v>949</v>
      </c>
      <c r="M39" s="295"/>
      <c r="N39" s="277">
        <v>45084.752280092594</v>
      </c>
      <c r="O39" s="276" t="s">
        <v>174</v>
      </c>
      <c r="P39" s="272"/>
      <c r="Q39" s="298"/>
      <c r="R39" s="275"/>
      <c r="S39" s="162">
        <f t="shared" si="3"/>
        <v>1</v>
      </c>
      <c r="T39" s="259"/>
      <c r="U39" s="270">
        <f t="shared" si="5"/>
        <v>0</v>
      </c>
      <c r="V39" s="347">
        <f t="shared" si="4"/>
        <v>0</v>
      </c>
      <c r="W39" s="90"/>
      <c r="X39" s="90"/>
      <c r="Y39" s="90"/>
    </row>
    <row r="40" spans="1:25" s="82" customFormat="1" ht="26">
      <c r="A40" s="81">
        <f t="shared" si="2"/>
        <v>34</v>
      </c>
      <c r="B40" s="81">
        <v>34</v>
      </c>
      <c r="C40" s="258" t="s">
        <v>950</v>
      </c>
      <c r="D40" s="259" t="s">
        <v>32</v>
      </c>
      <c r="E40" s="258" t="s">
        <v>951</v>
      </c>
      <c r="F40" s="86">
        <v>1000</v>
      </c>
      <c r="G40" s="86">
        <v>1200</v>
      </c>
      <c r="H40" s="261" t="s">
        <v>952</v>
      </c>
      <c r="I40" s="140" t="s">
        <v>35</v>
      </c>
      <c r="J40" s="140" t="s">
        <v>36</v>
      </c>
      <c r="K40" s="315" t="s">
        <v>37</v>
      </c>
      <c r="L40" s="297"/>
      <c r="M40" s="295" t="s">
        <v>47</v>
      </c>
      <c r="N40" s="448">
        <v>45084.714212962965</v>
      </c>
      <c r="O40" s="276" t="s">
        <v>174</v>
      </c>
      <c r="P40" s="272"/>
      <c r="Q40" s="298"/>
      <c r="R40" s="275"/>
      <c r="S40" s="162">
        <f t="shared" si="3"/>
        <v>2</v>
      </c>
      <c r="T40" s="94"/>
      <c r="U40" s="270">
        <f t="shared" si="5"/>
        <v>0</v>
      </c>
      <c r="V40" s="124">
        <f t="shared" si="4"/>
        <v>0</v>
      </c>
    </row>
    <row r="41" spans="1:25" s="82" customFormat="1" ht="13">
      <c r="A41" s="81">
        <f t="shared" si="2"/>
        <v>35</v>
      </c>
      <c r="B41" s="81">
        <v>35</v>
      </c>
      <c r="C41" s="258" t="s">
        <v>953</v>
      </c>
      <c r="D41" s="259" t="s">
        <v>32</v>
      </c>
      <c r="E41" s="258" t="s">
        <v>938</v>
      </c>
      <c r="F41" s="86">
        <v>1300</v>
      </c>
      <c r="G41" s="86">
        <v>1430</v>
      </c>
      <c r="H41" s="261" t="s">
        <v>954</v>
      </c>
      <c r="I41" s="140" t="s">
        <v>35</v>
      </c>
      <c r="J41" s="140" t="s">
        <v>36</v>
      </c>
      <c r="K41" s="315" t="s">
        <v>167</v>
      </c>
      <c r="L41" s="297"/>
      <c r="M41" s="295" t="s">
        <v>218</v>
      </c>
      <c r="N41" s="451">
        <v>45084.709386574075</v>
      </c>
      <c r="O41" s="276" t="s">
        <v>40</v>
      </c>
      <c r="P41" s="298"/>
      <c r="Q41" s="298"/>
      <c r="R41" s="275">
        <v>950000</v>
      </c>
      <c r="S41" s="162">
        <f>(1450-F41)/100</f>
        <v>1.5</v>
      </c>
      <c r="T41" s="94"/>
      <c r="U41" s="270">
        <f t="shared" si="5"/>
        <v>1425000</v>
      </c>
      <c r="V41" s="397">
        <f t="shared" si="4"/>
        <v>1425000</v>
      </c>
    </row>
    <row r="42" spans="1:25" s="82" customFormat="1" ht="26">
      <c r="A42" s="81">
        <f t="shared" si="2"/>
        <v>36</v>
      </c>
      <c r="B42" s="81">
        <v>36</v>
      </c>
      <c r="C42" s="258" t="s">
        <v>955</v>
      </c>
      <c r="D42" s="259" t="s">
        <v>32</v>
      </c>
      <c r="E42" s="258" t="s">
        <v>956</v>
      </c>
      <c r="F42" s="86">
        <v>1000</v>
      </c>
      <c r="G42" s="86">
        <v>1200</v>
      </c>
      <c r="H42" s="261" t="s">
        <v>957</v>
      </c>
      <c r="I42" s="140" t="s">
        <v>35</v>
      </c>
      <c r="J42" s="140" t="s">
        <v>36</v>
      </c>
      <c r="K42" s="315" t="s">
        <v>37</v>
      </c>
      <c r="L42" s="297"/>
      <c r="M42" s="295" t="s">
        <v>47</v>
      </c>
      <c r="N42" s="278">
        <v>45053.498645833337</v>
      </c>
      <c r="O42" s="276" t="s">
        <v>40</v>
      </c>
      <c r="P42" s="272"/>
      <c r="Q42" s="298"/>
      <c r="R42" s="275">
        <v>950000</v>
      </c>
      <c r="S42" s="162">
        <f t="shared" si="3"/>
        <v>2</v>
      </c>
      <c r="T42" s="94"/>
      <c r="U42" s="270">
        <f t="shared" si="5"/>
        <v>1900000</v>
      </c>
      <c r="V42" s="395">
        <f>U42</f>
        <v>1900000</v>
      </c>
    </row>
    <row r="43" spans="1:25" s="82" customFormat="1" ht="26">
      <c r="A43" s="81">
        <f t="shared" si="2"/>
        <v>37</v>
      </c>
      <c r="B43" s="81">
        <v>37</v>
      </c>
      <c r="C43" s="258" t="s">
        <v>958</v>
      </c>
      <c r="D43" s="259" t="s">
        <v>32</v>
      </c>
      <c r="E43" s="258" t="s">
        <v>951</v>
      </c>
      <c r="F43" s="86">
        <v>1400</v>
      </c>
      <c r="G43" s="86">
        <v>1530</v>
      </c>
      <c r="H43" s="261" t="s">
        <v>959</v>
      </c>
      <c r="I43" s="140" t="s">
        <v>35</v>
      </c>
      <c r="J43" s="140" t="s">
        <v>36</v>
      </c>
      <c r="K43" s="315" t="s">
        <v>37</v>
      </c>
      <c r="L43" s="297"/>
      <c r="M43" s="295" t="s">
        <v>47</v>
      </c>
      <c r="N43" s="451">
        <v>45053.498136574075</v>
      </c>
      <c r="O43" s="276" t="s">
        <v>40</v>
      </c>
      <c r="P43" s="279"/>
      <c r="Q43" s="298"/>
      <c r="R43" s="275">
        <v>950000</v>
      </c>
      <c r="S43" s="162">
        <f>(1550-F43)/100</f>
        <v>1.5</v>
      </c>
      <c r="T43" s="46"/>
      <c r="U43" s="270">
        <f t="shared" si="5"/>
        <v>1425000</v>
      </c>
      <c r="V43" s="395">
        <f t="shared" si="4"/>
        <v>1425000</v>
      </c>
    </row>
    <row r="44" spans="1:25" s="82" customFormat="1" ht="26">
      <c r="A44" s="81">
        <f t="shared" si="2"/>
        <v>38</v>
      </c>
      <c r="B44" s="81">
        <v>38</v>
      </c>
      <c r="C44" s="258" t="s">
        <v>960</v>
      </c>
      <c r="D44" s="259" t="s">
        <v>43</v>
      </c>
      <c r="E44" s="258" t="s">
        <v>961</v>
      </c>
      <c r="F44" s="86">
        <v>1300</v>
      </c>
      <c r="G44" s="86">
        <v>1600</v>
      </c>
      <c r="H44" s="261" t="s">
        <v>962</v>
      </c>
      <c r="I44" s="261" t="s">
        <v>35</v>
      </c>
      <c r="J44" s="261" t="s">
        <v>36</v>
      </c>
      <c r="K44" s="315" t="s">
        <v>76</v>
      </c>
      <c r="L44" s="297"/>
      <c r="M44" s="132" t="s">
        <v>47</v>
      </c>
      <c r="N44" s="280" t="s">
        <v>963</v>
      </c>
      <c r="O44" s="276" t="s">
        <v>40</v>
      </c>
      <c r="P44" s="297"/>
      <c r="Q44" s="298"/>
      <c r="R44" s="275">
        <v>500000</v>
      </c>
      <c r="S44" s="162">
        <f t="shared" si="3"/>
        <v>3</v>
      </c>
      <c r="T44" s="259"/>
      <c r="U44" s="270">
        <f t="shared" si="5"/>
        <v>1500000</v>
      </c>
      <c r="V44" s="395">
        <f t="shared" si="4"/>
        <v>1500000</v>
      </c>
      <c r="W44" s="90"/>
      <c r="X44" s="91"/>
      <c r="Y44" s="90"/>
    </row>
    <row r="45" spans="1:25" s="82" customFormat="1" ht="13">
      <c r="A45" s="81">
        <f t="shared" si="2"/>
        <v>39</v>
      </c>
      <c r="B45" s="81">
        <v>39</v>
      </c>
      <c r="C45" s="258" t="s">
        <v>964</v>
      </c>
      <c r="D45" s="259" t="s">
        <v>43</v>
      </c>
      <c r="E45" s="258" t="s">
        <v>961</v>
      </c>
      <c r="F45" s="86">
        <v>830</v>
      </c>
      <c r="G45" s="86">
        <v>1130</v>
      </c>
      <c r="H45" s="261" t="s">
        <v>965</v>
      </c>
      <c r="I45" s="261" t="s">
        <v>35</v>
      </c>
      <c r="J45" s="261" t="s">
        <v>36</v>
      </c>
      <c r="K45" s="315" t="s">
        <v>46</v>
      </c>
      <c r="L45" s="297"/>
      <c r="M45" s="309" t="s">
        <v>89</v>
      </c>
      <c r="N45" s="280" t="s">
        <v>966</v>
      </c>
      <c r="O45" s="276" t="s">
        <v>40</v>
      </c>
      <c r="P45" s="297"/>
      <c r="Q45" s="275"/>
      <c r="R45" s="275"/>
      <c r="S45" s="162">
        <f t="shared" si="3"/>
        <v>3</v>
      </c>
      <c r="T45" s="259"/>
      <c r="U45" s="270">
        <f t="shared" si="5"/>
        <v>0</v>
      </c>
      <c r="V45" s="347">
        <f t="shared" si="4"/>
        <v>0</v>
      </c>
      <c r="W45" s="90"/>
      <c r="X45" s="91"/>
      <c r="Y45" s="90"/>
    </row>
    <row r="46" spans="1:25" s="82" customFormat="1" ht="13">
      <c r="A46" s="81">
        <f t="shared" si="2"/>
        <v>40</v>
      </c>
      <c r="B46" s="81">
        <v>40</v>
      </c>
      <c r="C46" s="94">
        <v>4244</v>
      </c>
      <c r="D46" s="94" t="s">
        <v>43</v>
      </c>
      <c r="E46" s="139">
        <v>45023</v>
      </c>
      <c r="F46" s="96">
        <v>1300</v>
      </c>
      <c r="G46" s="96">
        <v>1600</v>
      </c>
      <c r="H46" s="95" t="s">
        <v>954</v>
      </c>
      <c r="I46" s="140" t="s">
        <v>35</v>
      </c>
      <c r="J46" s="140" t="s">
        <v>36</v>
      </c>
      <c r="K46" s="316">
        <v>6</v>
      </c>
      <c r="L46" s="297"/>
      <c r="M46" s="295" t="s">
        <v>218</v>
      </c>
      <c r="N46" s="310">
        <v>45023.499143518522</v>
      </c>
      <c r="O46" s="311" t="s">
        <v>40</v>
      </c>
      <c r="P46" s="311"/>
      <c r="Q46" s="298"/>
      <c r="R46" s="275">
        <v>500000</v>
      </c>
      <c r="S46" s="162">
        <f t="shared" si="3"/>
        <v>3</v>
      </c>
      <c r="T46" s="95"/>
      <c r="U46" s="270">
        <f t="shared" si="5"/>
        <v>1500000</v>
      </c>
      <c r="V46" s="397">
        <f t="shared" si="4"/>
        <v>1500000</v>
      </c>
    </row>
    <row r="47" spans="1:25" s="82" customFormat="1" ht="13">
      <c r="A47" s="81">
        <f t="shared" si="2"/>
        <v>41</v>
      </c>
      <c r="B47" s="81">
        <v>41</v>
      </c>
      <c r="C47" s="94">
        <v>4243</v>
      </c>
      <c r="D47" s="94" t="s">
        <v>32</v>
      </c>
      <c r="E47" s="102" t="s">
        <v>903</v>
      </c>
      <c r="F47" s="86">
        <v>900</v>
      </c>
      <c r="G47" s="86">
        <v>1200</v>
      </c>
      <c r="H47" s="94" t="s">
        <v>967</v>
      </c>
      <c r="I47" s="140" t="s">
        <v>35</v>
      </c>
      <c r="J47" s="140" t="s">
        <v>36</v>
      </c>
      <c r="K47" s="316">
        <v>12</v>
      </c>
      <c r="L47" s="297"/>
      <c r="M47" s="295" t="s">
        <v>47</v>
      </c>
      <c r="N47" s="281">
        <v>45023.488564814812</v>
      </c>
      <c r="O47" s="132" t="s">
        <v>40</v>
      </c>
      <c r="P47" s="132"/>
      <c r="Q47" s="298"/>
      <c r="R47" s="275">
        <v>950000</v>
      </c>
      <c r="S47" s="162">
        <f t="shared" si="3"/>
        <v>3</v>
      </c>
      <c r="T47" s="94"/>
      <c r="U47" s="270">
        <f t="shared" si="5"/>
        <v>2850000</v>
      </c>
      <c r="V47" s="395">
        <f t="shared" si="4"/>
        <v>2850000</v>
      </c>
    </row>
    <row r="48" spans="1:25" s="82" customFormat="1" ht="13">
      <c r="A48" s="81">
        <f t="shared" si="2"/>
        <v>42</v>
      </c>
      <c r="B48" s="81">
        <v>42</v>
      </c>
      <c r="C48" s="258" t="s">
        <v>968</v>
      </c>
      <c r="D48" s="259" t="s">
        <v>43</v>
      </c>
      <c r="E48" s="258" t="s">
        <v>956</v>
      </c>
      <c r="F48" s="86">
        <v>1000</v>
      </c>
      <c r="G48" s="86">
        <v>1100</v>
      </c>
      <c r="H48" s="261" t="s">
        <v>969</v>
      </c>
      <c r="I48" s="261" t="s">
        <v>35</v>
      </c>
      <c r="J48" s="261" t="s">
        <v>36</v>
      </c>
      <c r="K48" s="315" t="s">
        <v>46</v>
      </c>
      <c r="L48" s="297"/>
      <c r="M48" s="295" t="s">
        <v>284</v>
      </c>
      <c r="N48" s="280" t="s">
        <v>970</v>
      </c>
      <c r="O48" s="276" t="s">
        <v>40</v>
      </c>
      <c r="P48" s="297"/>
      <c r="Q48" s="298"/>
      <c r="R48" s="275">
        <v>500000</v>
      </c>
      <c r="S48" s="162">
        <f t="shared" si="3"/>
        <v>1</v>
      </c>
      <c r="T48" s="259"/>
      <c r="U48" s="270">
        <f t="shared" si="5"/>
        <v>500000</v>
      </c>
      <c r="V48" s="397">
        <f t="shared" si="4"/>
        <v>500000</v>
      </c>
      <c r="W48" s="90"/>
      <c r="X48" s="91"/>
      <c r="Y48" s="90"/>
    </row>
    <row r="49" spans="1:25" s="82" customFormat="1" ht="13">
      <c r="A49" s="81">
        <f t="shared" si="2"/>
        <v>43</v>
      </c>
      <c r="B49" s="81">
        <v>43</v>
      </c>
      <c r="C49" s="258" t="s">
        <v>971</v>
      </c>
      <c r="D49" s="259" t="s">
        <v>32</v>
      </c>
      <c r="E49" s="258" t="s">
        <v>921</v>
      </c>
      <c r="F49" s="86">
        <v>1700</v>
      </c>
      <c r="G49" s="86">
        <v>1830</v>
      </c>
      <c r="H49" s="261" t="s">
        <v>972</v>
      </c>
      <c r="I49" s="261" t="s">
        <v>35</v>
      </c>
      <c r="J49" s="261" t="s">
        <v>36</v>
      </c>
      <c r="K49" s="315" t="s">
        <v>37</v>
      </c>
      <c r="L49" s="297"/>
      <c r="M49" s="295" t="s">
        <v>112</v>
      </c>
      <c r="N49" s="280" t="s">
        <v>973</v>
      </c>
      <c r="O49" s="276" t="s">
        <v>174</v>
      </c>
      <c r="P49" s="297"/>
      <c r="Q49" s="298"/>
      <c r="R49" s="275"/>
      <c r="S49" s="162">
        <f t="shared" si="3"/>
        <v>1.3</v>
      </c>
      <c r="T49" s="259"/>
      <c r="U49" s="270">
        <f>S49*R49*(100-P49)/100</f>
        <v>0</v>
      </c>
      <c r="V49" s="347">
        <f>U49</f>
        <v>0</v>
      </c>
      <c r="W49" s="90"/>
      <c r="X49" s="91"/>
      <c r="Y49" s="90"/>
    </row>
    <row r="50" spans="1:25" s="82" customFormat="1" ht="13">
      <c r="A50" s="81">
        <f t="shared" si="2"/>
        <v>44</v>
      </c>
      <c r="B50" s="81">
        <v>44</v>
      </c>
      <c r="C50" s="94">
        <v>4203</v>
      </c>
      <c r="D50" s="94" t="s">
        <v>32</v>
      </c>
      <c r="E50" s="102" t="s">
        <v>891</v>
      </c>
      <c r="F50" s="86">
        <v>900</v>
      </c>
      <c r="G50" s="86">
        <v>1200</v>
      </c>
      <c r="H50" s="94" t="s">
        <v>974</v>
      </c>
      <c r="I50" s="140" t="s">
        <v>35</v>
      </c>
      <c r="J50" s="140" t="s">
        <v>36</v>
      </c>
      <c r="K50" s="316">
        <v>12</v>
      </c>
      <c r="L50" s="297"/>
      <c r="M50" s="295" t="s">
        <v>38</v>
      </c>
      <c r="N50" s="281">
        <v>45266.74931712963</v>
      </c>
      <c r="O50" s="132" t="s">
        <v>40</v>
      </c>
      <c r="P50" s="132">
        <v>100</v>
      </c>
      <c r="Q50" s="298"/>
      <c r="R50" s="275">
        <v>950000</v>
      </c>
      <c r="S50" s="162">
        <f t="shared" si="3"/>
        <v>3</v>
      </c>
      <c r="T50" s="94"/>
      <c r="U50" s="270">
        <f t="shared" si="5"/>
        <v>0</v>
      </c>
      <c r="V50" s="395">
        <f>U50</f>
        <v>0</v>
      </c>
    </row>
    <row r="51" spans="1:25" s="82" customFormat="1" ht="13">
      <c r="A51" s="81">
        <f t="shared" si="2"/>
        <v>45</v>
      </c>
      <c r="B51" s="81">
        <v>45</v>
      </c>
      <c r="C51" s="94">
        <v>4186</v>
      </c>
      <c r="D51" s="94" t="s">
        <v>32</v>
      </c>
      <c r="E51" s="102" t="s">
        <v>975</v>
      </c>
      <c r="F51" s="86">
        <v>900</v>
      </c>
      <c r="G51" s="86">
        <v>1730</v>
      </c>
      <c r="H51" s="94" t="s">
        <v>835</v>
      </c>
      <c r="I51" s="140" t="s">
        <v>35</v>
      </c>
      <c r="J51" s="140" t="s">
        <v>36</v>
      </c>
      <c r="K51" s="316">
        <v>12</v>
      </c>
      <c r="L51" s="297"/>
      <c r="M51" s="295" t="s">
        <v>112</v>
      </c>
      <c r="N51" s="281" t="s">
        <v>976</v>
      </c>
      <c r="O51" s="132" t="s">
        <v>40</v>
      </c>
      <c r="P51" s="132">
        <f>(8/8.5)*100</f>
        <v>94.117647058823522</v>
      </c>
      <c r="Q51" s="298">
        <f>R51*6</f>
        <v>5700000</v>
      </c>
      <c r="R51" s="275">
        <v>950000</v>
      </c>
      <c r="S51" s="162">
        <f>(1750-F51)/100</f>
        <v>8.5</v>
      </c>
      <c r="T51" s="94"/>
      <c r="U51" s="270">
        <f t="shared" si="5"/>
        <v>475000.00000000058</v>
      </c>
      <c r="V51" s="386">
        <f>U51</f>
        <v>475000.00000000058</v>
      </c>
    </row>
    <row r="52" spans="1:25" s="82" customFormat="1" ht="13">
      <c r="A52" s="81">
        <f t="shared" si="2"/>
        <v>46</v>
      </c>
      <c r="B52" s="81">
        <v>46</v>
      </c>
      <c r="C52" s="94">
        <v>4184</v>
      </c>
      <c r="D52" s="94" t="s">
        <v>32</v>
      </c>
      <c r="E52" s="102" t="s">
        <v>975</v>
      </c>
      <c r="F52" s="86">
        <v>900</v>
      </c>
      <c r="G52" s="86">
        <v>1730</v>
      </c>
      <c r="H52" s="94" t="s">
        <v>835</v>
      </c>
      <c r="I52" s="140" t="s">
        <v>35</v>
      </c>
      <c r="J52" s="140" t="s">
        <v>36</v>
      </c>
      <c r="K52" s="316">
        <v>12</v>
      </c>
      <c r="L52" s="297"/>
      <c r="M52" s="295" t="s">
        <v>112</v>
      </c>
      <c r="N52" s="281" t="s">
        <v>977</v>
      </c>
      <c r="O52" s="132" t="s">
        <v>174</v>
      </c>
      <c r="P52" s="132"/>
      <c r="Q52" s="298"/>
      <c r="R52" s="275"/>
      <c r="S52" s="162">
        <f>(G52-1150)/100</f>
        <v>5.8</v>
      </c>
      <c r="T52" s="94" t="s">
        <v>738</v>
      </c>
      <c r="U52" s="270">
        <f t="shared" si="5"/>
        <v>0</v>
      </c>
      <c r="V52" s="347">
        <f>U52</f>
        <v>0</v>
      </c>
    </row>
    <row r="53" spans="1:25" s="82" customFormat="1" ht="13">
      <c r="A53" s="81">
        <f t="shared" si="2"/>
        <v>47</v>
      </c>
      <c r="B53" s="81"/>
      <c r="C53" s="258"/>
      <c r="D53" s="259"/>
      <c r="E53" s="258"/>
      <c r="F53" s="86"/>
      <c r="G53" s="86"/>
      <c r="H53" s="261"/>
      <c r="I53" s="261"/>
      <c r="J53" s="261"/>
      <c r="K53" s="315"/>
      <c r="L53" s="297"/>
      <c r="M53" s="295"/>
      <c r="N53" s="280"/>
      <c r="O53" s="276"/>
      <c r="P53" s="295"/>
      <c r="Q53" s="298"/>
      <c r="R53" s="275"/>
      <c r="S53" s="162">
        <f t="shared" si="3"/>
        <v>0</v>
      </c>
      <c r="T53" s="259" t="s">
        <v>738</v>
      </c>
      <c r="U53" s="270">
        <f t="shared" si="5"/>
        <v>0</v>
      </c>
      <c r="V53" s="347">
        <f>Q53+((S53-0)*R53)</f>
        <v>0</v>
      </c>
      <c r="W53" s="388"/>
      <c r="X53" s="91"/>
      <c r="Y53" s="90"/>
    </row>
    <row r="54" spans="1:25" s="82" customFormat="1" ht="13">
      <c r="A54" s="81">
        <f t="shared" si="2"/>
        <v>48</v>
      </c>
      <c r="B54" s="81"/>
      <c r="C54" s="103"/>
      <c r="D54" s="94"/>
      <c r="E54" s="102"/>
      <c r="F54" s="86"/>
      <c r="G54" s="86"/>
      <c r="H54" s="132"/>
      <c r="I54" s="292"/>
      <c r="J54" s="132"/>
      <c r="K54" s="132"/>
      <c r="L54" s="632"/>
      <c r="M54" s="437"/>
      <c r="N54" s="162"/>
      <c r="O54" s="132"/>
      <c r="P54" s="122"/>
      <c r="Q54" s="124"/>
      <c r="R54" s="275"/>
      <c r="S54" s="162">
        <f t="shared" si="3"/>
        <v>0</v>
      </c>
      <c r="T54" s="259"/>
      <c r="U54" s="270">
        <f>S54*R54*(100-P54)/100</f>
        <v>0</v>
      </c>
      <c r="V54" s="347">
        <f t="shared" ref="V54" si="6">U54</f>
        <v>0</v>
      </c>
      <c r="W54" s="90"/>
      <c r="X54" s="91"/>
      <c r="Y54" s="90"/>
    </row>
    <row r="55" spans="1:25" s="82" customFormat="1" ht="13">
      <c r="A55" s="81">
        <f t="shared" si="2"/>
        <v>49</v>
      </c>
      <c r="B55" s="81"/>
      <c r="C55" s="94"/>
      <c r="D55" s="94"/>
      <c r="E55" s="102"/>
      <c r="F55" s="86"/>
      <c r="G55" s="86"/>
      <c r="H55" s="94"/>
      <c r="I55" s="140"/>
      <c r="J55" s="140"/>
      <c r="K55" s="316"/>
      <c r="L55" s="297"/>
      <c r="M55" s="132"/>
      <c r="N55" s="310"/>
      <c r="O55" s="132"/>
      <c r="P55" s="132"/>
      <c r="Q55" s="275"/>
      <c r="R55" s="275"/>
      <c r="S55" s="162">
        <f t="shared" si="3"/>
        <v>0</v>
      </c>
      <c r="T55" s="94"/>
      <c r="U55" s="122">
        <f t="shared" si="5"/>
        <v>0</v>
      </c>
      <c r="V55" s="124">
        <f>Q55+((S55-4)*R55)</f>
        <v>0</v>
      </c>
    </row>
    <row r="56" spans="1:25" s="82" customFormat="1" ht="13">
      <c r="A56" s="81">
        <f t="shared" si="2"/>
        <v>50</v>
      </c>
      <c r="B56" s="81"/>
      <c r="C56" s="94"/>
      <c r="D56" s="94"/>
      <c r="E56" s="102"/>
      <c r="F56" s="86"/>
      <c r="G56" s="86"/>
      <c r="H56" s="94"/>
      <c r="I56" s="140"/>
      <c r="J56" s="140"/>
      <c r="K56" s="316"/>
      <c r="L56" s="297"/>
      <c r="M56" s="132"/>
      <c r="N56" s="281"/>
      <c r="O56" s="132"/>
      <c r="P56" s="132"/>
      <c r="Q56" s="275"/>
      <c r="R56" s="275"/>
      <c r="S56" s="162">
        <f t="shared" si="3"/>
        <v>0</v>
      </c>
      <c r="T56" s="94"/>
      <c r="U56" s="122">
        <f t="shared" si="5"/>
        <v>0</v>
      </c>
      <c r="V56" s="124">
        <f t="shared" ref="V56:V61" si="7">U56</f>
        <v>0</v>
      </c>
    </row>
    <row r="57" spans="1:25" s="82" customFormat="1" ht="13">
      <c r="A57" s="81">
        <f t="shared" si="2"/>
        <v>51</v>
      </c>
      <c r="B57" s="81"/>
      <c r="C57" s="94"/>
      <c r="D57" s="94"/>
      <c r="E57" s="102"/>
      <c r="F57" s="86"/>
      <c r="G57" s="86"/>
      <c r="H57" s="94"/>
      <c r="I57" s="140"/>
      <c r="J57" s="140"/>
      <c r="K57" s="316"/>
      <c r="L57" s="297"/>
      <c r="M57" s="132"/>
      <c r="N57" s="281"/>
      <c r="O57" s="132"/>
      <c r="P57" s="312"/>
      <c r="Q57" s="275"/>
      <c r="R57" s="275"/>
      <c r="S57" s="162">
        <f t="shared" si="3"/>
        <v>0</v>
      </c>
      <c r="T57" s="94"/>
      <c r="U57" s="270">
        <f t="shared" si="5"/>
        <v>0</v>
      </c>
      <c r="V57" s="124">
        <f t="shared" si="7"/>
        <v>0</v>
      </c>
    </row>
    <row r="58" spans="1:25" s="82" customFormat="1" ht="13">
      <c r="A58" s="81">
        <f t="shared" si="2"/>
        <v>52</v>
      </c>
      <c r="B58" s="81"/>
      <c r="C58" s="87"/>
      <c r="D58" s="88"/>
      <c r="E58" s="87"/>
      <c r="F58" s="86"/>
      <c r="G58" s="86"/>
      <c r="H58" s="89"/>
      <c r="I58" s="89"/>
      <c r="J58" s="89"/>
      <c r="K58" s="318"/>
      <c r="L58" s="294"/>
      <c r="M58" s="132"/>
      <c r="N58" s="313"/>
      <c r="O58" s="306"/>
      <c r="P58" s="294"/>
      <c r="Q58" s="298"/>
      <c r="R58" s="275"/>
      <c r="S58" s="162">
        <f t="shared" si="3"/>
        <v>0</v>
      </c>
      <c r="T58" s="88"/>
      <c r="U58" s="122">
        <f t="shared" si="5"/>
        <v>0</v>
      </c>
      <c r="V58" s="165">
        <f t="shared" si="7"/>
        <v>0</v>
      </c>
      <c r="W58" s="90"/>
      <c r="X58" s="91"/>
      <c r="Y58" s="90"/>
    </row>
    <row r="59" spans="1:25" s="82" customFormat="1" ht="13">
      <c r="A59" s="81">
        <f t="shared" si="2"/>
        <v>53</v>
      </c>
      <c r="B59" s="81"/>
      <c r="C59" s="94"/>
      <c r="D59" s="94"/>
      <c r="E59" s="102"/>
      <c r="F59" s="86"/>
      <c r="G59" s="86"/>
      <c r="H59" s="94"/>
      <c r="I59" s="140"/>
      <c r="J59" s="140"/>
      <c r="K59" s="316"/>
      <c r="L59" s="297"/>
      <c r="M59" s="132"/>
      <c r="N59" s="310"/>
      <c r="O59" s="132"/>
      <c r="P59" s="132"/>
      <c r="Q59" s="298"/>
      <c r="R59" s="275"/>
      <c r="S59" s="162">
        <f t="shared" si="3"/>
        <v>0</v>
      </c>
      <c r="T59" s="94"/>
      <c r="U59" s="122">
        <f t="shared" si="5"/>
        <v>0</v>
      </c>
      <c r="V59" s="124">
        <f t="shared" si="7"/>
        <v>0</v>
      </c>
    </row>
    <row r="60" spans="1:25" s="82" customFormat="1" ht="13">
      <c r="A60" s="81">
        <f t="shared" si="2"/>
        <v>54</v>
      </c>
      <c r="B60" s="81"/>
      <c r="C60" s="94"/>
      <c r="D60" s="94"/>
      <c r="E60" s="102"/>
      <c r="F60" s="86"/>
      <c r="G60" s="86"/>
      <c r="H60" s="94"/>
      <c r="I60" s="140"/>
      <c r="J60" s="140"/>
      <c r="K60" s="316"/>
      <c r="L60" s="297"/>
      <c r="M60" s="132"/>
      <c r="N60" s="281"/>
      <c r="O60" s="132"/>
      <c r="P60" s="132"/>
      <c r="Q60" s="275"/>
      <c r="R60" s="275"/>
      <c r="S60" s="162">
        <f t="shared" si="3"/>
        <v>0</v>
      </c>
      <c r="T60" s="94"/>
      <c r="U60" s="270">
        <f t="shared" si="5"/>
        <v>0</v>
      </c>
      <c r="V60" s="124">
        <f t="shared" si="7"/>
        <v>0</v>
      </c>
    </row>
    <row r="61" spans="1:25" s="82" customFormat="1" ht="13">
      <c r="A61" s="81">
        <f t="shared" si="2"/>
        <v>55</v>
      </c>
      <c r="B61" s="81"/>
      <c r="C61" s="103"/>
      <c r="D61" s="94"/>
      <c r="E61" s="102"/>
      <c r="F61" s="86"/>
      <c r="G61" s="86"/>
      <c r="H61" s="94"/>
      <c r="I61" s="140"/>
      <c r="J61" s="140"/>
      <c r="K61" s="316"/>
      <c r="L61" s="297"/>
      <c r="M61" s="132"/>
      <c r="N61" s="281"/>
      <c r="O61" s="132"/>
      <c r="P61" s="132"/>
      <c r="Q61" s="308"/>
      <c r="R61" s="275"/>
      <c r="S61" s="162">
        <f t="shared" si="3"/>
        <v>0</v>
      </c>
      <c r="T61" s="94"/>
      <c r="U61" s="270">
        <f t="shared" si="5"/>
        <v>0</v>
      </c>
      <c r="V61" s="124">
        <f t="shared" si="7"/>
        <v>0</v>
      </c>
    </row>
    <row r="62" spans="1:25" s="82" customFormat="1" ht="13">
      <c r="A62" s="81">
        <f t="shared" si="2"/>
        <v>56</v>
      </c>
      <c r="B62" s="81"/>
      <c r="C62" s="103"/>
      <c r="D62" s="94"/>
      <c r="E62" s="102"/>
      <c r="F62" s="86"/>
      <c r="G62" s="86"/>
      <c r="H62" s="94"/>
      <c r="I62" s="140"/>
      <c r="J62" s="140"/>
      <c r="K62" s="316"/>
      <c r="L62" s="297"/>
      <c r="M62" s="132"/>
      <c r="N62" s="281"/>
      <c r="O62" s="132"/>
      <c r="P62" s="132"/>
      <c r="Q62" s="275"/>
      <c r="R62" s="275"/>
      <c r="S62" s="162">
        <f t="shared" si="3"/>
        <v>0</v>
      </c>
      <c r="T62" s="94"/>
      <c r="U62" s="270">
        <f t="shared" si="5"/>
        <v>0</v>
      </c>
      <c r="V62" s="124">
        <f t="shared" ref="V62" si="8">Q62+((S62-8)*R62)</f>
        <v>0</v>
      </c>
    </row>
    <row r="63" spans="1:25" s="82" customFormat="1" ht="13">
      <c r="A63" s="81">
        <f t="shared" si="2"/>
        <v>57</v>
      </c>
      <c r="B63" s="81"/>
      <c r="C63" s="103"/>
      <c r="D63" s="94"/>
      <c r="E63" s="102"/>
      <c r="F63" s="86"/>
      <c r="G63" s="86"/>
      <c r="H63" s="94"/>
      <c r="I63" s="140"/>
      <c r="J63" s="140"/>
      <c r="K63" s="316"/>
      <c r="L63" s="297"/>
      <c r="M63" s="132"/>
      <c r="N63" s="281"/>
      <c r="O63" s="132"/>
      <c r="P63" s="132"/>
      <c r="Q63" s="275"/>
      <c r="R63" s="275"/>
      <c r="S63" s="162">
        <f t="shared" si="3"/>
        <v>0</v>
      </c>
      <c r="T63" s="94"/>
      <c r="U63" s="270">
        <f t="shared" si="5"/>
        <v>0</v>
      </c>
      <c r="V63" s="124">
        <f>U63</f>
        <v>0</v>
      </c>
    </row>
    <row r="64" spans="1:25" s="82" customFormat="1" ht="13">
      <c r="A64" s="81">
        <f t="shared" si="2"/>
        <v>58</v>
      </c>
      <c r="B64" s="81"/>
      <c r="C64" s="103"/>
      <c r="D64" s="94"/>
      <c r="E64" s="102"/>
      <c r="F64" s="86"/>
      <c r="G64" s="86"/>
      <c r="H64" s="94"/>
      <c r="I64" s="140"/>
      <c r="J64" s="140"/>
      <c r="K64" s="316"/>
      <c r="L64" s="297"/>
      <c r="M64" s="132"/>
      <c r="N64" s="281"/>
      <c r="O64" s="306"/>
      <c r="P64" s="132"/>
      <c r="Q64" s="275"/>
      <c r="R64" s="275"/>
      <c r="S64" s="162">
        <f t="shared" si="3"/>
        <v>0</v>
      </c>
      <c r="T64" s="94"/>
      <c r="U64" s="122">
        <f t="shared" si="5"/>
        <v>0</v>
      </c>
      <c r="V64" s="124">
        <f>U64</f>
        <v>0</v>
      </c>
    </row>
    <row r="65" spans="1:25" s="82" customFormat="1" ht="13">
      <c r="A65" s="81">
        <f t="shared" si="2"/>
        <v>59</v>
      </c>
      <c r="B65" s="81"/>
      <c r="C65" s="103"/>
      <c r="D65" s="94"/>
      <c r="E65" s="102"/>
      <c r="F65" s="86"/>
      <c r="G65" s="86"/>
      <c r="H65" s="94"/>
      <c r="I65" s="140"/>
      <c r="J65" s="140"/>
      <c r="K65" s="316"/>
      <c r="L65" s="297"/>
      <c r="M65" s="132"/>
      <c r="N65" s="281"/>
      <c r="O65" s="306"/>
      <c r="P65" s="132"/>
      <c r="Q65" s="275"/>
      <c r="R65" s="275"/>
      <c r="S65" s="162">
        <f t="shared" si="3"/>
        <v>0</v>
      </c>
      <c r="T65" s="94"/>
      <c r="U65" s="122">
        <f t="shared" si="5"/>
        <v>0</v>
      </c>
      <c r="V65" s="124">
        <f>U65</f>
        <v>0</v>
      </c>
    </row>
    <row r="66" spans="1:25" s="82" customFormat="1" ht="13">
      <c r="A66" s="81">
        <f t="shared" si="2"/>
        <v>60</v>
      </c>
      <c r="B66" s="81"/>
      <c r="C66" s="103"/>
      <c r="D66" s="94"/>
      <c r="E66" s="102"/>
      <c r="F66" s="86"/>
      <c r="G66" s="86"/>
      <c r="H66" s="94"/>
      <c r="I66" s="140"/>
      <c r="J66" s="140"/>
      <c r="K66" s="316"/>
      <c r="L66" s="297"/>
      <c r="M66" s="132"/>
      <c r="N66" s="281"/>
      <c r="O66" s="306"/>
      <c r="P66" s="132"/>
      <c r="Q66" s="275"/>
      <c r="R66" s="275"/>
      <c r="S66" s="162">
        <f t="shared" si="3"/>
        <v>0</v>
      </c>
      <c r="T66" s="94"/>
      <c r="U66" s="122">
        <f t="shared" si="5"/>
        <v>0</v>
      </c>
      <c r="V66" s="124">
        <f>Q66+((S66-4)*R66)</f>
        <v>0</v>
      </c>
    </row>
    <row r="67" spans="1:25" s="82" customFormat="1" ht="13">
      <c r="A67" s="81">
        <f t="shared" si="2"/>
        <v>61</v>
      </c>
      <c r="B67" s="81"/>
      <c r="C67" s="103"/>
      <c r="D67" s="94"/>
      <c r="E67" s="102"/>
      <c r="F67" s="86"/>
      <c r="G67" s="86"/>
      <c r="H67" s="94"/>
      <c r="I67" s="140"/>
      <c r="J67" s="140"/>
      <c r="K67" s="316"/>
      <c r="L67" s="297"/>
      <c r="M67" s="132"/>
      <c r="N67" s="281"/>
      <c r="O67" s="306"/>
      <c r="P67" s="132"/>
      <c r="Q67" s="275"/>
      <c r="R67" s="275"/>
      <c r="S67" s="162">
        <f t="shared" si="3"/>
        <v>0</v>
      </c>
      <c r="T67" s="94"/>
      <c r="U67" s="438">
        <f>S67*R67*(100-P67)/100</f>
        <v>0</v>
      </c>
      <c r="V67" s="124">
        <f>U67</f>
        <v>0</v>
      </c>
    </row>
    <row r="68" spans="1:25" s="82" customFormat="1" ht="13">
      <c r="A68" s="81">
        <f t="shared" si="2"/>
        <v>62</v>
      </c>
      <c r="B68" s="81"/>
      <c r="C68" s="103"/>
      <c r="D68" s="94"/>
      <c r="E68" s="102"/>
      <c r="F68" s="86"/>
      <c r="G68" s="86"/>
      <c r="H68" s="94"/>
      <c r="I68" s="140"/>
      <c r="J68" s="140"/>
      <c r="K68" s="316"/>
      <c r="L68" s="297"/>
      <c r="M68" s="417"/>
      <c r="N68" s="281"/>
      <c r="O68" s="306"/>
      <c r="P68" s="132"/>
      <c r="Q68" s="275"/>
      <c r="R68" s="275"/>
      <c r="S68" s="162">
        <f t="shared" si="3"/>
        <v>0</v>
      </c>
      <c r="T68" s="94"/>
      <c r="U68" s="438">
        <f>S68*R68*(100-P68)/100</f>
        <v>0</v>
      </c>
      <c r="V68" s="124">
        <f>U68</f>
        <v>0</v>
      </c>
    </row>
    <row r="69" spans="1:25" s="82" customFormat="1" ht="13">
      <c r="A69" s="94"/>
      <c r="B69" s="94"/>
      <c r="C69" s="94"/>
      <c r="D69" s="94"/>
      <c r="E69" s="103"/>
      <c r="F69" s="94"/>
      <c r="G69" s="94"/>
      <c r="H69" s="94"/>
      <c r="I69" s="140"/>
      <c r="J69" s="140"/>
      <c r="K69" s="94"/>
      <c r="L69" s="398"/>
      <c r="M69" s="94"/>
      <c r="N69" s="399"/>
      <c r="O69" s="282"/>
      <c r="P69" s="282"/>
      <c r="Q69" s="275"/>
      <c r="R69" s="83"/>
      <c r="S69" s="94"/>
      <c r="T69" s="94"/>
      <c r="U69" s="120">
        <f>SUBTOTAL(109,U7:U68)</f>
        <v>44450000</v>
      </c>
      <c r="V69" s="123">
        <f>SUBTOTAL(109,V7:V68)</f>
        <v>40600000</v>
      </c>
      <c r="Y69" s="376">
        <f>V69*1.1</f>
        <v>44660000</v>
      </c>
    </row>
    <row r="70" spans="1:25" s="82" customFormat="1" ht="13">
      <c r="E70" s="104"/>
      <c r="I70" s="160"/>
      <c r="J70" s="160"/>
      <c r="N70" s="104"/>
      <c r="Q70" s="99"/>
      <c r="V70" s="99"/>
    </row>
    <row r="71" spans="1:25">
      <c r="N71" s="68"/>
      <c r="V71" s="98">
        <f>V69-V52-V53</f>
        <v>40600000</v>
      </c>
    </row>
    <row r="72" spans="1:25">
      <c r="N72" s="68"/>
    </row>
    <row r="73" spans="1:25">
      <c r="N73" s="68"/>
      <c r="R73" s="356"/>
    </row>
    <row r="74" spans="1:25">
      <c r="N74" s="68"/>
      <c r="Q74" s="100"/>
      <c r="R74" s="356"/>
      <c r="V74" s="100"/>
    </row>
    <row r="75" spans="1:25">
      <c r="N75" s="68"/>
      <c r="Q75" s="100"/>
      <c r="V75" s="100"/>
    </row>
    <row r="76" spans="1:25">
      <c r="N76" s="68"/>
      <c r="Q76" s="100"/>
      <c r="V76" s="100"/>
    </row>
    <row r="77" spans="1:25">
      <c r="N77" s="68"/>
    </row>
    <row r="78" spans="1:25">
      <c r="N78" s="68"/>
    </row>
    <row r="79" spans="1:25">
      <c r="N79" s="68"/>
    </row>
    <row r="80" spans="1:25">
      <c r="N80" s="68"/>
    </row>
    <row r="81" spans="14:14">
      <c r="N81" s="68"/>
    </row>
    <row r="82" spans="14:14">
      <c r="N82" s="68"/>
    </row>
    <row r="83" spans="14:14">
      <c r="N83" s="68"/>
    </row>
    <row r="84" spans="14:14">
      <c r="N84" s="68"/>
    </row>
    <row r="85" spans="14:14">
      <c r="N85" s="68"/>
    </row>
    <row r="86" spans="14:14">
      <c r="N86" s="68"/>
    </row>
    <row r="87" spans="14:14">
      <c r="N87" s="68"/>
    </row>
    <row r="88" spans="14:14">
      <c r="N88" s="68"/>
    </row>
    <row r="89" spans="14:14">
      <c r="N89" s="68"/>
    </row>
  </sheetData>
  <autoFilter ref="A6:AE68" xr:uid="{1028D278-910A-4D41-890F-0D5DC76C3F25}"/>
  <pageMargins left="0.7" right="0.7" top="0.75" bottom="0.75" header="0.3" footer="0.3"/>
  <pageSetup scale="33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07660-F512-414F-9DCC-1245AD8117DC}">
  <sheetPr codeName="Sheet1">
    <pageSetUpPr fitToPage="1"/>
  </sheetPr>
  <dimension ref="A2:AE85"/>
  <sheetViews>
    <sheetView topLeftCell="A45" zoomScale="80" zoomScaleNormal="70" workbookViewId="0">
      <selection activeCell="F69" sqref="F69"/>
    </sheetView>
  </sheetViews>
  <sheetFormatPr defaultColWidth="9.1796875" defaultRowHeight="14.5"/>
  <cols>
    <col min="1" max="1" width="40.1796875" style="100" bestFit="1" customWidth="1"/>
    <col min="2" max="2" width="31.1796875" style="100" bestFit="1" customWidth="1"/>
    <col min="3" max="3" width="39.54296875" style="100" bestFit="1" customWidth="1"/>
    <col min="4" max="4" width="14.1796875" style="100" bestFit="1" customWidth="1"/>
    <col min="5" max="5" width="5.81640625" style="68" bestFit="1" customWidth="1"/>
    <col min="6" max="6" width="20.453125" style="100" bestFit="1" customWidth="1"/>
    <col min="7" max="7" width="9.81640625" style="100" bestFit="1" customWidth="1"/>
    <col min="8" max="8" width="3.7265625" style="100" bestFit="1" customWidth="1"/>
    <col min="9" max="9" width="11.26953125" style="59" hidden="1" customWidth="1"/>
    <col min="10" max="10" width="12" style="59" hidden="1" customWidth="1"/>
    <col min="11" max="11" width="9.26953125" style="100" hidden="1" customWidth="1"/>
    <col min="12" max="12" width="14.1796875" style="100" customWidth="1"/>
    <col min="13" max="13" width="10.26953125" style="100" customWidth="1"/>
    <col min="14" max="14" width="22.26953125" style="157" hidden="1" customWidth="1"/>
    <col min="15" max="15" width="12.54296875" style="100" customWidth="1"/>
    <col min="16" max="16" width="9.1796875" style="100"/>
    <col min="17" max="17" width="13.26953125" style="101" customWidth="1"/>
    <col min="18" max="18" width="11.26953125" style="100" bestFit="1" customWidth="1"/>
    <col min="19" max="20" width="9.1796875" style="100"/>
    <col min="21" max="21" width="16.54296875" style="100" customWidth="1"/>
    <col min="22" max="22" width="14.26953125" style="101" customWidth="1"/>
    <col min="23" max="23" width="10.26953125" style="100" bestFit="1" customWidth="1"/>
    <col min="24" max="24" width="14.54296875" style="100" customWidth="1"/>
    <col min="25" max="25" width="13.7265625" style="100" customWidth="1"/>
    <col min="26" max="16384" width="9.1796875" style="100"/>
  </cols>
  <sheetData>
    <row r="2" spans="1:31" s="57" customFormat="1" ht="20.25" customHeight="1">
      <c r="A2" s="891" t="s">
        <v>978</v>
      </c>
      <c r="B2" s="891" t="s">
        <v>979</v>
      </c>
      <c r="C2" s="891" t="s">
        <v>980</v>
      </c>
      <c r="D2" s="891" t="s">
        <v>981</v>
      </c>
      <c r="E2" s="891" t="s">
        <v>982</v>
      </c>
      <c r="F2" s="891" t="s">
        <v>983</v>
      </c>
      <c r="G2" s="891" t="s">
        <v>984</v>
      </c>
      <c r="H2" s="891" t="s">
        <v>985</v>
      </c>
      <c r="I2" s="52"/>
      <c r="J2" s="389"/>
      <c r="K2" s="52"/>
      <c r="L2" s="52"/>
      <c r="M2" s="390"/>
      <c r="N2" s="391"/>
      <c r="O2" s="52"/>
      <c r="P2" s="52"/>
      <c r="Q2" s="52"/>
      <c r="R2" s="52"/>
      <c r="S2" s="52"/>
      <c r="T2" s="52"/>
      <c r="U2" s="52"/>
      <c r="V2" s="53"/>
      <c r="W2" s="54"/>
      <c r="X2" s="52"/>
      <c r="Y2" s="120">
        <f>18287500+30500000</f>
        <v>48787500</v>
      </c>
      <c r="Z2" s="56"/>
      <c r="AD2" s="58"/>
      <c r="AE2" s="59" t="s">
        <v>1</v>
      </c>
    </row>
    <row r="3" spans="1:31" s="57" customFormat="1" ht="20.25" customHeight="1">
      <c r="A3" s="891" t="s">
        <v>986</v>
      </c>
      <c r="B3" s="835" t="s">
        <v>987</v>
      </c>
      <c r="C3" s="863" t="s">
        <v>988</v>
      </c>
      <c r="D3" s="835" t="s">
        <v>989</v>
      </c>
      <c r="E3" s="835">
        <v>22</v>
      </c>
      <c r="F3" s="864" t="s">
        <v>990</v>
      </c>
      <c r="G3" s="865">
        <v>80000</v>
      </c>
      <c r="H3" s="866" t="s">
        <v>991</v>
      </c>
      <c r="I3" s="60"/>
      <c r="J3" s="392"/>
      <c r="K3" s="60"/>
      <c r="L3" s="60"/>
      <c r="M3" s="393"/>
      <c r="N3" s="394"/>
      <c r="O3" s="60"/>
      <c r="P3" s="60"/>
      <c r="Q3" s="60"/>
      <c r="R3" s="60"/>
      <c r="S3" s="60"/>
      <c r="T3" s="60"/>
      <c r="U3" s="60"/>
      <c r="V3" s="61"/>
      <c r="W3" s="62"/>
      <c r="X3" s="60"/>
      <c r="Y3" s="63"/>
      <c r="Z3" s="56"/>
      <c r="AD3" s="64"/>
      <c r="AE3" s="59" t="s">
        <v>3</v>
      </c>
    </row>
    <row r="4" spans="1:31" s="57" customFormat="1" ht="20.25" customHeight="1">
      <c r="A4"/>
      <c r="B4"/>
      <c r="C4" s="863" t="s">
        <v>992</v>
      </c>
      <c r="D4" s="835" t="s">
        <v>993</v>
      </c>
      <c r="E4"/>
      <c r="F4"/>
      <c r="G4"/>
      <c r="H4"/>
      <c r="I4" s="60"/>
      <c r="J4" s="392"/>
      <c r="K4" s="60"/>
      <c r="L4" s="60"/>
      <c r="M4" s="393"/>
      <c r="N4" s="394"/>
      <c r="O4" s="60"/>
      <c r="P4" s="60"/>
      <c r="Q4" s="60"/>
      <c r="R4" s="60"/>
      <c r="S4" s="60"/>
      <c r="T4" s="60"/>
      <c r="U4" s="60"/>
      <c r="V4" s="61"/>
      <c r="W4" s="62"/>
      <c r="X4" s="60"/>
      <c r="Y4" s="63"/>
      <c r="Z4" s="56"/>
      <c r="AD4" s="65"/>
      <c r="AE4" s="59" t="s">
        <v>5</v>
      </c>
    </row>
    <row r="5" spans="1:31" s="57" customFormat="1" ht="6" customHeight="1">
      <c r="A5"/>
      <c r="B5"/>
      <c r="C5" s="863" t="s">
        <v>994</v>
      </c>
      <c r="D5" s="835" t="s">
        <v>995</v>
      </c>
      <c r="E5"/>
      <c r="F5"/>
      <c r="G5"/>
      <c r="H5"/>
      <c r="I5" s="66"/>
      <c r="J5" s="66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</row>
    <row r="6" spans="1:31" s="79" customFormat="1" ht="52">
      <c r="A6"/>
      <c r="B6"/>
      <c r="C6" s="863" t="s">
        <v>996</v>
      </c>
      <c r="D6" s="835" t="s">
        <v>997</v>
      </c>
      <c r="E6"/>
      <c r="F6"/>
      <c r="G6"/>
      <c r="H6"/>
      <c r="I6" s="161" t="s">
        <v>13</v>
      </c>
      <c r="J6" s="159" t="s">
        <v>14</v>
      </c>
      <c r="K6" s="159" t="s">
        <v>15</v>
      </c>
      <c r="L6" s="134" t="s">
        <v>16</v>
      </c>
      <c r="M6" s="134" t="s">
        <v>17</v>
      </c>
      <c r="N6" s="319" t="s">
        <v>18</v>
      </c>
      <c r="O6" s="320" t="s">
        <v>19</v>
      </c>
      <c r="P6" s="134" t="s">
        <v>20</v>
      </c>
      <c r="Q6" s="321" t="s">
        <v>21</v>
      </c>
      <c r="R6" s="74" t="s">
        <v>22</v>
      </c>
      <c r="S6" s="74" t="s">
        <v>23</v>
      </c>
      <c r="T6" s="74" t="s">
        <v>24</v>
      </c>
      <c r="U6" s="78" t="s">
        <v>25</v>
      </c>
      <c r="V6" s="134" t="s">
        <v>26</v>
      </c>
      <c r="Z6" s="72" t="s">
        <v>27</v>
      </c>
      <c r="AA6" s="80" t="s">
        <v>28</v>
      </c>
      <c r="AB6" s="74" t="s">
        <v>29</v>
      </c>
      <c r="AC6" s="72" t="s">
        <v>30</v>
      </c>
    </row>
    <row r="7" spans="1:31" s="82" customFormat="1" ht="13">
      <c r="A7" s="891" t="s">
        <v>998</v>
      </c>
      <c r="B7" s="835" t="s">
        <v>999</v>
      </c>
      <c r="C7" s="863" t="s">
        <v>1000</v>
      </c>
      <c r="D7" s="835" t="s">
        <v>989</v>
      </c>
      <c r="E7" s="835">
        <v>6</v>
      </c>
      <c r="F7" s="864" t="s">
        <v>990</v>
      </c>
      <c r="G7" s="865">
        <v>25000</v>
      </c>
      <c r="H7" s="866" t="s">
        <v>1001</v>
      </c>
      <c r="I7" s="261"/>
      <c r="J7" s="261"/>
      <c r="K7" s="315"/>
      <c r="L7" s="412" t="s">
        <v>218</v>
      </c>
      <c r="M7" s="355"/>
      <c r="N7" s="436">
        <v>45207</v>
      </c>
      <c r="O7" s="433" t="s">
        <v>40</v>
      </c>
      <c r="P7" s="297"/>
      <c r="Q7" s="275">
        <f>R7*3</f>
        <v>6600000</v>
      </c>
      <c r="R7" s="275">
        <v>2200000</v>
      </c>
      <c r="S7" s="162">
        <f>(G7-850)/100</f>
        <v>241.5</v>
      </c>
      <c r="T7" s="259"/>
      <c r="U7" s="270">
        <f t="shared" ref="U7:U30" si="0">S7*R7*(100-P7)/100</f>
        <v>531300000</v>
      </c>
      <c r="V7" s="386">
        <f>Q7+((S7-4)*R7)</f>
        <v>529100000</v>
      </c>
      <c r="W7" s="90"/>
      <c r="X7" s="91"/>
      <c r="Y7" s="90"/>
    </row>
    <row r="8" spans="1:31" s="82" customFormat="1" ht="13">
      <c r="A8" s="891" t="s">
        <v>1002</v>
      </c>
      <c r="B8" s="835" t="s">
        <v>1003</v>
      </c>
      <c r="C8" s="863" t="s">
        <v>1004</v>
      </c>
      <c r="D8" s="835" t="s">
        <v>989</v>
      </c>
      <c r="E8" s="835">
        <v>22</v>
      </c>
      <c r="F8" s="864" t="s">
        <v>990</v>
      </c>
      <c r="G8" s="865">
        <v>182500</v>
      </c>
      <c r="H8" s="866" t="s">
        <v>1005</v>
      </c>
      <c r="I8" s="261"/>
      <c r="J8" s="261"/>
      <c r="K8" s="315"/>
      <c r="L8" s="412" t="s">
        <v>218</v>
      </c>
      <c r="M8" s="355"/>
      <c r="N8" s="436">
        <v>45207</v>
      </c>
      <c r="O8" s="433" t="s">
        <v>40</v>
      </c>
      <c r="P8" s="413"/>
      <c r="Q8" s="274"/>
      <c r="R8" s="275">
        <v>2200000</v>
      </c>
      <c r="S8" s="162" t="e">
        <f t="shared" ref="S8:S64" si="1">(G8-F8)/100</f>
        <v>#VALUE!</v>
      </c>
      <c r="T8" s="259"/>
      <c r="U8" s="270" t="e">
        <f t="shared" si="0"/>
        <v>#VALUE!</v>
      </c>
      <c r="V8" s="347" t="e">
        <f t="shared" ref="V8" si="2">U8</f>
        <v>#VALUE!</v>
      </c>
      <c r="W8" s="90"/>
      <c r="X8" s="91"/>
      <c r="Y8" s="90"/>
    </row>
    <row r="9" spans="1:31" s="82" customFormat="1" ht="26">
      <c r="A9"/>
      <c r="B9"/>
      <c r="C9" s="863" t="s">
        <v>1006</v>
      </c>
      <c r="D9"/>
      <c r="E9"/>
      <c r="F9"/>
      <c r="G9"/>
      <c r="H9"/>
      <c r="I9" s="262"/>
      <c r="J9" s="262"/>
      <c r="K9" s="315"/>
      <c r="L9" s="412" t="s">
        <v>47</v>
      </c>
      <c r="M9" s="429" t="s">
        <v>1007</v>
      </c>
      <c r="N9" s="436"/>
      <c r="O9" s="433" t="s">
        <v>40</v>
      </c>
      <c r="P9" s="261" t="s">
        <v>215</v>
      </c>
      <c r="Q9" s="415"/>
      <c r="R9" s="275">
        <v>950000</v>
      </c>
      <c r="S9" s="162">
        <f t="shared" si="1"/>
        <v>0</v>
      </c>
      <c r="T9" s="259"/>
      <c r="U9" s="270">
        <f t="shared" si="0"/>
        <v>0</v>
      </c>
      <c r="V9" s="386">
        <f>U9</f>
        <v>0</v>
      </c>
      <c r="W9" s="90"/>
      <c r="X9" s="386">
        <f t="shared" ref="X9:X11" si="3">(Q9+((S9-0)*R9))*((100-P9)/100)</f>
        <v>0</v>
      </c>
      <c r="Y9" s="90"/>
    </row>
    <row r="10" spans="1:31" s="82" customFormat="1" ht="13">
      <c r="A10" s="891" t="s">
        <v>1008</v>
      </c>
      <c r="B10" s="835" t="s">
        <v>1009</v>
      </c>
      <c r="C10" s="863" t="s">
        <v>1010</v>
      </c>
      <c r="D10" s="835" t="s">
        <v>989</v>
      </c>
      <c r="E10" s="835">
        <v>40</v>
      </c>
      <c r="F10" s="835" t="s">
        <v>1011</v>
      </c>
      <c r="G10" s="865">
        <v>550000</v>
      </c>
      <c r="H10" s="866" t="s">
        <v>1012</v>
      </c>
      <c r="I10" s="140" t="s">
        <v>35</v>
      </c>
      <c r="J10" s="140" t="s">
        <v>36</v>
      </c>
      <c r="K10" s="316">
        <v>12</v>
      </c>
      <c r="L10" s="412" t="s">
        <v>47</v>
      </c>
      <c r="M10" s="355"/>
      <c r="N10" s="441" t="s">
        <v>1013</v>
      </c>
      <c r="O10" s="433" t="s">
        <v>40</v>
      </c>
      <c r="P10" s="94"/>
      <c r="Q10" s="415"/>
      <c r="R10" s="275">
        <v>950000</v>
      </c>
      <c r="S10" s="162" t="e">
        <f t="shared" si="1"/>
        <v>#VALUE!</v>
      </c>
      <c r="T10" s="94"/>
      <c r="U10" s="270" t="e">
        <f t="shared" si="0"/>
        <v>#VALUE!</v>
      </c>
      <c r="V10" s="386" t="e">
        <f>Q10+((S10-0)*R10)</f>
        <v>#VALUE!</v>
      </c>
      <c r="W10" s="83"/>
      <c r="X10" s="386" t="e">
        <f t="shared" si="3"/>
        <v>#VALUE!</v>
      </c>
    </row>
    <row r="11" spans="1:31" s="82" customFormat="1">
      <c r="A11"/>
      <c r="B11"/>
      <c r="C11" s="863" t="s">
        <v>1014</v>
      </c>
      <c r="D11" s="835" t="s">
        <v>997</v>
      </c>
      <c r="E11"/>
      <c r="F11"/>
      <c r="G11"/>
      <c r="H11"/>
      <c r="I11" s="261" t="s">
        <v>35</v>
      </c>
      <c r="J11" s="261" t="s">
        <v>36</v>
      </c>
      <c r="K11" s="315" t="s">
        <v>76</v>
      </c>
      <c r="L11" s="412" t="s">
        <v>47</v>
      </c>
      <c r="M11" s="355"/>
      <c r="N11" s="350" t="s">
        <v>1015</v>
      </c>
      <c r="O11" s="433" t="s">
        <v>40</v>
      </c>
      <c r="P11" s="261"/>
      <c r="Q11" s="415"/>
      <c r="R11" s="275">
        <v>500000</v>
      </c>
      <c r="S11" s="162">
        <f>(1450-F11)/100</f>
        <v>14.5</v>
      </c>
      <c r="T11" s="259"/>
      <c r="U11" s="270">
        <f t="shared" si="0"/>
        <v>7250000</v>
      </c>
      <c r="V11" s="386">
        <f>Q11+((S11-0)*R11)</f>
        <v>7250000</v>
      </c>
      <c r="W11" s="90"/>
      <c r="X11" s="386">
        <f t="shared" si="3"/>
        <v>7250000</v>
      </c>
      <c r="Y11" s="90"/>
    </row>
    <row r="12" spans="1:31" s="82" customFormat="1">
      <c r="A12"/>
      <c r="B12"/>
      <c r="C12" s="863"/>
      <c r="D12" s="835" t="s">
        <v>995</v>
      </c>
      <c r="E12"/>
      <c r="F12"/>
      <c r="G12"/>
      <c r="H12"/>
      <c r="I12" s="140" t="s">
        <v>35</v>
      </c>
      <c r="J12" s="140" t="s">
        <v>36</v>
      </c>
      <c r="K12" s="315" t="s">
        <v>76</v>
      </c>
      <c r="L12" s="412" t="s">
        <v>255</v>
      </c>
      <c r="M12" s="427"/>
      <c r="N12" s="441" t="s">
        <v>1016</v>
      </c>
      <c r="O12" s="433" t="s">
        <v>40</v>
      </c>
      <c r="P12" s="422"/>
      <c r="Q12" s="415"/>
      <c r="R12" s="275">
        <v>500000</v>
      </c>
      <c r="S12" s="162">
        <f>(G12-1350)/100</f>
        <v>-13.5</v>
      </c>
      <c r="T12" s="94"/>
      <c r="U12" s="270">
        <f t="shared" si="0"/>
        <v>-6750000</v>
      </c>
      <c r="V12" s="386">
        <f>Q12+((S12-0)*R12)</f>
        <v>-6750000</v>
      </c>
    </row>
    <row r="13" spans="1:31" s="82" customFormat="1">
      <c r="A13"/>
      <c r="B13"/>
      <c r="C13" s="863"/>
      <c r="D13" s="835" t="s">
        <v>1017</v>
      </c>
      <c r="E13"/>
      <c r="F13"/>
      <c r="G13"/>
      <c r="H13"/>
      <c r="I13" s="140" t="s">
        <v>35</v>
      </c>
      <c r="J13" s="140" t="s">
        <v>36</v>
      </c>
      <c r="K13" s="315" t="s">
        <v>37</v>
      </c>
      <c r="L13" s="412" t="s">
        <v>47</v>
      </c>
      <c r="M13" s="94"/>
      <c r="N13" s="443" t="s">
        <v>1018</v>
      </c>
      <c r="O13" s="433" t="s">
        <v>40</v>
      </c>
      <c r="P13" s="83"/>
      <c r="Q13" s="415"/>
      <c r="R13" s="275">
        <v>950000</v>
      </c>
      <c r="S13" s="162">
        <f>(G13-1550)/100</f>
        <v>-15.5</v>
      </c>
      <c r="T13" s="259"/>
      <c r="U13" s="270">
        <f t="shared" si="0"/>
        <v>-14725000</v>
      </c>
      <c r="V13" s="386">
        <f>Q13+((S13-0)*R13)</f>
        <v>-14725000</v>
      </c>
      <c r="W13" s="90"/>
      <c r="X13" s="386">
        <f>(Q13+((S13-0)*R13))*((100-P13)/100)</f>
        <v>-14725000</v>
      </c>
      <c r="Y13" s="90"/>
    </row>
    <row r="14" spans="1:31" s="82" customFormat="1" ht="14">
      <c r="A14" s="891" t="s">
        <v>1019</v>
      </c>
      <c r="B14" s="835" t="s">
        <v>1020</v>
      </c>
      <c r="C14" s="863" t="s">
        <v>1021</v>
      </c>
      <c r="D14" s="835" t="s">
        <v>989</v>
      </c>
      <c r="E14" s="835">
        <v>62</v>
      </c>
      <c r="F14" s="835" t="s">
        <v>1022</v>
      </c>
      <c r="G14" s="865">
        <v>2019800</v>
      </c>
      <c r="H14" s="866" t="s">
        <v>1023</v>
      </c>
      <c r="I14" s="268" t="s">
        <v>35</v>
      </c>
      <c r="J14" s="268" t="s">
        <v>36</v>
      </c>
      <c r="K14" s="317" t="s">
        <v>76</v>
      </c>
      <c r="L14" s="412" t="s">
        <v>255</v>
      </c>
      <c r="M14" s="428"/>
      <c r="N14" s="444" t="s">
        <v>1024</v>
      </c>
      <c r="O14" s="445" t="s">
        <v>40</v>
      </c>
      <c r="P14" s="423"/>
      <c r="Q14" s="418"/>
      <c r="R14" s="275">
        <v>500000</v>
      </c>
      <c r="S14" s="162" t="e">
        <f t="shared" si="1"/>
        <v>#VALUE!</v>
      </c>
      <c r="T14" s="265"/>
      <c r="U14" s="273" t="e">
        <f>S14*R14*(100-P14)/100</f>
        <v>#VALUE!</v>
      </c>
      <c r="V14" s="386" t="e">
        <f>Q14+((S14-0)*R14)</f>
        <v>#VALUE!</v>
      </c>
      <c r="W14" s="90"/>
      <c r="X14" s="91"/>
      <c r="Y14" s="90"/>
    </row>
    <row r="15" spans="1:31" s="82" customFormat="1">
      <c r="A15"/>
      <c r="B15"/>
      <c r="C15" s="863" t="s">
        <v>1025</v>
      </c>
      <c r="D15" s="835" t="s">
        <v>995</v>
      </c>
      <c r="E15"/>
      <c r="F15"/>
      <c r="G15"/>
      <c r="H15"/>
      <c r="I15" s="140" t="s">
        <v>35</v>
      </c>
      <c r="J15" s="140" t="s">
        <v>36</v>
      </c>
      <c r="K15" s="315" t="s">
        <v>37</v>
      </c>
      <c r="L15" s="412" t="s">
        <v>1026</v>
      </c>
      <c r="M15" s="94"/>
      <c r="N15" s="443" t="s">
        <v>1027</v>
      </c>
      <c r="O15" s="433" t="s">
        <v>40</v>
      </c>
      <c r="P15" s="408"/>
      <c r="Q15" s="415">
        <f>R15*3</f>
        <v>3562500</v>
      </c>
      <c r="R15" s="275">
        <f>950000*1.25</f>
        <v>1187500</v>
      </c>
      <c r="S15" s="162">
        <f t="shared" si="1"/>
        <v>0</v>
      </c>
      <c r="T15" s="259"/>
      <c r="U15" s="270">
        <f t="shared" si="0"/>
        <v>0</v>
      </c>
      <c r="V15" s="347">
        <f>Q15+((S15-4)*R15)</f>
        <v>-1187500</v>
      </c>
      <c r="W15" s="90"/>
      <c r="X15" s="91"/>
      <c r="Y15" s="90"/>
    </row>
    <row r="16" spans="1:31" s="82" customFormat="1">
      <c r="A16"/>
      <c r="B16"/>
      <c r="C16" s="863"/>
      <c r="D16" s="835" t="s">
        <v>1028</v>
      </c>
      <c r="E16"/>
      <c r="F16"/>
      <c r="G16"/>
      <c r="H16"/>
      <c r="I16" s="140" t="s">
        <v>35</v>
      </c>
      <c r="J16" s="140" t="s">
        <v>36</v>
      </c>
      <c r="K16" s="315" t="s">
        <v>37</v>
      </c>
      <c r="L16" s="297" t="s">
        <v>1026</v>
      </c>
      <c r="M16" s="431"/>
      <c r="N16" s="325" t="s">
        <v>1029</v>
      </c>
      <c r="O16" s="433" t="s">
        <v>40</v>
      </c>
      <c r="P16" s="408"/>
      <c r="Q16" s="275">
        <f>R16*6</f>
        <v>7125000</v>
      </c>
      <c r="R16" s="275">
        <f>950000*1.25</f>
        <v>1187500</v>
      </c>
      <c r="S16" s="162">
        <f t="shared" si="1"/>
        <v>0</v>
      </c>
      <c r="T16" s="259"/>
      <c r="U16" s="270">
        <f t="shared" si="0"/>
        <v>0</v>
      </c>
      <c r="V16" s="347">
        <f>Q16+((S16-8)*R16)</f>
        <v>-2375000</v>
      </c>
      <c r="W16" s="90"/>
      <c r="X16" s="91"/>
      <c r="Y16" s="90"/>
    </row>
    <row r="17" spans="1:25" s="82" customFormat="1">
      <c r="A17"/>
      <c r="B17"/>
      <c r="C17" s="863"/>
      <c r="D17" s="835" t="s">
        <v>997</v>
      </c>
      <c r="E17"/>
      <c r="F17"/>
      <c r="G17"/>
      <c r="H17"/>
      <c r="I17" s="140" t="s">
        <v>35</v>
      </c>
      <c r="J17" s="140" t="s">
        <v>36</v>
      </c>
      <c r="K17" s="315" t="s">
        <v>133</v>
      </c>
      <c r="L17" s="412" t="s">
        <v>47</v>
      </c>
      <c r="M17" s="355"/>
      <c r="N17" s="443" t="s">
        <v>1030</v>
      </c>
      <c r="O17" s="433" t="s">
        <v>40</v>
      </c>
      <c r="P17" s="408"/>
      <c r="Q17" s="420"/>
      <c r="R17" s="275">
        <v>950000</v>
      </c>
      <c r="S17" s="162">
        <f t="shared" si="1"/>
        <v>0</v>
      </c>
      <c r="T17" s="94"/>
      <c r="U17" s="270">
        <f>S17*R17*(100-P17)/100</f>
        <v>0</v>
      </c>
      <c r="V17" s="347">
        <f>U17</f>
        <v>0</v>
      </c>
      <c r="X17" s="386">
        <f>(Q17+((S17-0)*R17))*((100-P17)/100)</f>
        <v>0</v>
      </c>
    </row>
    <row r="18" spans="1:25" s="82" customFormat="1">
      <c r="A18" s="891" t="s">
        <v>1031</v>
      </c>
      <c r="B18" s="864" t="s">
        <v>1032</v>
      </c>
      <c r="C18" s="863" t="s">
        <v>1025</v>
      </c>
      <c r="D18" s="835" t="s">
        <v>989</v>
      </c>
      <c r="E18" s="835">
        <v>35</v>
      </c>
      <c r="F18" s="864" t="s">
        <v>990</v>
      </c>
      <c r="G18" s="864" t="s">
        <v>990</v>
      </c>
      <c r="H18" s="866" t="s">
        <v>1033</v>
      </c>
      <c r="I18" s="140" t="s">
        <v>35</v>
      </c>
      <c r="J18" s="140" t="s">
        <v>36</v>
      </c>
      <c r="K18" s="315" t="s">
        <v>76</v>
      </c>
      <c r="L18" s="412" t="s">
        <v>255</v>
      </c>
      <c r="M18" s="355"/>
      <c r="N18" s="443" t="s">
        <v>1034</v>
      </c>
      <c r="O18" s="433" t="s">
        <v>40</v>
      </c>
      <c r="P18" s="261"/>
      <c r="Q18" s="275">
        <f>R18*3</f>
        <v>1500000</v>
      </c>
      <c r="R18" s="275">
        <v>500000</v>
      </c>
      <c r="S18" s="162" t="e">
        <f>(G18-1150)/100</f>
        <v>#VALUE!</v>
      </c>
      <c r="T18" s="259"/>
      <c r="U18" s="270" t="e">
        <f t="shared" si="0"/>
        <v>#VALUE!</v>
      </c>
      <c r="V18" s="386" t="e">
        <f>Q18+((S18-4)*R18)</f>
        <v>#VALUE!</v>
      </c>
      <c r="W18" s="90"/>
      <c r="X18" s="91"/>
      <c r="Y18" s="90"/>
    </row>
    <row r="19" spans="1:25" s="82" customFormat="1">
      <c r="A19"/>
      <c r="B19"/>
      <c r="C19" s="863" t="s">
        <v>1035</v>
      </c>
      <c r="D19" s="835" t="s">
        <v>995</v>
      </c>
      <c r="E19"/>
      <c r="F19"/>
      <c r="G19"/>
      <c r="H19"/>
      <c r="I19" s="140" t="s">
        <v>35</v>
      </c>
      <c r="J19" s="140" t="s">
        <v>36</v>
      </c>
      <c r="K19" s="315" t="s">
        <v>76</v>
      </c>
      <c r="L19" s="412" t="s">
        <v>1036</v>
      </c>
      <c r="M19" s="94"/>
      <c r="N19" s="443" t="s">
        <v>1037</v>
      </c>
      <c r="O19" s="433" t="s">
        <v>40</v>
      </c>
      <c r="P19" s="83"/>
      <c r="Q19" s="419"/>
      <c r="R19" s="275">
        <v>500000</v>
      </c>
      <c r="S19" s="162">
        <f t="shared" si="1"/>
        <v>0</v>
      </c>
      <c r="T19" s="259"/>
      <c r="U19" s="270">
        <f t="shared" si="0"/>
        <v>0</v>
      </c>
      <c r="V19" s="386">
        <f t="shared" ref="V19:V23" si="4">Q19+((S19-0)*R19)</f>
        <v>0</v>
      </c>
      <c r="W19" s="90"/>
      <c r="X19" s="91"/>
      <c r="Y19" s="90"/>
    </row>
    <row r="20" spans="1:25" s="82" customFormat="1">
      <c r="A20"/>
      <c r="B20"/>
      <c r="C20" s="863"/>
      <c r="D20" s="835" t="s">
        <v>1028</v>
      </c>
      <c r="E20"/>
      <c r="F20"/>
      <c r="G20"/>
      <c r="H20"/>
      <c r="I20" s="140" t="s">
        <v>35</v>
      </c>
      <c r="J20" s="140" t="s">
        <v>36</v>
      </c>
      <c r="K20" s="315" t="s">
        <v>76</v>
      </c>
      <c r="L20" s="297" t="s">
        <v>1036</v>
      </c>
      <c r="M20" s="354"/>
      <c r="N20" s="325" t="s">
        <v>1038</v>
      </c>
      <c r="O20" s="433" t="s">
        <v>174</v>
      </c>
      <c r="P20" s="408"/>
      <c r="Q20" s="415"/>
      <c r="R20" s="275">
        <v>500000</v>
      </c>
      <c r="S20" s="162">
        <f t="shared" si="1"/>
        <v>0</v>
      </c>
      <c r="T20" s="259"/>
      <c r="U20" s="270">
        <f t="shared" si="0"/>
        <v>0</v>
      </c>
      <c r="V20" s="386">
        <f t="shared" si="4"/>
        <v>0</v>
      </c>
      <c r="W20" s="90"/>
      <c r="X20" s="91"/>
      <c r="Y20" s="90"/>
    </row>
    <row r="21" spans="1:25" s="82" customFormat="1" ht="130">
      <c r="A21" s="81">
        <f t="shared" ref="A21:A64" si="5">ROW()-6</f>
        <v>15</v>
      </c>
      <c r="B21" s="81">
        <v>12</v>
      </c>
      <c r="C21" s="258" t="s">
        <v>1039</v>
      </c>
      <c r="D21" s="259" t="s">
        <v>43</v>
      </c>
      <c r="E21" s="258" t="s">
        <v>1040</v>
      </c>
      <c r="F21" s="86">
        <v>1130</v>
      </c>
      <c r="G21" s="86">
        <v>1400</v>
      </c>
      <c r="H21" s="261" t="s">
        <v>1041</v>
      </c>
      <c r="I21" s="140" t="s">
        <v>35</v>
      </c>
      <c r="J21" s="140" t="s">
        <v>36</v>
      </c>
      <c r="K21" s="315" t="s">
        <v>76</v>
      </c>
      <c r="L21" s="297" t="s">
        <v>255</v>
      </c>
      <c r="M21" s="132"/>
      <c r="N21" s="325" t="s">
        <v>1042</v>
      </c>
      <c r="O21" s="433" t="s">
        <v>40</v>
      </c>
      <c r="P21" s="83"/>
      <c r="Q21" s="415"/>
      <c r="R21" s="275">
        <v>500000</v>
      </c>
      <c r="S21" s="162">
        <f>(G21-1150)/100</f>
        <v>2.5</v>
      </c>
      <c r="T21" s="94"/>
      <c r="U21" s="270">
        <f t="shared" si="0"/>
        <v>1250000</v>
      </c>
      <c r="V21" s="386">
        <f t="shared" si="4"/>
        <v>1250000</v>
      </c>
    </row>
    <row r="22" spans="1:25" s="82" customFormat="1" ht="130">
      <c r="A22" s="81">
        <f t="shared" si="5"/>
        <v>16</v>
      </c>
      <c r="B22" s="81">
        <v>13</v>
      </c>
      <c r="C22" s="258" t="s">
        <v>1043</v>
      </c>
      <c r="D22" s="259" t="s">
        <v>43</v>
      </c>
      <c r="E22" s="258" t="s">
        <v>1044</v>
      </c>
      <c r="F22" s="86">
        <v>1030</v>
      </c>
      <c r="G22" s="86">
        <v>1130</v>
      </c>
      <c r="H22" s="261" t="s">
        <v>1045</v>
      </c>
      <c r="I22" s="140" t="s">
        <v>35</v>
      </c>
      <c r="J22" s="140" t="s">
        <v>36</v>
      </c>
      <c r="K22" s="315" t="s">
        <v>76</v>
      </c>
      <c r="L22" s="297" t="s">
        <v>1036</v>
      </c>
      <c r="M22" s="295"/>
      <c r="N22" s="325" t="s">
        <v>1046</v>
      </c>
      <c r="O22" s="433" t="s">
        <v>40</v>
      </c>
      <c r="P22" s="408"/>
      <c r="Q22" s="415"/>
      <c r="R22" s="275">
        <v>500000</v>
      </c>
      <c r="S22" s="162">
        <f t="shared" si="1"/>
        <v>1</v>
      </c>
      <c r="T22" s="259"/>
      <c r="U22" s="270">
        <f t="shared" si="0"/>
        <v>500000</v>
      </c>
      <c r="V22" s="386">
        <f t="shared" si="4"/>
        <v>500000</v>
      </c>
      <c r="W22" s="90"/>
      <c r="X22" s="91"/>
      <c r="Y22" s="90"/>
    </row>
    <row r="23" spans="1:25" s="82" customFormat="1" ht="130">
      <c r="A23" s="81">
        <f t="shared" si="5"/>
        <v>17</v>
      </c>
      <c r="B23" s="81">
        <v>14</v>
      </c>
      <c r="C23" s="258" t="s">
        <v>1047</v>
      </c>
      <c r="D23" s="259" t="s">
        <v>43</v>
      </c>
      <c r="E23" s="258" t="s">
        <v>1040</v>
      </c>
      <c r="F23" s="86">
        <v>1600</v>
      </c>
      <c r="G23" s="86">
        <v>1700</v>
      </c>
      <c r="H23" s="261" t="s">
        <v>1041</v>
      </c>
      <c r="I23" s="140" t="s">
        <v>35</v>
      </c>
      <c r="J23" s="140" t="s">
        <v>36</v>
      </c>
      <c r="K23" s="315" t="s">
        <v>76</v>
      </c>
      <c r="L23" s="297" t="s">
        <v>255</v>
      </c>
      <c r="M23" s="132"/>
      <c r="N23" s="325" t="s">
        <v>1048</v>
      </c>
      <c r="O23" s="433" t="s">
        <v>40</v>
      </c>
      <c r="P23" s="424"/>
      <c r="Q23" s="419"/>
      <c r="R23" s="275">
        <v>500000</v>
      </c>
      <c r="S23" s="162">
        <f t="shared" si="1"/>
        <v>1</v>
      </c>
      <c r="T23" s="259"/>
      <c r="U23" s="270">
        <f t="shared" si="0"/>
        <v>500000</v>
      </c>
      <c r="V23" s="386">
        <f t="shared" si="4"/>
        <v>500000</v>
      </c>
      <c r="W23" s="90"/>
      <c r="X23" s="91"/>
      <c r="Y23" s="90"/>
    </row>
    <row r="24" spans="1:25" s="82" customFormat="1" ht="91">
      <c r="A24" s="81">
        <f t="shared" si="5"/>
        <v>18</v>
      </c>
      <c r="B24" s="81">
        <v>15</v>
      </c>
      <c r="C24" s="258" t="s">
        <v>1049</v>
      </c>
      <c r="D24" s="259" t="s">
        <v>32</v>
      </c>
      <c r="E24" s="258" t="s">
        <v>1050</v>
      </c>
      <c r="F24" s="86">
        <v>1700</v>
      </c>
      <c r="G24" s="86">
        <v>1800</v>
      </c>
      <c r="H24" s="261" t="s">
        <v>45</v>
      </c>
      <c r="I24" s="140" t="s">
        <v>35</v>
      </c>
      <c r="J24" s="140" t="s">
        <v>36</v>
      </c>
      <c r="K24" s="315" t="s">
        <v>37</v>
      </c>
      <c r="L24" s="297" t="s">
        <v>47</v>
      </c>
      <c r="M24" s="295"/>
      <c r="N24" s="325" t="s">
        <v>1051</v>
      </c>
      <c r="O24" s="433" t="s">
        <v>40</v>
      </c>
      <c r="P24" s="83"/>
      <c r="Q24" s="275"/>
      <c r="R24" s="275">
        <v>950000</v>
      </c>
      <c r="S24" s="162">
        <f t="shared" si="1"/>
        <v>1</v>
      </c>
      <c r="T24" s="94"/>
      <c r="U24" s="270">
        <f t="shared" si="0"/>
        <v>950000</v>
      </c>
      <c r="V24" s="347">
        <f>U24</f>
        <v>950000</v>
      </c>
      <c r="X24" s="386">
        <f>(Q24+((S24-0)*R24))*((100-P24)/100)</f>
        <v>950000</v>
      </c>
    </row>
    <row r="25" spans="1:25" s="82" customFormat="1" ht="91">
      <c r="A25" s="81">
        <f t="shared" si="5"/>
        <v>19</v>
      </c>
      <c r="B25" s="81">
        <v>16</v>
      </c>
      <c r="C25" s="258" t="s">
        <v>1052</v>
      </c>
      <c r="D25" s="259" t="s">
        <v>75</v>
      </c>
      <c r="E25" s="258" t="s">
        <v>1050</v>
      </c>
      <c r="F25" s="86">
        <v>1700</v>
      </c>
      <c r="G25" s="86">
        <v>1800</v>
      </c>
      <c r="H25" s="261" t="s">
        <v>45</v>
      </c>
      <c r="I25" s="140" t="s">
        <v>35</v>
      </c>
      <c r="J25" s="140" t="s">
        <v>36</v>
      </c>
      <c r="K25" s="315" t="s">
        <v>76</v>
      </c>
      <c r="L25" s="297" t="s">
        <v>47</v>
      </c>
      <c r="M25" s="132"/>
      <c r="N25" s="325" t="s">
        <v>1053</v>
      </c>
      <c r="O25" s="433" t="s">
        <v>174</v>
      </c>
      <c r="P25" s="83"/>
      <c r="Q25" s="419"/>
      <c r="R25" s="275">
        <v>500000</v>
      </c>
      <c r="S25" s="162">
        <f t="shared" si="1"/>
        <v>1</v>
      </c>
      <c r="T25" s="259"/>
      <c r="U25" s="270">
        <f t="shared" si="0"/>
        <v>500000</v>
      </c>
      <c r="V25" s="386">
        <f t="shared" ref="V25:V27" si="6">Q25+((S25-0)*R25)</f>
        <v>500000</v>
      </c>
      <c r="W25" s="90"/>
      <c r="X25" s="91"/>
      <c r="Y25" s="90"/>
    </row>
    <row r="26" spans="1:25" s="82" customFormat="1" ht="91">
      <c r="A26" s="81">
        <f t="shared" si="5"/>
        <v>20</v>
      </c>
      <c r="B26" s="81">
        <v>17</v>
      </c>
      <c r="C26" s="258" t="s">
        <v>1054</v>
      </c>
      <c r="D26" s="259" t="s">
        <v>43</v>
      </c>
      <c r="E26" s="258" t="s">
        <v>1050</v>
      </c>
      <c r="F26" s="86">
        <v>1700</v>
      </c>
      <c r="G26" s="86">
        <v>1800</v>
      </c>
      <c r="H26" s="261" t="s">
        <v>45</v>
      </c>
      <c r="I26" s="140" t="s">
        <v>35</v>
      </c>
      <c r="J26" s="140" t="s">
        <v>36</v>
      </c>
      <c r="K26" s="315" t="s">
        <v>76</v>
      </c>
      <c r="L26" s="297" t="s">
        <v>47</v>
      </c>
      <c r="M26" s="132"/>
      <c r="N26" s="448" t="s">
        <v>1055</v>
      </c>
      <c r="O26" s="433" t="s">
        <v>174</v>
      </c>
      <c r="P26" s="83"/>
      <c r="Q26" s="415"/>
      <c r="R26" s="275">
        <v>500000</v>
      </c>
      <c r="S26" s="162">
        <f t="shared" si="1"/>
        <v>1</v>
      </c>
      <c r="T26" s="94"/>
      <c r="U26" s="270">
        <f t="shared" si="0"/>
        <v>500000</v>
      </c>
      <c r="V26" s="386">
        <f t="shared" si="6"/>
        <v>500000</v>
      </c>
    </row>
    <row r="27" spans="1:25" s="82" customFormat="1" ht="91">
      <c r="A27" s="81">
        <f t="shared" si="5"/>
        <v>21</v>
      </c>
      <c r="B27" s="81">
        <v>18</v>
      </c>
      <c r="C27" s="258" t="s">
        <v>1056</v>
      </c>
      <c r="D27" s="259" t="s">
        <v>43</v>
      </c>
      <c r="E27" s="258" t="s">
        <v>1050</v>
      </c>
      <c r="F27" s="86">
        <v>1300</v>
      </c>
      <c r="G27" s="86">
        <v>1400</v>
      </c>
      <c r="H27" s="261" t="s">
        <v>1057</v>
      </c>
      <c r="I27" s="140" t="s">
        <v>35</v>
      </c>
      <c r="J27" s="140" t="s">
        <v>36</v>
      </c>
      <c r="K27" s="315" t="s">
        <v>76</v>
      </c>
      <c r="L27" s="297" t="s">
        <v>255</v>
      </c>
      <c r="M27" s="417"/>
      <c r="N27" s="448" t="s">
        <v>1058</v>
      </c>
      <c r="O27" s="433" t="s">
        <v>174</v>
      </c>
      <c r="P27" s="408"/>
      <c r="Q27" s="415"/>
      <c r="R27" s="275">
        <v>500000</v>
      </c>
      <c r="S27" s="162">
        <f t="shared" si="1"/>
        <v>1</v>
      </c>
      <c r="T27" s="259"/>
      <c r="U27" s="270">
        <f t="shared" si="0"/>
        <v>500000</v>
      </c>
      <c r="V27" s="386">
        <f t="shared" si="6"/>
        <v>500000</v>
      </c>
      <c r="W27" s="90"/>
      <c r="X27" s="91"/>
      <c r="Y27" s="90"/>
    </row>
    <row r="28" spans="1:25" s="82" customFormat="1" ht="156">
      <c r="A28" s="81">
        <f t="shared" si="5"/>
        <v>22</v>
      </c>
      <c r="B28" s="81">
        <v>19</v>
      </c>
      <c r="C28" s="258" t="s">
        <v>1059</v>
      </c>
      <c r="D28" s="259" t="s">
        <v>75</v>
      </c>
      <c r="E28" s="258" t="s">
        <v>1060</v>
      </c>
      <c r="F28" s="86">
        <v>1500</v>
      </c>
      <c r="G28" s="86">
        <v>1700</v>
      </c>
      <c r="H28" s="261" t="s">
        <v>1061</v>
      </c>
      <c r="I28" s="140" t="s">
        <v>35</v>
      </c>
      <c r="J28" s="140" t="s">
        <v>36</v>
      </c>
      <c r="K28" s="315" t="s">
        <v>76</v>
      </c>
      <c r="L28" s="412" t="s">
        <v>172</v>
      </c>
      <c r="M28" s="94"/>
      <c r="N28" s="449" t="s">
        <v>1062</v>
      </c>
      <c r="O28" s="433" t="s">
        <v>40</v>
      </c>
      <c r="P28" s="425">
        <v>100</v>
      </c>
      <c r="Q28" s="420"/>
      <c r="R28" s="275">
        <v>500000</v>
      </c>
      <c r="S28" s="162">
        <f t="shared" si="1"/>
        <v>2</v>
      </c>
      <c r="T28" s="94"/>
      <c r="U28" s="270">
        <f t="shared" si="0"/>
        <v>0</v>
      </c>
      <c r="V28" s="386">
        <f>(Q28+((S28-0)*R28))*((100-P28)/100)</f>
        <v>0</v>
      </c>
      <c r="X28" s="426">
        <f>V28*((100-P28)/100)</f>
        <v>0</v>
      </c>
    </row>
    <row r="29" spans="1:25" s="82" customFormat="1" ht="156">
      <c r="A29" s="81">
        <f t="shared" si="5"/>
        <v>23</v>
      </c>
      <c r="B29" s="81">
        <v>20</v>
      </c>
      <c r="C29" s="258" t="s">
        <v>1063</v>
      </c>
      <c r="D29" s="259" t="s">
        <v>43</v>
      </c>
      <c r="E29" s="258" t="s">
        <v>1060</v>
      </c>
      <c r="F29" s="86">
        <v>1500</v>
      </c>
      <c r="G29" s="86">
        <v>1700</v>
      </c>
      <c r="H29" s="261" t="s">
        <v>1061</v>
      </c>
      <c r="I29" s="140" t="s">
        <v>35</v>
      </c>
      <c r="J29" s="140" t="s">
        <v>36</v>
      </c>
      <c r="K29" s="315" t="s">
        <v>76</v>
      </c>
      <c r="L29" s="297" t="s">
        <v>172</v>
      </c>
      <c r="M29" s="354"/>
      <c r="N29" s="451" t="s">
        <v>1064</v>
      </c>
      <c r="O29" s="433" t="s">
        <v>40</v>
      </c>
      <c r="P29" s="425">
        <v>100</v>
      </c>
      <c r="Q29" s="420"/>
      <c r="R29" s="275">
        <v>500000</v>
      </c>
      <c r="S29" s="162">
        <f t="shared" si="1"/>
        <v>2</v>
      </c>
      <c r="T29" s="259"/>
      <c r="U29" s="270">
        <f>S29*R29*(100-P29)/100</f>
        <v>0</v>
      </c>
      <c r="V29" s="386">
        <f t="shared" ref="V29:V30" si="7">(Q29+((S29-0)*R29))*((100-P29)/100)</f>
        <v>0</v>
      </c>
      <c r="W29" s="90"/>
      <c r="X29" s="426">
        <f t="shared" ref="X29:X30" si="8">V29*((100-P29)/100)</f>
        <v>0</v>
      </c>
      <c r="Y29" s="90"/>
    </row>
    <row r="30" spans="1:25" s="82" customFormat="1" ht="156">
      <c r="A30" s="81">
        <f t="shared" si="5"/>
        <v>24</v>
      </c>
      <c r="B30" s="81">
        <v>21</v>
      </c>
      <c r="C30" s="258" t="s">
        <v>1065</v>
      </c>
      <c r="D30" s="259" t="s">
        <v>32</v>
      </c>
      <c r="E30" s="258" t="s">
        <v>1060</v>
      </c>
      <c r="F30" s="86">
        <v>1000</v>
      </c>
      <c r="G30" s="86">
        <v>1200</v>
      </c>
      <c r="H30" s="261" t="s">
        <v>1061</v>
      </c>
      <c r="I30" s="140" t="s">
        <v>35</v>
      </c>
      <c r="J30" s="140" t="s">
        <v>36</v>
      </c>
      <c r="K30" s="315" t="s">
        <v>37</v>
      </c>
      <c r="L30" s="297" t="s">
        <v>172</v>
      </c>
      <c r="M30" s="295"/>
      <c r="N30" s="451" t="s">
        <v>1066</v>
      </c>
      <c r="O30" s="433" t="s">
        <v>40</v>
      </c>
      <c r="P30" s="83"/>
      <c r="Q30" s="416"/>
      <c r="R30" s="275">
        <v>950000</v>
      </c>
      <c r="S30" s="162">
        <f t="shared" si="1"/>
        <v>2</v>
      </c>
      <c r="T30" s="259"/>
      <c r="U30" s="270">
        <f t="shared" si="0"/>
        <v>1900000</v>
      </c>
      <c r="V30" s="386">
        <f t="shared" si="7"/>
        <v>1900000</v>
      </c>
      <c r="W30" s="90"/>
      <c r="X30" s="426">
        <f t="shared" si="8"/>
        <v>1900000</v>
      </c>
      <c r="Y30" s="90"/>
    </row>
    <row r="31" spans="1:25" s="82" customFormat="1" ht="234">
      <c r="A31" s="81">
        <f t="shared" si="5"/>
        <v>25</v>
      </c>
      <c r="B31" s="81">
        <v>22</v>
      </c>
      <c r="C31" s="258" t="s">
        <v>1067</v>
      </c>
      <c r="D31" s="259" t="s">
        <v>32</v>
      </c>
      <c r="E31" s="258" t="s">
        <v>1060</v>
      </c>
      <c r="F31" s="86">
        <v>1500</v>
      </c>
      <c r="G31" s="86">
        <v>1600</v>
      </c>
      <c r="H31" s="261" t="s">
        <v>1068</v>
      </c>
      <c r="I31" s="140" t="s">
        <v>259</v>
      </c>
      <c r="J31" s="140" t="s">
        <v>36</v>
      </c>
      <c r="K31" s="315" t="s">
        <v>76</v>
      </c>
      <c r="L31" s="297" t="s">
        <v>124</v>
      </c>
      <c r="M31" s="132" t="s">
        <v>1069</v>
      </c>
      <c r="N31" s="448" t="s">
        <v>1070</v>
      </c>
      <c r="O31" s="433" t="s">
        <v>40</v>
      </c>
      <c r="P31" s="408"/>
      <c r="Q31" s="275"/>
      <c r="R31" s="275">
        <v>950000</v>
      </c>
      <c r="S31" s="162">
        <f t="shared" si="1"/>
        <v>1</v>
      </c>
      <c r="T31" s="259"/>
      <c r="U31" s="270">
        <f>S31*R31*(100-P31)/100</f>
        <v>950000</v>
      </c>
      <c r="V31" s="347">
        <f t="shared" ref="V31:V46" si="9">U31</f>
        <v>950000</v>
      </c>
      <c r="W31" s="90"/>
      <c r="X31" s="91"/>
      <c r="Y31" s="90"/>
    </row>
    <row r="32" spans="1:25" s="82" customFormat="1" ht="195">
      <c r="A32" s="81">
        <f t="shared" si="5"/>
        <v>26</v>
      </c>
      <c r="B32" s="81">
        <v>23</v>
      </c>
      <c r="C32" s="258" t="s">
        <v>1071</v>
      </c>
      <c r="D32" s="259" t="s">
        <v>43</v>
      </c>
      <c r="E32" s="258" t="s">
        <v>1060</v>
      </c>
      <c r="F32" s="86">
        <v>1130</v>
      </c>
      <c r="G32" s="86">
        <v>1230</v>
      </c>
      <c r="H32" s="261" t="s">
        <v>1072</v>
      </c>
      <c r="I32" s="140" t="s">
        <v>35</v>
      </c>
      <c r="J32" s="140" t="s">
        <v>36</v>
      </c>
      <c r="K32" s="315" t="s">
        <v>76</v>
      </c>
      <c r="L32" s="297" t="s">
        <v>47</v>
      </c>
      <c r="M32" s="132"/>
      <c r="N32" s="451" t="s">
        <v>1073</v>
      </c>
      <c r="O32" s="433" t="s">
        <v>174</v>
      </c>
      <c r="P32" s="408"/>
      <c r="Q32" s="415"/>
      <c r="R32" s="275">
        <v>500000</v>
      </c>
      <c r="S32" s="162">
        <f t="shared" si="1"/>
        <v>1</v>
      </c>
      <c r="T32" s="259"/>
      <c r="U32" s="270">
        <f>S32*R32*(100-P32)/100</f>
        <v>500000</v>
      </c>
      <c r="V32" s="386">
        <f>Q32+((S32-0)*R32)</f>
        <v>500000</v>
      </c>
      <c r="W32" s="90"/>
      <c r="X32" s="91"/>
      <c r="Y32" s="90"/>
    </row>
    <row r="33" spans="1:25" s="82" customFormat="1" ht="130">
      <c r="A33" s="81">
        <f t="shared" si="5"/>
        <v>27</v>
      </c>
      <c r="B33" s="81">
        <v>24</v>
      </c>
      <c r="C33" s="258" t="s">
        <v>1074</v>
      </c>
      <c r="D33" s="259" t="s">
        <v>43</v>
      </c>
      <c r="E33" s="258" t="s">
        <v>1075</v>
      </c>
      <c r="F33" s="86">
        <v>1200</v>
      </c>
      <c r="G33" s="86">
        <v>1600</v>
      </c>
      <c r="H33" s="261" t="s">
        <v>1076</v>
      </c>
      <c r="I33" s="140" t="s">
        <v>35</v>
      </c>
      <c r="J33" s="140" t="s">
        <v>36</v>
      </c>
      <c r="K33" s="315" t="s">
        <v>76</v>
      </c>
      <c r="L33" s="297" t="s">
        <v>255</v>
      </c>
      <c r="M33" s="132"/>
      <c r="N33" s="451" t="s">
        <v>1077</v>
      </c>
      <c r="O33" s="433" t="s">
        <v>40</v>
      </c>
      <c r="P33" s="261"/>
      <c r="Q33" s="275">
        <f>R33*3</f>
        <v>1500000</v>
      </c>
      <c r="R33" s="275">
        <v>500000</v>
      </c>
      <c r="S33" s="162">
        <f t="shared" si="1"/>
        <v>4</v>
      </c>
      <c r="T33" s="259"/>
      <c r="U33" s="270">
        <f>S33*R33*(100-P33)/100</f>
        <v>2000000</v>
      </c>
      <c r="V33" s="386">
        <f>Q33+((S33-4)*R33)</f>
        <v>1500000</v>
      </c>
      <c r="W33" s="90"/>
      <c r="X33" s="91"/>
      <c r="Y33" s="90"/>
    </row>
    <row r="34" spans="1:25" s="82" customFormat="1" ht="130">
      <c r="A34" s="81">
        <f t="shared" si="5"/>
        <v>28</v>
      </c>
      <c r="B34" s="81">
        <v>25</v>
      </c>
      <c r="C34" s="258" t="s">
        <v>1078</v>
      </c>
      <c r="D34" s="259" t="s">
        <v>43</v>
      </c>
      <c r="E34" s="258" t="s">
        <v>1075</v>
      </c>
      <c r="F34" s="86">
        <v>1100</v>
      </c>
      <c r="G34" s="86">
        <v>1200</v>
      </c>
      <c r="H34" s="261" t="s">
        <v>1076</v>
      </c>
      <c r="I34" s="140" t="s">
        <v>35</v>
      </c>
      <c r="J34" s="140" t="s">
        <v>36</v>
      </c>
      <c r="K34" s="315" t="s">
        <v>76</v>
      </c>
      <c r="L34" s="297" t="s">
        <v>255</v>
      </c>
      <c r="M34" s="132"/>
      <c r="N34" s="451" t="s">
        <v>1079</v>
      </c>
      <c r="O34" s="433" t="s">
        <v>40</v>
      </c>
      <c r="P34" s="422"/>
      <c r="Q34" s="415"/>
      <c r="R34" s="275">
        <v>500000</v>
      </c>
      <c r="S34" s="162">
        <f t="shared" si="1"/>
        <v>1</v>
      </c>
      <c r="T34" s="259"/>
      <c r="U34" s="270">
        <f>S34*R34*(100-P34)/100</f>
        <v>500000</v>
      </c>
      <c r="V34" s="386">
        <f>Q34+((S34-0)*R34)</f>
        <v>500000</v>
      </c>
      <c r="W34" s="90"/>
      <c r="X34" s="91"/>
      <c r="Y34" s="90"/>
    </row>
    <row r="35" spans="1:25" s="82" customFormat="1" ht="182">
      <c r="A35" s="81">
        <f t="shared" si="5"/>
        <v>29</v>
      </c>
      <c r="B35" s="81">
        <v>26</v>
      </c>
      <c r="C35" s="258" t="s">
        <v>1080</v>
      </c>
      <c r="D35" s="259" t="s">
        <v>32</v>
      </c>
      <c r="E35" s="269">
        <v>45238</v>
      </c>
      <c r="F35" s="86">
        <v>1200</v>
      </c>
      <c r="G35" s="86">
        <v>1300</v>
      </c>
      <c r="H35" s="261" t="s">
        <v>1081</v>
      </c>
      <c r="I35" s="140" t="s">
        <v>259</v>
      </c>
      <c r="J35" s="140" t="s">
        <v>245</v>
      </c>
      <c r="K35" s="315" t="s">
        <v>513</v>
      </c>
      <c r="L35" s="297" t="s">
        <v>484</v>
      </c>
      <c r="M35" s="132" t="s">
        <v>1082</v>
      </c>
      <c r="N35" s="448">
        <v>45238.586689814816</v>
      </c>
      <c r="O35" s="433" t="s">
        <v>40</v>
      </c>
      <c r="P35" s="261" t="s">
        <v>41</v>
      </c>
      <c r="Q35" s="415"/>
      <c r="R35" s="275">
        <v>950000</v>
      </c>
      <c r="S35" s="162">
        <f t="shared" si="1"/>
        <v>1</v>
      </c>
      <c r="T35" s="259"/>
      <c r="U35" s="270">
        <f>S35*R35*(100-P35)/100</f>
        <v>0</v>
      </c>
      <c r="V35" s="386">
        <f>U35</f>
        <v>0</v>
      </c>
      <c r="W35" s="90"/>
      <c r="X35" s="91"/>
      <c r="Y35" s="90"/>
    </row>
    <row r="36" spans="1:25" s="82" customFormat="1" ht="156">
      <c r="A36" s="81">
        <f t="shared" si="5"/>
        <v>30</v>
      </c>
      <c r="B36" s="81">
        <v>27</v>
      </c>
      <c r="C36" s="258" t="s">
        <v>1083</v>
      </c>
      <c r="D36" s="259" t="s">
        <v>32</v>
      </c>
      <c r="E36" s="258" t="s">
        <v>1084</v>
      </c>
      <c r="F36" s="86">
        <v>1100</v>
      </c>
      <c r="G36" s="86">
        <v>1200</v>
      </c>
      <c r="H36" s="261" t="s">
        <v>1085</v>
      </c>
      <c r="I36" s="140" t="s">
        <v>259</v>
      </c>
      <c r="J36" s="140" t="s">
        <v>245</v>
      </c>
      <c r="K36" s="315" t="s">
        <v>513</v>
      </c>
      <c r="L36" s="297" t="s">
        <v>484</v>
      </c>
      <c r="M36" s="295" t="s">
        <v>1086</v>
      </c>
      <c r="N36" s="448">
        <v>45238.488333333335</v>
      </c>
      <c r="O36" s="433" t="s">
        <v>40</v>
      </c>
      <c r="P36" s="261">
        <v>100</v>
      </c>
      <c r="Q36" s="415"/>
      <c r="R36" s="275">
        <v>950000</v>
      </c>
      <c r="S36" s="162">
        <f t="shared" si="1"/>
        <v>1</v>
      </c>
      <c r="T36" s="259"/>
      <c r="U36" s="270">
        <f t="shared" ref="U36:U64" si="10">S36*R36*(100-P36)/100</f>
        <v>0</v>
      </c>
      <c r="V36" s="347">
        <f t="shared" si="9"/>
        <v>0</v>
      </c>
      <c r="W36" s="90"/>
      <c r="X36" s="91"/>
      <c r="Y36" s="90"/>
    </row>
    <row r="37" spans="1:25" s="82" customFormat="1" ht="104">
      <c r="A37" s="81">
        <f t="shared" si="5"/>
        <v>31</v>
      </c>
      <c r="B37" s="81">
        <v>28</v>
      </c>
      <c r="C37" s="258" t="s">
        <v>1087</v>
      </c>
      <c r="D37" s="259" t="s">
        <v>32</v>
      </c>
      <c r="E37" s="258" t="s">
        <v>1060</v>
      </c>
      <c r="F37" s="86">
        <v>1000</v>
      </c>
      <c r="G37" s="86">
        <v>1100</v>
      </c>
      <c r="H37" s="261" t="s">
        <v>1088</v>
      </c>
      <c r="I37" s="140" t="s">
        <v>35</v>
      </c>
      <c r="J37" s="140" t="s">
        <v>36</v>
      </c>
      <c r="K37" s="315" t="s">
        <v>76</v>
      </c>
      <c r="L37" s="297" t="s">
        <v>124</v>
      </c>
      <c r="M37" s="295"/>
      <c r="N37" s="448">
        <v>45207.742395833331</v>
      </c>
      <c r="O37" s="433" t="s">
        <v>174</v>
      </c>
      <c r="P37" s="261"/>
      <c r="Q37" s="415"/>
      <c r="R37" s="275">
        <v>950000</v>
      </c>
      <c r="S37" s="162">
        <f t="shared" si="1"/>
        <v>1</v>
      </c>
      <c r="T37" s="259"/>
      <c r="U37" s="270">
        <f t="shared" si="10"/>
        <v>950000</v>
      </c>
      <c r="V37" s="347">
        <f t="shared" si="9"/>
        <v>950000</v>
      </c>
      <c r="W37" s="90"/>
      <c r="X37" s="91"/>
      <c r="Y37" s="90"/>
    </row>
    <row r="38" spans="1:25" s="82" customFormat="1" ht="156">
      <c r="A38" s="81">
        <f t="shared" si="5"/>
        <v>32</v>
      </c>
      <c r="B38" s="81">
        <v>29</v>
      </c>
      <c r="C38" s="258" t="s">
        <v>1089</v>
      </c>
      <c r="D38" s="259" t="s">
        <v>43</v>
      </c>
      <c r="E38" s="258" t="s">
        <v>1090</v>
      </c>
      <c r="F38" s="86">
        <v>1400</v>
      </c>
      <c r="G38" s="86">
        <v>1800</v>
      </c>
      <c r="H38" s="261" t="s">
        <v>1091</v>
      </c>
      <c r="I38" s="140" t="s">
        <v>259</v>
      </c>
      <c r="J38" s="140" t="s">
        <v>36</v>
      </c>
      <c r="K38" s="315" t="s">
        <v>76</v>
      </c>
      <c r="L38" s="413" t="s">
        <v>47</v>
      </c>
      <c r="M38" s="295"/>
      <c r="N38" s="448">
        <v>45207.675138888888</v>
      </c>
      <c r="O38" s="433" t="s">
        <v>40</v>
      </c>
      <c r="P38" s="261"/>
      <c r="Q38" s="275">
        <f>R38*3</f>
        <v>1500000</v>
      </c>
      <c r="R38" s="275">
        <v>500000</v>
      </c>
      <c r="S38" s="162">
        <f t="shared" si="1"/>
        <v>4</v>
      </c>
      <c r="T38" s="259"/>
      <c r="U38" s="270">
        <f t="shared" si="10"/>
        <v>2000000</v>
      </c>
      <c r="V38" s="386">
        <f>(Q38+((S38-4)*R38))</f>
        <v>1500000</v>
      </c>
      <c r="W38" s="90"/>
      <c r="X38" s="386">
        <f t="shared" ref="X38" si="11">(Q38+((S38-4)*R38))*((100-P38)/100)</f>
        <v>1500000</v>
      </c>
      <c r="Y38" s="90"/>
    </row>
    <row r="39" spans="1:25" s="82" customFormat="1" ht="234">
      <c r="A39" s="81">
        <f t="shared" si="5"/>
        <v>33</v>
      </c>
      <c r="B39" s="81">
        <v>30</v>
      </c>
      <c r="C39" s="258" t="s">
        <v>1092</v>
      </c>
      <c r="D39" s="259" t="s">
        <v>32</v>
      </c>
      <c r="E39" s="258" t="s">
        <v>1090</v>
      </c>
      <c r="F39" s="86">
        <v>1630</v>
      </c>
      <c r="G39" s="86">
        <v>1830</v>
      </c>
      <c r="H39" s="261" t="s">
        <v>1093</v>
      </c>
      <c r="I39" s="140" t="s">
        <v>259</v>
      </c>
      <c r="J39" s="140" t="s">
        <v>36</v>
      </c>
      <c r="K39" s="315" t="s">
        <v>64</v>
      </c>
      <c r="L39" s="261" t="s">
        <v>1094</v>
      </c>
      <c r="M39" s="430"/>
      <c r="N39" s="453">
        <v>45207.670902777776</v>
      </c>
      <c r="O39" s="433" t="s">
        <v>40</v>
      </c>
      <c r="P39" s="261">
        <v>100</v>
      </c>
      <c r="Q39" s="415"/>
      <c r="R39" s="275">
        <v>950000</v>
      </c>
      <c r="S39" s="162">
        <f t="shared" si="1"/>
        <v>2</v>
      </c>
      <c r="T39" s="94"/>
      <c r="U39" s="270">
        <f t="shared" si="10"/>
        <v>0</v>
      </c>
      <c r="V39" s="386">
        <f>Q39+((S39-0)*R39)*0</f>
        <v>0</v>
      </c>
    </row>
    <row r="40" spans="1:25" s="82" customFormat="1" ht="91">
      <c r="A40" s="81">
        <f t="shared" si="5"/>
        <v>34</v>
      </c>
      <c r="B40" s="81">
        <v>31</v>
      </c>
      <c r="C40" s="258">
        <v>4301</v>
      </c>
      <c r="D40" s="259" t="s">
        <v>32</v>
      </c>
      <c r="E40" s="403">
        <v>45207</v>
      </c>
      <c r="F40" s="86">
        <v>1630</v>
      </c>
      <c r="G40" s="86">
        <v>1830</v>
      </c>
      <c r="H40" s="261" t="s">
        <v>1095</v>
      </c>
      <c r="I40" s="140" t="s">
        <v>35</v>
      </c>
      <c r="J40" s="140" t="s">
        <v>36</v>
      </c>
      <c r="K40" s="315">
        <v>12</v>
      </c>
      <c r="L40" s="261" t="s">
        <v>1094</v>
      </c>
      <c r="M40" s="405"/>
      <c r="N40" s="406">
        <v>45207.624560185184</v>
      </c>
      <c r="O40" s="454" t="s">
        <v>174</v>
      </c>
      <c r="P40" s="261"/>
      <c r="Q40" s="415"/>
      <c r="R40" s="275">
        <v>950000</v>
      </c>
      <c r="S40" s="162">
        <f t="shared" si="1"/>
        <v>2</v>
      </c>
      <c r="T40" s="94"/>
      <c r="U40" s="270">
        <f t="shared" si="10"/>
        <v>1900000</v>
      </c>
      <c r="V40" s="386">
        <f>Q40+((S40-0)*R40)</f>
        <v>1900000</v>
      </c>
    </row>
    <row r="41" spans="1:25" s="82" customFormat="1" ht="130">
      <c r="A41" s="81">
        <f t="shared" si="5"/>
        <v>35</v>
      </c>
      <c r="B41" s="81">
        <v>32</v>
      </c>
      <c r="C41" s="258">
        <v>4300</v>
      </c>
      <c r="D41" s="259" t="s">
        <v>43</v>
      </c>
      <c r="E41" s="403">
        <v>45207</v>
      </c>
      <c r="F41" s="86">
        <v>900</v>
      </c>
      <c r="G41" s="86">
        <v>1000</v>
      </c>
      <c r="H41" s="261" t="s">
        <v>1096</v>
      </c>
      <c r="I41" s="140" t="s">
        <v>35</v>
      </c>
      <c r="J41" s="140" t="s">
        <v>36</v>
      </c>
      <c r="K41" s="315">
        <v>6</v>
      </c>
      <c r="L41" s="261" t="s">
        <v>72</v>
      </c>
      <c r="M41" s="405"/>
      <c r="N41" s="406">
        <v>45207.622824074075</v>
      </c>
      <c r="O41" s="454" t="s">
        <v>40</v>
      </c>
      <c r="P41" s="261">
        <v>100</v>
      </c>
      <c r="Q41" s="415"/>
      <c r="R41" s="275">
        <v>500000</v>
      </c>
      <c r="S41" s="162">
        <f t="shared" si="1"/>
        <v>1</v>
      </c>
      <c r="T41" s="94"/>
      <c r="U41" s="270">
        <f t="shared" si="10"/>
        <v>0</v>
      </c>
      <c r="V41" s="386">
        <f>Q41+((S41-0)*R41)*(100-P41)/100</f>
        <v>0</v>
      </c>
    </row>
    <row r="42" spans="1:25" s="82" customFormat="1" ht="117">
      <c r="A42" s="81">
        <f t="shared" si="5"/>
        <v>36</v>
      </c>
      <c r="B42" s="81">
        <v>33</v>
      </c>
      <c r="C42" s="258">
        <v>4299</v>
      </c>
      <c r="D42" s="259" t="s">
        <v>43</v>
      </c>
      <c r="E42" s="403">
        <v>45146</v>
      </c>
      <c r="F42" s="86">
        <v>1015</v>
      </c>
      <c r="G42" s="86">
        <v>1045</v>
      </c>
      <c r="H42" s="261" t="s">
        <v>1097</v>
      </c>
      <c r="I42" s="140" t="s">
        <v>35</v>
      </c>
      <c r="J42" s="140" t="s">
        <v>36</v>
      </c>
      <c r="K42" s="315">
        <v>2</v>
      </c>
      <c r="L42" s="261" t="s">
        <v>484</v>
      </c>
      <c r="M42" s="405"/>
      <c r="N42" s="406">
        <v>45146.604618055557</v>
      </c>
      <c r="O42" s="454" t="s">
        <v>40</v>
      </c>
      <c r="P42" s="261">
        <v>100</v>
      </c>
      <c r="Q42" s="415"/>
      <c r="R42" s="275">
        <v>500000</v>
      </c>
      <c r="S42" s="162">
        <f>(1075-1025)/100</f>
        <v>0.5</v>
      </c>
      <c r="T42" s="46"/>
      <c r="U42" s="270">
        <f t="shared" si="10"/>
        <v>0</v>
      </c>
      <c r="V42" s="386">
        <f>U42</f>
        <v>0</v>
      </c>
    </row>
    <row r="43" spans="1:25" s="82" customFormat="1" ht="117">
      <c r="A43" s="81">
        <f t="shared" si="5"/>
        <v>37</v>
      </c>
      <c r="B43" s="81">
        <v>34</v>
      </c>
      <c r="C43" s="258">
        <v>4298</v>
      </c>
      <c r="D43" s="259" t="s">
        <v>43</v>
      </c>
      <c r="E43" s="403">
        <v>45146</v>
      </c>
      <c r="F43" s="86">
        <v>1015</v>
      </c>
      <c r="G43" s="86">
        <v>1045</v>
      </c>
      <c r="H43" s="261" t="s">
        <v>1098</v>
      </c>
      <c r="I43" s="140" t="s">
        <v>35</v>
      </c>
      <c r="J43" s="140" t="s">
        <v>36</v>
      </c>
      <c r="K43" s="315">
        <v>2</v>
      </c>
      <c r="L43" s="261" t="s">
        <v>484</v>
      </c>
      <c r="M43" s="405"/>
      <c r="N43" s="406">
        <v>45146.603807870371</v>
      </c>
      <c r="O43" s="454" t="s">
        <v>174</v>
      </c>
      <c r="P43" s="261"/>
      <c r="Q43" s="415"/>
      <c r="R43" s="275">
        <v>500000</v>
      </c>
      <c r="S43" s="162">
        <f>(1075-1025)/100</f>
        <v>0.5</v>
      </c>
      <c r="T43" s="259"/>
      <c r="U43" s="270">
        <f t="shared" si="10"/>
        <v>250000</v>
      </c>
      <c r="V43" s="386">
        <f t="shared" ref="V43:V44" si="12">Q43+((S43-0)*R43)</f>
        <v>250000</v>
      </c>
      <c r="W43" s="90"/>
      <c r="X43" s="91"/>
      <c r="Y43" s="90"/>
    </row>
    <row r="44" spans="1:25" s="82" customFormat="1" ht="117">
      <c r="A44" s="81">
        <f t="shared" si="5"/>
        <v>38</v>
      </c>
      <c r="B44" s="81">
        <v>35</v>
      </c>
      <c r="C44" s="258">
        <v>4297</v>
      </c>
      <c r="D44" s="259" t="s">
        <v>43</v>
      </c>
      <c r="E44" s="403">
        <v>45146</v>
      </c>
      <c r="F44" s="86">
        <v>1400</v>
      </c>
      <c r="G44" s="86">
        <v>1700</v>
      </c>
      <c r="H44" s="261" t="s">
        <v>1099</v>
      </c>
      <c r="I44" s="140" t="s">
        <v>35</v>
      </c>
      <c r="J44" s="140" t="s">
        <v>36</v>
      </c>
      <c r="K44" s="315">
        <v>6</v>
      </c>
      <c r="L44" s="261" t="s">
        <v>255</v>
      </c>
      <c r="M44" s="405"/>
      <c r="N44" s="406">
        <v>45146.490127314813</v>
      </c>
      <c r="O44" s="454" t="s">
        <v>40</v>
      </c>
      <c r="P44" s="261"/>
      <c r="Q44" s="275"/>
      <c r="R44" s="275">
        <v>500000</v>
      </c>
      <c r="S44" s="162">
        <f t="shared" si="1"/>
        <v>3</v>
      </c>
      <c r="T44" s="259"/>
      <c r="U44" s="270">
        <f t="shared" si="10"/>
        <v>1500000</v>
      </c>
      <c r="V44" s="386">
        <f t="shared" si="12"/>
        <v>1500000</v>
      </c>
      <c r="W44" s="90"/>
      <c r="X44" s="91"/>
      <c r="Y44" s="90"/>
    </row>
    <row r="45" spans="1:25" s="82" customFormat="1" ht="117">
      <c r="A45" s="81">
        <f t="shared" si="5"/>
        <v>39</v>
      </c>
      <c r="B45" s="81">
        <v>36</v>
      </c>
      <c r="C45" s="258">
        <v>4296</v>
      </c>
      <c r="D45" s="259" t="s">
        <v>75</v>
      </c>
      <c r="E45" s="403">
        <v>45146</v>
      </c>
      <c r="F45" s="86">
        <v>1330</v>
      </c>
      <c r="G45" s="86">
        <v>1730</v>
      </c>
      <c r="H45" s="261" t="s">
        <v>1100</v>
      </c>
      <c r="I45" s="140" t="s">
        <v>259</v>
      </c>
      <c r="J45" s="140" t="s">
        <v>52</v>
      </c>
      <c r="K45" s="315">
        <v>4</v>
      </c>
      <c r="L45" s="261" t="s">
        <v>255</v>
      </c>
      <c r="M45" s="405"/>
      <c r="N45" s="406">
        <v>45146.43372685185</v>
      </c>
      <c r="O45" s="454" t="s">
        <v>40</v>
      </c>
      <c r="P45" s="261"/>
      <c r="Q45" s="275">
        <f>R45*3</f>
        <v>1500000</v>
      </c>
      <c r="R45" s="275">
        <v>500000</v>
      </c>
      <c r="S45" s="162">
        <f t="shared" si="1"/>
        <v>4</v>
      </c>
      <c r="T45" s="95"/>
      <c r="U45" s="270">
        <f t="shared" si="10"/>
        <v>2000000</v>
      </c>
      <c r="V45" s="386">
        <f>Q45+((S45-4)*R45)</f>
        <v>1500000</v>
      </c>
    </row>
    <row r="46" spans="1:25" s="82" customFormat="1" ht="247">
      <c r="A46" s="81">
        <f t="shared" si="5"/>
        <v>40</v>
      </c>
      <c r="B46" s="81">
        <v>37</v>
      </c>
      <c r="C46" s="258">
        <v>4295</v>
      </c>
      <c r="D46" s="259" t="s">
        <v>32</v>
      </c>
      <c r="E46" s="403">
        <v>45024</v>
      </c>
      <c r="F46" s="86">
        <v>1400</v>
      </c>
      <c r="G46" s="86">
        <v>1500</v>
      </c>
      <c r="H46" s="261" t="s">
        <v>1101</v>
      </c>
      <c r="I46" s="140" t="s">
        <v>35</v>
      </c>
      <c r="J46" s="140" t="s">
        <v>36</v>
      </c>
      <c r="K46" s="315">
        <v>12</v>
      </c>
      <c r="L46" s="261" t="s">
        <v>47</v>
      </c>
      <c r="M46" s="405"/>
      <c r="N46" s="406">
        <v>45024.641851851855</v>
      </c>
      <c r="O46" s="454" t="s">
        <v>40</v>
      </c>
      <c r="P46" s="261"/>
      <c r="Q46" s="415"/>
      <c r="R46" s="275">
        <v>950000</v>
      </c>
      <c r="S46" s="162">
        <f t="shared" si="1"/>
        <v>1</v>
      </c>
      <c r="T46" s="94"/>
      <c r="U46" s="270">
        <f t="shared" si="10"/>
        <v>950000</v>
      </c>
      <c r="V46" s="347">
        <f t="shared" si="9"/>
        <v>950000</v>
      </c>
      <c r="X46" s="386">
        <f>(Q46+((S46-0)*R46))*((100-P46)/100)</f>
        <v>950000</v>
      </c>
    </row>
    <row r="47" spans="1:25" s="82" customFormat="1" ht="117">
      <c r="A47" s="81">
        <f t="shared" si="5"/>
        <v>41</v>
      </c>
      <c r="B47" s="81">
        <v>38</v>
      </c>
      <c r="C47" s="258">
        <v>4294</v>
      </c>
      <c r="D47" s="259" t="s">
        <v>75</v>
      </c>
      <c r="E47" s="403">
        <v>45024</v>
      </c>
      <c r="F47" s="86">
        <v>1000</v>
      </c>
      <c r="G47" s="86">
        <v>1030</v>
      </c>
      <c r="H47" s="261" t="s">
        <v>1097</v>
      </c>
      <c r="I47" s="140" t="s">
        <v>35</v>
      </c>
      <c r="J47" s="140" t="s">
        <v>36</v>
      </c>
      <c r="K47" s="315">
        <v>6</v>
      </c>
      <c r="L47" s="261" t="s">
        <v>484</v>
      </c>
      <c r="M47" s="405"/>
      <c r="N47" s="406">
        <v>45024.464525462965</v>
      </c>
      <c r="O47" s="454" t="s">
        <v>40</v>
      </c>
      <c r="P47" s="261">
        <v>100</v>
      </c>
      <c r="Q47" s="415"/>
      <c r="R47" s="275">
        <v>500000</v>
      </c>
      <c r="S47" s="162">
        <f>(1050-F47)/100</f>
        <v>0.5</v>
      </c>
      <c r="T47" s="259"/>
      <c r="U47" s="270">
        <f t="shared" si="10"/>
        <v>0</v>
      </c>
      <c r="V47" s="386">
        <f>U47</f>
        <v>0</v>
      </c>
      <c r="W47" s="90"/>
      <c r="X47" s="91"/>
      <c r="Y47" s="90"/>
    </row>
    <row r="48" spans="1:25" s="82" customFormat="1" ht="104">
      <c r="A48" s="81">
        <f t="shared" si="5"/>
        <v>42</v>
      </c>
      <c r="B48" s="81">
        <v>39</v>
      </c>
      <c r="C48" s="258">
        <v>4293</v>
      </c>
      <c r="D48" s="259" t="s">
        <v>43</v>
      </c>
      <c r="E48" s="403">
        <v>45024</v>
      </c>
      <c r="F48" s="86">
        <v>1000</v>
      </c>
      <c r="G48" s="86">
        <v>1100</v>
      </c>
      <c r="H48" s="261" t="s">
        <v>1102</v>
      </c>
      <c r="I48" s="140" t="s">
        <v>35</v>
      </c>
      <c r="J48" s="140" t="s">
        <v>36</v>
      </c>
      <c r="K48" s="315">
        <v>6</v>
      </c>
      <c r="L48" s="261" t="s">
        <v>1036</v>
      </c>
      <c r="M48" s="405"/>
      <c r="N48" s="406">
        <v>45024.418252314812</v>
      </c>
      <c r="O48" s="454" t="s">
        <v>40</v>
      </c>
      <c r="P48" s="261"/>
      <c r="Q48" s="415"/>
      <c r="R48" s="275">
        <v>500000</v>
      </c>
      <c r="S48" s="162">
        <f t="shared" si="1"/>
        <v>1</v>
      </c>
      <c r="T48" s="259"/>
      <c r="U48" s="270">
        <f>S48*R48*(100-P48)/100</f>
        <v>500000</v>
      </c>
      <c r="V48" s="386">
        <f t="shared" ref="V48" si="13">Q48+((S48-0)*R48)</f>
        <v>500000</v>
      </c>
      <c r="W48" s="90"/>
      <c r="X48" s="91"/>
      <c r="Y48" s="90"/>
    </row>
    <row r="49" spans="1:25" s="82" customFormat="1" ht="117">
      <c r="A49" s="81">
        <f t="shared" si="5"/>
        <v>43</v>
      </c>
      <c r="B49" s="81">
        <v>40</v>
      </c>
      <c r="C49" s="258">
        <v>4292</v>
      </c>
      <c r="D49" s="259" t="s">
        <v>43</v>
      </c>
      <c r="E49" s="403">
        <v>45146</v>
      </c>
      <c r="F49" s="86">
        <v>900</v>
      </c>
      <c r="G49" s="86">
        <v>1600</v>
      </c>
      <c r="H49" s="261" t="s">
        <v>811</v>
      </c>
      <c r="I49" s="140" t="s">
        <v>35</v>
      </c>
      <c r="J49" s="140" t="s">
        <v>36</v>
      </c>
      <c r="K49" s="315">
        <v>4</v>
      </c>
      <c r="L49" s="261" t="s">
        <v>255</v>
      </c>
      <c r="M49" s="405"/>
      <c r="N49" s="406">
        <v>44993.63994212963</v>
      </c>
      <c r="O49" s="454" t="s">
        <v>174</v>
      </c>
      <c r="P49" s="261"/>
      <c r="Q49" s="275">
        <f>R49*3</f>
        <v>1500000</v>
      </c>
      <c r="R49" s="275">
        <v>500000</v>
      </c>
      <c r="S49" s="162">
        <f t="shared" si="1"/>
        <v>7</v>
      </c>
      <c r="T49" s="94"/>
      <c r="U49" s="270">
        <f t="shared" si="10"/>
        <v>3500000</v>
      </c>
      <c r="V49" s="386">
        <f>Q49+((S49-4)*R49)</f>
        <v>3000000</v>
      </c>
    </row>
    <row r="50" spans="1:25" s="82" customFormat="1" ht="104">
      <c r="A50" s="81">
        <f t="shared" si="5"/>
        <v>44</v>
      </c>
      <c r="B50" s="81">
        <v>41</v>
      </c>
      <c r="C50" s="258">
        <v>4291</v>
      </c>
      <c r="D50" s="259" t="s">
        <v>32</v>
      </c>
      <c r="E50" s="403">
        <v>44993</v>
      </c>
      <c r="F50" s="86">
        <v>1100</v>
      </c>
      <c r="G50" s="86">
        <v>1200</v>
      </c>
      <c r="H50" s="261" t="s">
        <v>916</v>
      </c>
      <c r="I50" s="140" t="s">
        <v>35</v>
      </c>
      <c r="J50" s="140" t="s">
        <v>36</v>
      </c>
      <c r="K50" s="315">
        <v>6</v>
      </c>
      <c r="L50" s="261" t="s">
        <v>124</v>
      </c>
      <c r="M50" s="405"/>
      <c r="N50" s="406">
        <v>44993.554745370369</v>
      </c>
      <c r="O50" s="454" t="s">
        <v>40</v>
      </c>
      <c r="P50" s="261"/>
      <c r="Q50" s="415"/>
      <c r="R50" s="275">
        <v>950000</v>
      </c>
      <c r="S50" s="162">
        <f t="shared" si="1"/>
        <v>1</v>
      </c>
      <c r="T50" s="94"/>
      <c r="U50" s="270">
        <f t="shared" si="10"/>
        <v>950000</v>
      </c>
      <c r="V50" s="386">
        <f>U50</f>
        <v>950000</v>
      </c>
    </row>
    <row r="51" spans="1:25" s="82" customFormat="1" ht="104">
      <c r="A51" s="81">
        <f t="shared" si="5"/>
        <v>45</v>
      </c>
      <c r="B51" s="81">
        <v>42</v>
      </c>
      <c r="C51" s="258">
        <v>4290</v>
      </c>
      <c r="D51" s="259" t="s">
        <v>32</v>
      </c>
      <c r="E51" s="403">
        <v>44993</v>
      </c>
      <c r="F51" s="86">
        <v>1000</v>
      </c>
      <c r="G51" s="86">
        <v>1100</v>
      </c>
      <c r="H51" s="261" t="s">
        <v>916</v>
      </c>
      <c r="I51" s="140" t="s">
        <v>35</v>
      </c>
      <c r="J51" s="140" t="s">
        <v>36</v>
      </c>
      <c r="K51" s="315">
        <v>6</v>
      </c>
      <c r="L51" s="261" t="s">
        <v>124</v>
      </c>
      <c r="M51" s="405"/>
      <c r="N51" s="406">
        <v>44934.719201388885</v>
      </c>
      <c r="O51" s="454" t="s">
        <v>40</v>
      </c>
      <c r="P51" s="261"/>
      <c r="Q51" s="415"/>
      <c r="R51" s="275">
        <v>950000</v>
      </c>
      <c r="S51" s="162">
        <f t="shared" si="1"/>
        <v>1</v>
      </c>
      <c r="T51" s="94"/>
      <c r="U51" s="270">
        <f t="shared" si="10"/>
        <v>950000</v>
      </c>
      <c r="V51" s="347">
        <f>U51</f>
        <v>950000</v>
      </c>
    </row>
    <row r="52" spans="1:25" s="82" customFormat="1" ht="182">
      <c r="A52" s="81">
        <f t="shared" si="5"/>
        <v>46</v>
      </c>
      <c r="B52" s="81">
        <v>43</v>
      </c>
      <c r="C52" s="258">
        <v>4289</v>
      </c>
      <c r="D52" s="259" t="s">
        <v>32</v>
      </c>
      <c r="E52" s="403">
        <v>44934</v>
      </c>
      <c r="F52" s="86">
        <v>1400</v>
      </c>
      <c r="G52" s="86">
        <v>1500</v>
      </c>
      <c r="H52" s="261" t="s">
        <v>1103</v>
      </c>
      <c r="I52" s="140" t="s">
        <v>35</v>
      </c>
      <c r="J52" s="140" t="s">
        <v>36</v>
      </c>
      <c r="K52" s="315">
        <v>6</v>
      </c>
      <c r="L52" s="261" t="s">
        <v>47</v>
      </c>
      <c r="M52" s="405"/>
      <c r="N52" s="406">
        <v>44934.629745370374</v>
      </c>
      <c r="O52" s="454" t="s">
        <v>40</v>
      </c>
      <c r="P52" s="261"/>
      <c r="Q52" s="415"/>
      <c r="R52" s="275">
        <v>950000</v>
      </c>
      <c r="S52" s="162">
        <f t="shared" si="1"/>
        <v>1</v>
      </c>
      <c r="T52" s="259"/>
      <c r="U52" s="270">
        <f t="shared" si="10"/>
        <v>950000</v>
      </c>
      <c r="V52" s="347">
        <f>Q52+((S52-0)*R52)</f>
        <v>950000</v>
      </c>
      <c r="W52" s="388"/>
      <c r="X52" s="386">
        <f>(Q52+((S52-0)*R52))*((100-P52)/100)</f>
        <v>950000</v>
      </c>
      <c r="Y52" s="90"/>
    </row>
    <row r="53" spans="1:25" s="82" customFormat="1" ht="117">
      <c r="A53" s="81">
        <f t="shared" si="5"/>
        <v>47</v>
      </c>
      <c r="B53" s="81">
        <v>44</v>
      </c>
      <c r="C53" s="258">
        <v>4288</v>
      </c>
      <c r="D53" s="259" t="s">
        <v>43</v>
      </c>
      <c r="E53" s="403">
        <v>44934</v>
      </c>
      <c r="F53" s="86">
        <v>1000</v>
      </c>
      <c r="G53" s="86">
        <v>1800</v>
      </c>
      <c r="H53" s="261" t="s">
        <v>861</v>
      </c>
      <c r="I53" s="140" t="s">
        <v>35</v>
      </c>
      <c r="J53" s="140" t="s">
        <v>36</v>
      </c>
      <c r="K53" s="315">
        <v>6</v>
      </c>
      <c r="L53" s="261" t="s">
        <v>255</v>
      </c>
      <c r="M53" s="405"/>
      <c r="N53" s="406">
        <v>44934.455034722225</v>
      </c>
      <c r="O53" s="454" t="s">
        <v>40</v>
      </c>
      <c r="P53" s="261"/>
      <c r="Q53" s="421">
        <f>R53*6</f>
        <v>3000000</v>
      </c>
      <c r="R53" s="275">
        <v>500000</v>
      </c>
      <c r="S53" s="162">
        <f t="shared" si="1"/>
        <v>8</v>
      </c>
      <c r="T53" s="259"/>
      <c r="U53" s="270">
        <f>S53*R53*(100-P53)/100</f>
        <v>4000000</v>
      </c>
      <c r="V53" s="386">
        <f>Q53+((S53-8)*R53)</f>
        <v>3000000</v>
      </c>
      <c r="W53" s="90"/>
      <c r="X53" s="91"/>
      <c r="Y53" s="90"/>
    </row>
    <row r="54" spans="1:25" s="82" customFormat="1" ht="247">
      <c r="A54" s="81">
        <f t="shared" si="5"/>
        <v>48</v>
      </c>
      <c r="B54" s="81">
        <v>45</v>
      </c>
      <c r="C54" s="258">
        <v>4286</v>
      </c>
      <c r="D54" s="259" t="s">
        <v>32</v>
      </c>
      <c r="E54" s="403">
        <v>44965</v>
      </c>
      <c r="F54" s="86">
        <v>1345</v>
      </c>
      <c r="G54" s="86">
        <v>1715</v>
      </c>
      <c r="H54" s="261" t="s">
        <v>1104</v>
      </c>
      <c r="I54" s="140" t="s">
        <v>35</v>
      </c>
      <c r="J54" s="140" t="s">
        <v>36</v>
      </c>
      <c r="K54" s="315">
        <v>6</v>
      </c>
      <c r="L54" s="261" t="s">
        <v>47</v>
      </c>
      <c r="M54" s="405"/>
      <c r="N54" s="407" t="s">
        <v>1105</v>
      </c>
      <c r="O54" s="454" t="s">
        <v>40</v>
      </c>
      <c r="P54" s="261"/>
      <c r="Q54" s="275"/>
      <c r="R54" s="275">
        <v>950000</v>
      </c>
      <c r="S54" s="162">
        <f>(1725-1375)/100</f>
        <v>3.5</v>
      </c>
      <c r="T54" s="94"/>
      <c r="U54" s="122">
        <f t="shared" si="10"/>
        <v>3325000</v>
      </c>
      <c r="V54" s="347">
        <f>Q54+((S54-0)*R54)</f>
        <v>3325000</v>
      </c>
      <c r="X54" s="386">
        <f>(Q54+((S54-0)*R54))*((100-P54)/100)</f>
        <v>3325000</v>
      </c>
    </row>
    <row r="55" spans="1:25" s="82" customFormat="1" ht="130">
      <c r="A55" s="81">
        <f t="shared" si="5"/>
        <v>49</v>
      </c>
      <c r="B55" s="81">
        <v>46</v>
      </c>
      <c r="C55" s="258">
        <v>4284</v>
      </c>
      <c r="D55" s="259" t="s">
        <v>75</v>
      </c>
      <c r="E55" s="403">
        <v>44993</v>
      </c>
      <c r="F55" s="86">
        <v>1400</v>
      </c>
      <c r="G55" s="86">
        <v>1800</v>
      </c>
      <c r="H55" s="261" t="s">
        <v>1106</v>
      </c>
      <c r="I55" s="140" t="s">
        <v>35</v>
      </c>
      <c r="J55" s="140" t="s">
        <v>36</v>
      </c>
      <c r="K55" s="315">
        <v>15</v>
      </c>
      <c r="L55" s="261" t="s">
        <v>1107</v>
      </c>
      <c r="M55" s="405"/>
      <c r="N55" s="407" t="s">
        <v>1108</v>
      </c>
      <c r="O55" s="454" t="s">
        <v>40</v>
      </c>
      <c r="P55" s="261"/>
      <c r="Q55" s="275">
        <f t="shared" ref="Q55:Q56" si="14">R55*3</f>
        <v>1500000</v>
      </c>
      <c r="R55" s="275">
        <v>500000</v>
      </c>
      <c r="S55" s="162">
        <f t="shared" si="1"/>
        <v>4</v>
      </c>
      <c r="T55" s="94"/>
      <c r="U55" s="122">
        <f t="shared" si="10"/>
        <v>2000000</v>
      </c>
      <c r="V55" s="386">
        <f t="shared" ref="V55:V56" si="15">Q55+((S55-4)*R55)</f>
        <v>1500000</v>
      </c>
    </row>
    <row r="56" spans="1:25" s="82" customFormat="1" ht="130">
      <c r="A56" s="81">
        <f t="shared" si="5"/>
        <v>50</v>
      </c>
      <c r="B56" s="81">
        <v>47</v>
      </c>
      <c r="C56" s="258">
        <v>4283</v>
      </c>
      <c r="D56" s="259" t="s">
        <v>43</v>
      </c>
      <c r="E56" s="403">
        <v>44993</v>
      </c>
      <c r="F56" s="86">
        <v>1400</v>
      </c>
      <c r="G56" s="86">
        <v>1800</v>
      </c>
      <c r="H56" s="261" t="s">
        <v>1106</v>
      </c>
      <c r="I56" s="140" t="s">
        <v>35</v>
      </c>
      <c r="J56" s="140" t="s">
        <v>36</v>
      </c>
      <c r="K56" s="315">
        <v>15</v>
      </c>
      <c r="L56" s="261" t="s">
        <v>1107</v>
      </c>
      <c r="M56" s="405"/>
      <c r="N56" s="407" t="s">
        <v>1109</v>
      </c>
      <c r="O56" s="454" t="s">
        <v>40</v>
      </c>
      <c r="P56" s="261"/>
      <c r="Q56" s="275">
        <f t="shared" si="14"/>
        <v>1500000</v>
      </c>
      <c r="R56" s="275">
        <v>500000</v>
      </c>
      <c r="S56" s="162">
        <f t="shared" si="1"/>
        <v>4</v>
      </c>
      <c r="T56" s="94"/>
      <c r="U56" s="270">
        <f t="shared" si="10"/>
        <v>2000000</v>
      </c>
      <c r="V56" s="386">
        <f t="shared" si="15"/>
        <v>1500000</v>
      </c>
    </row>
    <row r="57" spans="1:25" s="82" customFormat="1" ht="29.15" customHeight="1">
      <c r="A57" s="81">
        <f t="shared" si="5"/>
        <v>51</v>
      </c>
      <c r="B57" s="81">
        <v>48</v>
      </c>
      <c r="C57" s="258">
        <v>4282</v>
      </c>
      <c r="D57" s="259" t="s">
        <v>43</v>
      </c>
      <c r="E57" s="403">
        <v>44965</v>
      </c>
      <c r="F57" s="86">
        <v>1000</v>
      </c>
      <c r="G57" s="86">
        <v>1200</v>
      </c>
      <c r="H57" s="261" t="s">
        <v>1110</v>
      </c>
      <c r="I57" s="140" t="s">
        <v>35</v>
      </c>
      <c r="J57" s="140" t="s">
        <v>36</v>
      </c>
      <c r="K57" s="315">
        <v>6</v>
      </c>
      <c r="L57" s="261" t="s">
        <v>47</v>
      </c>
      <c r="M57" s="405"/>
      <c r="N57" s="407" t="s">
        <v>1111</v>
      </c>
      <c r="O57" s="454" t="s">
        <v>40</v>
      </c>
      <c r="P57" s="261"/>
      <c r="Q57" s="415"/>
      <c r="R57" s="275">
        <v>500000</v>
      </c>
      <c r="S57" s="162">
        <f t="shared" si="1"/>
        <v>2</v>
      </c>
      <c r="T57" s="88"/>
      <c r="U57" s="122">
        <f t="shared" si="10"/>
        <v>1000000</v>
      </c>
      <c r="V57" s="386">
        <f>Q57+((S57-0)*R57)</f>
        <v>1000000</v>
      </c>
      <c r="W57" s="90"/>
      <c r="X57" s="386">
        <f t="shared" ref="X57:X60" si="16">(Q57+((S57-0)*R57))*((100-P57)/100)</f>
        <v>1000000</v>
      </c>
      <c r="Y57" s="90"/>
    </row>
    <row r="58" spans="1:25" s="82" customFormat="1" ht="234">
      <c r="A58" s="81">
        <f t="shared" si="5"/>
        <v>52</v>
      </c>
      <c r="B58" s="81">
        <v>49</v>
      </c>
      <c r="C58" s="258">
        <v>4233</v>
      </c>
      <c r="D58" s="259" t="s">
        <v>32</v>
      </c>
      <c r="E58" s="404">
        <v>44993</v>
      </c>
      <c r="F58" s="86">
        <v>1600</v>
      </c>
      <c r="G58" s="86">
        <v>1800</v>
      </c>
      <c r="H58" s="261" t="s">
        <v>1112</v>
      </c>
      <c r="I58" s="140" t="s">
        <v>35</v>
      </c>
      <c r="J58" s="140" t="s">
        <v>36</v>
      </c>
      <c r="K58" s="315">
        <v>12</v>
      </c>
      <c r="L58" s="261" t="s">
        <v>47</v>
      </c>
      <c r="M58" s="408"/>
      <c r="N58" s="409" t="s">
        <v>1113</v>
      </c>
      <c r="O58" s="454" t="s">
        <v>40</v>
      </c>
      <c r="P58" s="261"/>
      <c r="Q58" s="415"/>
      <c r="R58" s="275">
        <v>950000</v>
      </c>
      <c r="S58" s="162">
        <f t="shared" si="1"/>
        <v>2</v>
      </c>
      <c r="T58" s="94"/>
      <c r="U58" s="270">
        <f t="shared" si="10"/>
        <v>1900000</v>
      </c>
      <c r="V58" s="386">
        <f>Q58+((S58-0)*R58)</f>
        <v>1900000</v>
      </c>
      <c r="X58" s="386">
        <f t="shared" si="16"/>
        <v>1900000</v>
      </c>
    </row>
    <row r="59" spans="1:25" s="82" customFormat="1" ht="13">
      <c r="A59" s="81">
        <f t="shared" si="5"/>
        <v>53</v>
      </c>
      <c r="B59" s="81">
        <v>50</v>
      </c>
      <c r="C59" s="103">
        <v>4340</v>
      </c>
      <c r="D59" s="94" t="s">
        <v>43</v>
      </c>
      <c r="E59" s="102" t="s">
        <v>1114</v>
      </c>
      <c r="F59" s="86">
        <v>1330</v>
      </c>
      <c r="G59" s="86">
        <v>1430</v>
      </c>
      <c r="H59" s="94" t="s">
        <v>1115</v>
      </c>
      <c r="I59" s="140" t="s">
        <v>35</v>
      </c>
      <c r="J59" s="140" t="s">
        <v>36</v>
      </c>
      <c r="K59" s="316">
        <v>6</v>
      </c>
      <c r="L59" s="414" t="s">
        <v>47</v>
      </c>
      <c r="M59" s="354"/>
      <c r="N59" s="456" t="s">
        <v>1116</v>
      </c>
      <c r="O59" s="349" t="s">
        <v>40</v>
      </c>
      <c r="P59" s="261"/>
      <c r="Q59" s="416"/>
      <c r="R59" s="275">
        <v>500000</v>
      </c>
      <c r="S59" s="162">
        <f t="shared" si="1"/>
        <v>1</v>
      </c>
      <c r="T59" s="94"/>
      <c r="U59" s="270">
        <f t="shared" si="10"/>
        <v>500000</v>
      </c>
      <c r="V59" s="386">
        <f t="shared" ref="V59:V61" si="17">Q59+((S59-0)*R59)</f>
        <v>500000</v>
      </c>
      <c r="X59" s="386">
        <f t="shared" si="16"/>
        <v>500000</v>
      </c>
    </row>
    <row r="60" spans="1:25" s="82" customFormat="1" ht="13">
      <c r="A60" s="81">
        <f t="shared" si="5"/>
        <v>54</v>
      </c>
      <c r="B60" s="81">
        <v>51</v>
      </c>
      <c r="C60" s="103">
        <v>4337</v>
      </c>
      <c r="D60" s="94" t="s">
        <v>43</v>
      </c>
      <c r="E60" s="102" t="s">
        <v>1114</v>
      </c>
      <c r="F60" s="86">
        <v>1500</v>
      </c>
      <c r="G60" s="86">
        <v>1600</v>
      </c>
      <c r="H60" s="94" t="s">
        <v>1117</v>
      </c>
      <c r="I60" s="140" t="s">
        <v>35</v>
      </c>
      <c r="J60" s="140" t="s">
        <v>36</v>
      </c>
      <c r="K60" s="316">
        <v>6</v>
      </c>
      <c r="L60" s="297" t="s">
        <v>47</v>
      </c>
      <c r="M60" s="132"/>
      <c r="N60" s="281" t="s">
        <v>1118</v>
      </c>
      <c r="O60" s="349" t="s">
        <v>40</v>
      </c>
      <c r="P60" s="261"/>
      <c r="Q60" s="275"/>
      <c r="R60" s="275">
        <v>500000</v>
      </c>
      <c r="S60" s="162">
        <f t="shared" si="1"/>
        <v>1</v>
      </c>
      <c r="T60" s="94"/>
      <c r="U60" s="270">
        <f t="shared" si="10"/>
        <v>500000</v>
      </c>
      <c r="V60" s="386">
        <f t="shared" si="17"/>
        <v>500000</v>
      </c>
      <c r="X60" s="386">
        <f t="shared" si="16"/>
        <v>500000</v>
      </c>
    </row>
    <row r="61" spans="1:25" s="82" customFormat="1" ht="13">
      <c r="A61" s="81">
        <f t="shared" si="5"/>
        <v>55</v>
      </c>
      <c r="B61" s="81">
        <v>52</v>
      </c>
      <c r="C61" s="103">
        <v>4336</v>
      </c>
      <c r="D61" s="94" t="s">
        <v>43</v>
      </c>
      <c r="E61" s="102" t="s">
        <v>1114</v>
      </c>
      <c r="F61" s="86">
        <v>1500</v>
      </c>
      <c r="G61" s="86">
        <v>1615</v>
      </c>
      <c r="H61" s="94" t="s">
        <v>1117</v>
      </c>
      <c r="I61" s="140" t="s">
        <v>35</v>
      </c>
      <c r="J61" s="140" t="s">
        <v>36</v>
      </c>
      <c r="K61" s="316">
        <v>6</v>
      </c>
      <c r="L61" s="297" t="s">
        <v>47</v>
      </c>
      <c r="M61" s="132"/>
      <c r="N61" s="281" t="s">
        <v>1119</v>
      </c>
      <c r="O61" s="349" t="s">
        <v>174</v>
      </c>
      <c r="P61" s="261"/>
      <c r="Q61" s="275"/>
      <c r="R61" s="275">
        <v>500000</v>
      </c>
      <c r="S61" s="162">
        <f>(1625-F61)/100</f>
        <v>1.25</v>
      </c>
      <c r="T61" s="94"/>
      <c r="U61" s="270">
        <f t="shared" si="10"/>
        <v>625000</v>
      </c>
      <c r="V61" s="386">
        <f t="shared" si="17"/>
        <v>625000</v>
      </c>
    </row>
    <row r="62" spans="1:25" s="82" customFormat="1" ht="13">
      <c r="A62" s="81">
        <f t="shared" si="5"/>
        <v>56</v>
      </c>
      <c r="B62" s="81">
        <v>53</v>
      </c>
      <c r="C62" s="103">
        <v>4335</v>
      </c>
      <c r="D62" s="94" t="s">
        <v>32</v>
      </c>
      <c r="E62" s="102" t="s">
        <v>1114</v>
      </c>
      <c r="F62" s="86">
        <v>1700</v>
      </c>
      <c r="G62" s="86">
        <v>1900</v>
      </c>
      <c r="H62" s="94" t="s">
        <v>1120</v>
      </c>
      <c r="I62" s="140" t="s">
        <v>35</v>
      </c>
      <c r="J62" s="140" t="s">
        <v>36</v>
      </c>
      <c r="K62" s="316">
        <v>12</v>
      </c>
      <c r="L62" s="297" t="s">
        <v>47</v>
      </c>
      <c r="M62" s="132"/>
      <c r="N62" s="281" t="s">
        <v>1121</v>
      </c>
      <c r="O62" s="457" t="s">
        <v>40</v>
      </c>
      <c r="P62" s="261"/>
      <c r="Q62" s="275"/>
      <c r="R62" s="275">
        <v>950000</v>
      </c>
      <c r="S62" s="162">
        <f t="shared" si="1"/>
        <v>2</v>
      </c>
      <c r="T62" s="94"/>
      <c r="U62" s="122">
        <f t="shared" si="10"/>
        <v>1900000</v>
      </c>
      <c r="V62" s="386">
        <f>Q62+((S62-0)*R62)</f>
        <v>1900000</v>
      </c>
      <c r="X62" s="386">
        <f t="shared" ref="X62:X63" si="18">(Q62+((S62-0)*R62))*((100-P62)/100)</f>
        <v>1900000</v>
      </c>
    </row>
    <row r="63" spans="1:25" s="82" customFormat="1" ht="13">
      <c r="A63" s="81">
        <f t="shared" si="5"/>
        <v>57</v>
      </c>
      <c r="B63" s="81">
        <v>54</v>
      </c>
      <c r="C63" s="103">
        <v>4334</v>
      </c>
      <c r="D63" s="94" t="s">
        <v>32</v>
      </c>
      <c r="E63" s="102" t="s">
        <v>1114</v>
      </c>
      <c r="F63" s="86">
        <v>1300</v>
      </c>
      <c r="G63" s="86">
        <v>1500</v>
      </c>
      <c r="H63" s="94" t="s">
        <v>1120</v>
      </c>
      <c r="I63" s="140" t="s">
        <v>35</v>
      </c>
      <c r="J63" s="140" t="s">
        <v>36</v>
      </c>
      <c r="K63" s="316">
        <v>12</v>
      </c>
      <c r="L63" s="297" t="s">
        <v>47</v>
      </c>
      <c r="M63" s="132"/>
      <c r="N63" s="281" t="s">
        <v>1122</v>
      </c>
      <c r="O63" s="457" t="s">
        <v>40</v>
      </c>
      <c r="P63" s="261"/>
      <c r="Q63" s="275"/>
      <c r="R63" s="275">
        <v>950000</v>
      </c>
      <c r="S63" s="162">
        <f t="shared" si="1"/>
        <v>2</v>
      </c>
      <c r="T63" s="94"/>
      <c r="U63" s="122">
        <f t="shared" si="10"/>
        <v>1900000</v>
      </c>
      <c r="V63" s="386">
        <f>Q63+((S63-0)*R63)</f>
        <v>1900000</v>
      </c>
      <c r="X63" s="386">
        <f t="shared" si="18"/>
        <v>1900000</v>
      </c>
    </row>
    <row r="64" spans="1:25" s="82" customFormat="1" ht="13">
      <c r="A64" s="81">
        <f t="shared" si="5"/>
        <v>58</v>
      </c>
      <c r="B64" s="81">
        <v>1</v>
      </c>
      <c r="C64" s="103">
        <v>4343</v>
      </c>
      <c r="D64" s="94" t="s">
        <v>32</v>
      </c>
      <c r="E64" s="102" t="s">
        <v>1114</v>
      </c>
      <c r="F64" s="86">
        <v>1000</v>
      </c>
      <c r="G64" s="86">
        <v>1200</v>
      </c>
      <c r="H64" s="94" t="s">
        <v>1123</v>
      </c>
      <c r="I64" s="140" t="s">
        <v>259</v>
      </c>
      <c r="J64" s="140" t="s">
        <v>36</v>
      </c>
      <c r="K64" s="316">
        <v>12</v>
      </c>
      <c r="L64" s="297" t="s">
        <v>38</v>
      </c>
      <c r="M64" s="132"/>
      <c r="N64" s="281" t="s">
        <v>1124</v>
      </c>
      <c r="O64" s="457" t="s">
        <v>40</v>
      </c>
      <c r="P64" s="261">
        <v>100</v>
      </c>
      <c r="Q64" s="275"/>
      <c r="R64" s="275">
        <v>950000</v>
      </c>
      <c r="S64" s="162">
        <f t="shared" si="1"/>
        <v>2</v>
      </c>
      <c r="T64" s="94"/>
      <c r="U64" s="122">
        <f t="shared" si="10"/>
        <v>0</v>
      </c>
      <c r="V64" s="386">
        <f>Q64+((S64-0)*R64)*0</f>
        <v>0</v>
      </c>
    </row>
    <row r="65" spans="1:25" s="82" customFormat="1" ht="13">
      <c r="A65" s="94"/>
      <c r="B65" s="94"/>
      <c r="C65" s="94"/>
      <c r="D65" s="94"/>
      <c r="E65" s="103"/>
      <c r="F65" s="94"/>
      <c r="G65" s="94"/>
      <c r="H65" s="94"/>
      <c r="I65" s="140"/>
      <c r="J65" s="140"/>
      <c r="K65" s="94"/>
      <c r="L65" s="398"/>
      <c r="M65" s="94"/>
      <c r="N65" s="399"/>
      <c r="O65" s="282"/>
      <c r="P65" s="261"/>
      <c r="Q65" s="275"/>
      <c r="R65" s="83"/>
      <c r="S65" s="94"/>
      <c r="T65" s="94"/>
      <c r="U65" s="120" t="e">
        <f>SUBTOTAL(109,U7:U64)</f>
        <v>#VALUE!</v>
      </c>
      <c r="V65" s="123" t="e">
        <f>SUBTOTAL(109,V7:V64)</f>
        <v>#VALUE!</v>
      </c>
      <c r="Y65" s="376" t="e">
        <f>V65*1.1</f>
        <v>#VALUE!</v>
      </c>
    </row>
    <row r="66" spans="1:25" s="82" customFormat="1" ht="13">
      <c r="E66" s="104"/>
      <c r="I66" s="160"/>
      <c r="J66" s="160"/>
      <c r="N66" s="104"/>
      <c r="Q66" s="99"/>
      <c r="V66" s="99"/>
    </row>
    <row r="67" spans="1:25">
      <c r="N67" s="68"/>
      <c r="V67" s="98" t="e">
        <f>V65-V51-V52</f>
        <v>#VALUE!</v>
      </c>
    </row>
    <row r="68" spans="1:25">
      <c r="N68" s="68"/>
    </row>
    <row r="69" spans="1:25">
      <c r="N69" s="68"/>
      <c r="R69" s="356"/>
    </row>
    <row r="70" spans="1:25">
      <c r="N70" s="68"/>
      <c r="Q70" s="100"/>
      <c r="R70" s="356"/>
      <c r="V70" s="100"/>
    </row>
    <row r="71" spans="1:25">
      <c r="N71" s="68"/>
      <c r="Q71" s="100"/>
      <c r="V71" s="100"/>
    </row>
    <row r="72" spans="1:25">
      <c r="N72" s="68"/>
      <c r="Q72" s="100"/>
      <c r="V72" s="100"/>
    </row>
    <row r="73" spans="1:25">
      <c r="N73" s="68"/>
    </row>
    <row r="74" spans="1:25">
      <c r="N74" s="68"/>
    </row>
    <row r="75" spans="1:25">
      <c r="N75" s="68"/>
    </row>
    <row r="76" spans="1:25">
      <c r="N76" s="68"/>
    </row>
    <row r="77" spans="1:25">
      <c r="N77" s="68"/>
    </row>
    <row r="78" spans="1:25">
      <c r="N78" s="68"/>
    </row>
    <row r="79" spans="1:25">
      <c r="N79" s="68"/>
    </row>
    <row r="80" spans="1:25">
      <c r="N80" s="68"/>
    </row>
    <row r="81" spans="14:14">
      <c r="N81" s="68"/>
    </row>
    <row r="82" spans="14:14">
      <c r="N82" s="68"/>
    </row>
    <row r="83" spans="14:14">
      <c r="N83" s="68"/>
    </row>
    <row r="84" spans="14:14">
      <c r="N84" s="68"/>
    </row>
    <row r="85" spans="14:14">
      <c r="N85" s="68"/>
    </row>
  </sheetData>
  <autoFilter ref="A6:AE64" xr:uid="{1028D278-910A-4D41-890F-0D5DC76C3F25}"/>
  <pageMargins left="0.7" right="0.7" top="0.75" bottom="0.75" header="0.3" footer="0.3"/>
  <pageSetup scale="33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88461-55C2-4958-9440-32730E318D9A}">
  <sheetPr codeName="Sheet17"/>
  <dimension ref="A1:R9"/>
  <sheetViews>
    <sheetView zoomScale="70" zoomScaleNormal="70" workbookViewId="0">
      <selection activeCell="H12" sqref="H12"/>
    </sheetView>
  </sheetViews>
  <sheetFormatPr defaultRowHeight="14.5"/>
  <cols>
    <col min="8" max="8" width="11.7265625" customWidth="1"/>
  </cols>
  <sheetData>
    <row r="1" spans="1:18">
      <c r="A1" s="100"/>
      <c r="B1" s="100"/>
      <c r="C1" s="100"/>
      <c r="D1" s="100"/>
      <c r="E1" s="68"/>
      <c r="F1" s="100"/>
      <c r="G1" s="100"/>
      <c r="H1" s="100"/>
      <c r="I1" s="100"/>
      <c r="J1" s="100"/>
      <c r="K1" s="100"/>
      <c r="L1" s="100"/>
      <c r="M1" s="101"/>
      <c r="N1" s="100"/>
      <c r="O1" s="100"/>
      <c r="P1" s="100"/>
      <c r="Q1" s="100"/>
      <c r="R1" s="101"/>
    </row>
    <row r="2" spans="1:18" ht="21">
      <c r="A2" s="52" t="s">
        <v>0</v>
      </c>
      <c r="B2" s="52"/>
      <c r="C2" s="52"/>
      <c r="D2" s="52"/>
      <c r="E2" s="52"/>
      <c r="F2" s="52"/>
      <c r="G2" s="52"/>
      <c r="H2" s="52"/>
      <c r="I2" s="52"/>
      <c r="J2" s="390"/>
      <c r="K2" s="52"/>
      <c r="L2" s="52"/>
      <c r="M2" s="52"/>
      <c r="N2" s="52"/>
      <c r="O2" s="52"/>
      <c r="P2" s="52"/>
      <c r="Q2" s="52"/>
      <c r="R2" s="53"/>
    </row>
    <row r="3" spans="1:18">
      <c r="A3" s="60" t="s">
        <v>2</v>
      </c>
      <c r="B3" s="60"/>
      <c r="C3" s="60"/>
      <c r="D3" s="60"/>
      <c r="E3" s="60"/>
      <c r="F3" s="60"/>
      <c r="G3" s="60"/>
      <c r="H3" s="60"/>
      <c r="I3" s="60"/>
      <c r="J3" s="393"/>
      <c r="K3" s="60"/>
      <c r="L3" s="60"/>
      <c r="M3" s="60"/>
      <c r="N3" s="60"/>
      <c r="O3" s="60"/>
      <c r="P3" s="60"/>
      <c r="Q3" s="60"/>
      <c r="R3" s="61"/>
    </row>
    <row r="4" spans="1:18">
      <c r="A4" s="60" t="s">
        <v>1125</v>
      </c>
      <c r="B4" s="60"/>
      <c r="C4" s="60"/>
      <c r="D4" s="60"/>
      <c r="E4" s="60"/>
      <c r="F4" s="60"/>
      <c r="G4" s="60"/>
      <c r="H4" s="60"/>
      <c r="I4" s="60"/>
      <c r="J4" s="393"/>
      <c r="K4" s="60"/>
      <c r="L4" s="60"/>
      <c r="M4" s="60"/>
      <c r="N4" s="60"/>
      <c r="O4" s="60"/>
      <c r="P4" s="60"/>
      <c r="Q4" s="60"/>
      <c r="R4" s="61"/>
    </row>
    <row r="5" spans="1:18">
      <c r="A5" s="57"/>
      <c r="B5" s="57"/>
      <c r="C5" s="57"/>
      <c r="D5" s="66"/>
      <c r="E5" s="67"/>
      <c r="F5" s="67"/>
      <c r="G5" s="67"/>
      <c r="H5" s="66"/>
      <c r="I5" s="66"/>
      <c r="J5" s="59"/>
      <c r="K5" s="68"/>
      <c r="L5" s="66"/>
      <c r="M5" s="69"/>
      <c r="N5" s="56"/>
      <c r="O5" s="56"/>
      <c r="P5" s="56"/>
      <c r="Q5" s="67"/>
      <c r="R5" s="69"/>
    </row>
    <row r="6" spans="1:18" ht="65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34" t="s">
        <v>16</v>
      </c>
      <c r="J6" s="134" t="s">
        <v>17</v>
      </c>
      <c r="K6" s="320" t="s">
        <v>19</v>
      </c>
      <c r="L6" s="134" t="s">
        <v>20</v>
      </c>
      <c r="M6" s="321" t="s">
        <v>21</v>
      </c>
      <c r="N6" s="74" t="s">
        <v>22</v>
      </c>
      <c r="O6" s="74" t="s">
        <v>23</v>
      </c>
      <c r="P6" s="74" t="s">
        <v>24</v>
      </c>
      <c r="Q6" s="78" t="s">
        <v>25</v>
      </c>
      <c r="R6" s="134" t="s">
        <v>26</v>
      </c>
    </row>
    <row r="7" spans="1:18" s="468" customFormat="1" ht="52">
      <c r="A7" s="364"/>
      <c r="B7" s="364"/>
      <c r="C7" s="365" t="s">
        <v>61</v>
      </c>
      <c r="D7" s="366" t="s">
        <v>198</v>
      </c>
      <c r="E7" s="458" t="s">
        <v>1126</v>
      </c>
      <c r="F7" s="368" t="s">
        <v>1127</v>
      </c>
      <c r="G7" s="368" t="s">
        <v>1128</v>
      </c>
      <c r="H7" s="459" t="s">
        <v>1129</v>
      </c>
      <c r="I7" s="460"/>
      <c r="J7" s="461" t="s">
        <v>1130</v>
      </c>
      <c r="K7" s="462" t="s">
        <v>547</v>
      </c>
      <c r="L7" s="369"/>
      <c r="M7" s="463"/>
      <c r="N7" s="464"/>
      <c r="O7" s="465"/>
      <c r="P7" s="366"/>
      <c r="Q7" s="466"/>
      <c r="R7" s="467"/>
    </row>
    <row r="8" spans="1:18">
      <c r="A8" s="81"/>
      <c r="B8" s="81"/>
      <c r="C8" s="94"/>
      <c r="D8" s="259"/>
      <c r="E8" s="258"/>
      <c r="F8" s="86"/>
      <c r="G8" s="86"/>
      <c r="H8" s="94"/>
      <c r="I8" s="412"/>
      <c r="J8" s="355"/>
      <c r="K8" s="433"/>
      <c r="L8" s="94"/>
      <c r="M8" s="415"/>
      <c r="N8" s="275"/>
      <c r="O8" s="162"/>
      <c r="P8" s="94"/>
      <c r="Q8" s="270"/>
      <c r="R8" s="386"/>
    </row>
    <row r="9" spans="1:18">
      <c r="A9" s="81"/>
      <c r="B9" s="81"/>
      <c r="C9" s="258"/>
      <c r="D9" s="259"/>
      <c r="E9" s="258"/>
      <c r="F9" s="86"/>
      <c r="G9" s="86"/>
      <c r="H9" s="261"/>
      <c r="I9" s="412"/>
      <c r="J9" s="355"/>
      <c r="K9" s="433"/>
      <c r="L9" s="261"/>
      <c r="M9" s="415"/>
      <c r="N9" s="275"/>
      <c r="O9" s="162"/>
      <c r="P9" s="259"/>
      <c r="Q9" s="270"/>
      <c r="R9" s="386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E965D-8CA0-4714-9DE8-6C8A065030D0}">
  <sheetPr codeName="Sheet18"/>
  <dimension ref="A1:Y9"/>
  <sheetViews>
    <sheetView topLeftCell="A6" zoomScale="70" zoomScaleNormal="70" workbookViewId="0">
      <selection activeCell="B13" sqref="B13"/>
    </sheetView>
  </sheetViews>
  <sheetFormatPr defaultRowHeight="14.5"/>
  <cols>
    <col min="5" max="5" width="12" customWidth="1"/>
    <col min="8" max="8" width="11.7265625" customWidth="1"/>
    <col min="10" max="10" width="17.453125" customWidth="1"/>
  </cols>
  <sheetData>
    <row r="1" spans="1:25">
      <c r="A1" s="100"/>
      <c r="B1" s="100"/>
      <c r="C1" s="100"/>
      <c r="D1" s="100"/>
      <c r="E1" s="68"/>
      <c r="F1" s="100"/>
      <c r="G1" s="100"/>
      <c r="H1" s="100"/>
      <c r="I1" s="100"/>
      <c r="J1" s="100"/>
      <c r="K1" s="100"/>
      <c r="L1" s="100"/>
      <c r="M1" s="101"/>
      <c r="N1" s="100"/>
      <c r="O1" s="100"/>
      <c r="P1" s="100"/>
      <c r="Q1" s="100"/>
      <c r="R1" s="101"/>
      <c r="S1" s="100"/>
      <c r="T1" s="100"/>
      <c r="U1" s="100"/>
      <c r="V1" s="100"/>
      <c r="W1" s="100"/>
      <c r="X1" s="100"/>
      <c r="Y1" s="100"/>
    </row>
    <row r="2" spans="1:25" ht="21">
      <c r="A2" s="52" t="s">
        <v>0</v>
      </c>
      <c r="B2" s="52"/>
      <c r="C2" s="52"/>
      <c r="D2" s="52"/>
      <c r="E2" s="52"/>
      <c r="F2" s="52"/>
      <c r="G2" s="52"/>
      <c r="H2" s="52"/>
      <c r="I2" s="52"/>
      <c r="J2" s="390"/>
      <c r="K2" s="52"/>
      <c r="L2" s="52"/>
      <c r="M2" s="52"/>
      <c r="N2" s="52"/>
      <c r="O2" s="52"/>
      <c r="P2" s="52"/>
      <c r="Q2" s="52"/>
      <c r="R2" s="53"/>
      <c r="S2" s="54"/>
      <c r="T2" s="52"/>
      <c r="U2" s="120">
        <v>48787500</v>
      </c>
      <c r="V2" s="56"/>
      <c r="W2" s="57"/>
      <c r="X2" s="57"/>
      <c r="Y2" s="57"/>
    </row>
    <row r="3" spans="1:25">
      <c r="A3" s="60" t="s">
        <v>2</v>
      </c>
      <c r="B3" s="60"/>
      <c r="C3" s="60"/>
      <c r="D3" s="60"/>
      <c r="E3" s="60"/>
      <c r="F3" s="60"/>
      <c r="G3" s="60"/>
      <c r="H3" s="60"/>
      <c r="I3" s="60"/>
      <c r="J3" s="393"/>
      <c r="K3" s="60"/>
      <c r="L3" s="60"/>
      <c r="M3" s="60"/>
      <c r="N3" s="60"/>
      <c r="O3" s="60"/>
      <c r="P3" s="60"/>
      <c r="Q3" s="60"/>
      <c r="R3" s="61"/>
      <c r="S3" s="62"/>
      <c r="T3" s="60"/>
      <c r="U3" s="63"/>
      <c r="V3" s="56"/>
      <c r="W3" s="57"/>
      <c r="X3" s="57"/>
      <c r="Y3" s="57"/>
    </row>
    <row r="4" spans="1:25">
      <c r="A4" s="60" t="s">
        <v>1131</v>
      </c>
      <c r="B4" s="60"/>
      <c r="C4" s="60"/>
      <c r="D4" s="60"/>
      <c r="E4" s="60"/>
      <c r="F4" s="60"/>
      <c r="G4" s="60"/>
      <c r="H4" s="60"/>
      <c r="I4" s="60"/>
      <c r="J4" s="393"/>
      <c r="K4" s="60"/>
      <c r="L4" s="60"/>
      <c r="M4" s="60"/>
      <c r="N4" s="60"/>
      <c r="O4" s="60"/>
      <c r="P4" s="60"/>
      <c r="Q4" s="60"/>
      <c r="R4" s="61"/>
      <c r="S4" s="62"/>
      <c r="T4" s="60"/>
      <c r="U4" s="63"/>
      <c r="V4" s="56"/>
      <c r="W4" s="57"/>
      <c r="X4" s="57"/>
      <c r="Y4" s="57"/>
    </row>
    <row r="5" spans="1:25">
      <c r="A5" s="57"/>
      <c r="B5" s="57"/>
      <c r="C5" s="57"/>
      <c r="D5" s="66"/>
      <c r="E5" s="67"/>
      <c r="F5" s="67"/>
      <c r="G5" s="67"/>
      <c r="H5" s="66"/>
      <c r="I5" s="66"/>
      <c r="J5" s="59"/>
      <c r="K5" s="68"/>
      <c r="L5" s="66"/>
      <c r="M5" s="69"/>
      <c r="N5" s="56"/>
      <c r="O5" s="56"/>
      <c r="P5" s="56"/>
      <c r="Q5" s="67"/>
      <c r="R5" s="69"/>
      <c r="S5" s="70"/>
      <c r="T5" s="56"/>
      <c r="U5" s="71"/>
      <c r="V5" s="56"/>
      <c r="W5" s="57"/>
      <c r="X5" s="57"/>
      <c r="Y5" s="57"/>
    </row>
    <row r="6" spans="1:25" ht="65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34" t="s">
        <v>16</v>
      </c>
      <c r="J6" s="134" t="s">
        <v>17</v>
      </c>
      <c r="K6" s="320" t="s">
        <v>19</v>
      </c>
      <c r="L6" s="134" t="s">
        <v>20</v>
      </c>
      <c r="M6" s="321" t="s">
        <v>21</v>
      </c>
      <c r="N6" s="74" t="s">
        <v>22</v>
      </c>
      <c r="O6" s="74" t="s">
        <v>23</v>
      </c>
      <c r="P6" s="74" t="s">
        <v>24</v>
      </c>
      <c r="Q6" s="78" t="s">
        <v>25</v>
      </c>
      <c r="R6" s="134" t="s">
        <v>26</v>
      </c>
      <c r="S6" s="79"/>
      <c r="T6" s="79"/>
      <c r="U6" s="79"/>
      <c r="V6" s="72" t="s">
        <v>27</v>
      </c>
      <c r="W6" s="80" t="s">
        <v>28</v>
      </c>
      <c r="X6" s="74" t="s">
        <v>29</v>
      </c>
      <c r="Y6" s="72" t="s">
        <v>30</v>
      </c>
    </row>
    <row r="7" spans="1:25" s="468" customFormat="1" ht="52">
      <c r="A7" s="364"/>
      <c r="B7" s="364"/>
      <c r="C7" s="365" t="s">
        <v>61</v>
      </c>
      <c r="D7" s="366" t="s">
        <v>198</v>
      </c>
      <c r="E7" s="458">
        <v>45026</v>
      </c>
      <c r="F7" s="368" t="s">
        <v>421</v>
      </c>
      <c r="G7" s="368" t="s">
        <v>422</v>
      </c>
      <c r="H7" s="459" t="s">
        <v>1132</v>
      </c>
      <c r="I7" s="460"/>
      <c r="J7" s="461" t="s">
        <v>1133</v>
      </c>
      <c r="K7" s="462" t="s">
        <v>547</v>
      </c>
      <c r="L7" s="369"/>
      <c r="M7" s="463"/>
      <c r="N7" s="464"/>
      <c r="O7" s="465"/>
      <c r="P7" s="366"/>
      <c r="Q7" s="466"/>
      <c r="R7" s="467"/>
      <c r="S7" s="473"/>
      <c r="T7" s="467"/>
      <c r="U7" s="473"/>
      <c r="V7" s="474"/>
      <c r="W7" s="474"/>
      <c r="X7" s="474"/>
      <c r="Y7" s="474"/>
    </row>
    <row r="8" spans="1:25" s="468" customFormat="1" ht="26">
      <c r="A8" s="364"/>
      <c r="B8" s="364"/>
      <c r="C8" s="476">
        <v>2</v>
      </c>
      <c r="D8" s="366" t="s">
        <v>1134</v>
      </c>
      <c r="E8" s="458">
        <v>45026</v>
      </c>
      <c r="F8" s="475" t="s">
        <v>562</v>
      </c>
      <c r="G8" s="475" t="s">
        <v>563</v>
      </c>
      <c r="H8" s="476" t="s">
        <v>892</v>
      </c>
      <c r="I8" s="460"/>
      <c r="J8" s="477"/>
      <c r="K8" s="462" t="s">
        <v>547</v>
      </c>
      <c r="L8" s="476" t="s">
        <v>323</v>
      </c>
      <c r="M8" s="463"/>
      <c r="N8" s="464"/>
      <c r="O8" s="465"/>
      <c r="P8" s="476"/>
      <c r="Q8" s="466"/>
      <c r="R8" s="467"/>
      <c r="S8" s="478"/>
      <c r="T8" s="467"/>
      <c r="U8" s="474"/>
      <c r="V8" s="474"/>
      <c r="W8" s="474"/>
      <c r="X8" s="474"/>
      <c r="Y8" s="474"/>
    </row>
    <row r="9" spans="1:25" s="468" customFormat="1" ht="39">
      <c r="A9" s="364"/>
      <c r="B9" s="364"/>
      <c r="C9" s="365"/>
      <c r="D9" s="366" t="s">
        <v>198</v>
      </c>
      <c r="E9" s="365" t="s">
        <v>1135</v>
      </c>
      <c r="F9" s="475" t="s">
        <v>418</v>
      </c>
      <c r="G9" s="475" t="s">
        <v>1136</v>
      </c>
      <c r="H9" s="369" t="s">
        <v>1137</v>
      </c>
      <c r="I9" s="460" t="s">
        <v>1138</v>
      </c>
      <c r="J9" s="477" t="s">
        <v>1139</v>
      </c>
      <c r="K9" s="462" t="s">
        <v>547</v>
      </c>
      <c r="L9" s="369"/>
      <c r="M9" s="463"/>
      <c r="N9" s="464"/>
      <c r="O9" s="465"/>
      <c r="P9" s="366"/>
      <c r="Q9" s="466"/>
      <c r="R9" s="467"/>
      <c r="S9" s="473"/>
      <c r="T9" s="467"/>
      <c r="U9" s="473"/>
      <c r="V9" s="474"/>
      <c r="W9" s="474"/>
      <c r="X9" s="474"/>
      <c r="Y9" s="474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09466-7F10-4A32-8A47-157C7FCBFEC6}">
  <sheetPr codeName="Sheet32">
    <pageSetUpPr fitToPage="1"/>
  </sheetPr>
  <dimension ref="A1:AG1048564"/>
  <sheetViews>
    <sheetView zoomScale="90" zoomScaleNormal="90" workbookViewId="0">
      <selection activeCell="E10" sqref="E10"/>
    </sheetView>
  </sheetViews>
  <sheetFormatPr defaultColWidth="9.1796875" defaultRowHeight="14.5" outlineLevelCol="1"/>
  <cols>
    <col min="1" max="1" width="16.1796875" style="837" customWidth="1"/>
    <col min="2" max="2" width="12.1796875" style="837" customWidth="1"/>
    <col min="3" max="3" width="9" style="837" bestFit="1" customWidth="1"/>
    <col min="4" max="4" width="27.26953125" style="837" customWidth="1"/>
    <col min="5" max="5" width="13.81640625" style="837" customWidth="1"/>
    <col min="6" max="6" width="11.453125" style="837" bestFit="1" customWidth="1"/>
    <col min="7" max="7" width="13.1796875" style="837" customWidth="1"/>
    <col min="8" max="8" width="23.54296875" style="837" customWidth="1" outlineLevel="1"/>
    <col min="9" max="9" width="13.81640625" style="837" customWidth="1" outlineLevel="1"/>
    <col min="10" max="10" width="12" style="837" customWidth="1" outlineLevel="1"/>
    <col min="11" max="11" width="11.54296875" style="837" customWidth="1" outlineLevel="1"/>
    <col min="12" max="12" width="19.26953125" style="837" customWidth="1" outlineLevel="1"/>
    <col min="13" max="13" width="15" style="837" customWidth="1"/>
    <col min="14" max="14" width="25.1796875" style="837" customWidth="1"/>
    <col min="15" max="15" width="12.54296875" style="837" customWidth="1"/>
    <col min="16" max="16" width="13.1796875" style="837" customWidth="1"/>
    <col min="17" max="17" width="15.54296875" style="1828" customWidth="1"/>
    <col min="18" max="18" width="13.54296875" style="837" bestFit="1" customWidth="1"/>
    <col min="19" max="19" width="13.26953125" style="837" customWidth="1"/>
    <col min="20" max="20" width="16.7265625" style="837" customWidth="1"/>
    <col min="21" max="21" width="15.453125" style="837" customWidth="1"/>
    <col min="22" max="22" width="22.26953125" style="837" customWidth="1"/>
    <col min="23" max="23" width="16.54296875" style="837" customWidth="1"/>
    <col min="24" max="24" width="19.453125" style="1828" customWidth="1"/>
    <col min="25" max="28" width="9.1796875" style="837" customWidth="1"/>
    <col min="29" max="16384" width="9.1796875" style="837"/>
  </cols>
  <sheetData>
    <row r="1" spans="1:33" s="1787" customFormat="1" ht="20.25" customHeight="1">
      <c r="A1" s="393" t="s">
        <v>2</v>
      </c>
      <c r="B1" s="394"/>
      <c r="C1" s="394"/>
      <c r="D1" s="394"/>
      <c r="E1" s="394"/>
      <c r="F1" s="394"/>
      <c r="G1" s="394"/>
      <c r="H1" s="394"/>
      <c r="I1" s="394"/>
      <c r="J1" s="394"/>
      <c r="K1" s="394"/>
      <c r="L1" s="394"/>
      <c r="M1" s="394"/>
      <c r="N1" s="394"/>
      <c r="O1" s="394"/>
      <c r="P1" s="394"/>
      <c r="Q1" s="394"/>
      <c r="R1" s="394"/>
      <c r="S1" s="394"/>
      <c r="T1" s="394"/>
      <c r="U1" s="394"/>
      <c r="V1" s="394"/>
      <c r="W1" s="394"/>
      <c r="X1" s="1788"/>
      <c r="Y1" s="67"/>
      <c r="Z1" s="67"/>
      <c r="AA1" s="67"/>
      <c r="AB1" s="67"/>
      <c r="AC1" s="1791"/>
      <c r="AD1" s="68" t="s">
        <v>3</v>
      </c>
      <c r="AE1" s="67"/>
      <c r="AF1" s="67"/>
      <c r="AG1" s="67"/>
    </row>
    <row r="2" spans="1:33" s="1787" customFormat="1" ht="20.25" customHeight="1">
      <c r="A2" s="2013" t="s">
        <v>1140</v>
      </c>
      <c r="B2" s="2014">
        <v>45413</v>
      </c>
      <c r="C2" s="2012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1788"/>
      <c r="Y2" s="67"/>
      <c r="Z2" s="67"/>
      <c r="AA2" s="67"/>
      <c r="AB2" s="67"/>
      <c r="AC2" s="1792"/>
      <c r="AD2" s="68" t="s">
        <v>5</v>
      </c>
      <c r="AE2" s="67"/>
      <c r="AF2" s="67"/>
      <c r="AG2" s="67"/>
    </row>
    <row r="3" spans="1:33" s="1787" customFormat="1" ht="20.25" customHeight="1">
      <c r="A3" s="2013" t="s">
        <v>1141</v>
      </c>
      <c r="B3" s="2014">
        <v>45443</v>
      </c>
      <c r="C3" s="2012"/>
      <c r="D3" s="394"/>
      <c r="E3" s="394"/>
      <c r="F3" s="394"/>
      <c r="G3" s="394"/>
      <c r="H3" s="394"/>
      <c r="I3" s="394"/>
      <c r="J3" s="394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4"/>
      <c r="W3" s="394"/>
      <c r="X3" s="1788"/>
      <c r="Y3" s="67"/>
      <c r="Z3" s="67"/>
      <c r="AA3" s="67"/>
      <c r="AB3" s="67"/>
      <c r="AC3" s="1792"/>
      <c r="AD3" s="68"/>
      <c r="AE3" s="67"/>
      <c r="AF3" s="67"/>
      <c r="AG3" s="67"/>
    </row>
    <row r="4" spans="1:33" s="1787" customFormat="1" ht="19.5" customHeight="1">
      <c r="A4" s="67"/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68"/>
      <c r="O4" s="68"/>
      <c r="P4" s="67"/>
      <c r="Q4" s="1793"/>
      <c r="R4" s="67"/>
      <c r="S4" s="67"/>
      <c r="T4" s="67"/>
      <c r="U4" s="67"/>
      <c r="V4" s="67"/>
      <c r="W4" s="67"/>
      <c r="X4" s="1793"/>
      <c r="Y4" s="67"/>
      <c r="Z4" s="67"/>
      <c r="AA4" s="67"/>
      <c r="AB4" s="67"/>
      <c r="AC4" s="67"/>
      <c r="AD4" s="67"/>
      <c r="AE4" s="67"/>
      <c r="AF4" s="67"/>
      <c r="AG4" s="67"/>
    </row>
    <row r="5" spans="1:33" s="1871" customFormat="1" ht="47.25" customHeight="1">
      <c r="A5" s="1950" t="s">
        <v>1142</v>
      </c>
      <c r="B5" s="1913" t="s">
        <v>6</v>
      </c>
      <c r="C5" s="1913" t="s">
        <v>7</v>
      </c>
      <c r="D5" s="1913" t="s">
        <v>8</v>
      </c>
      <c r="E5" s="1913" t="s">
        <v>9</v>
      </c>
      <c r="F5" s="1913" t="s">
        <v>10</v>
      </c>
      <c r="G5" s="1914" t="s">
        <v>11</v>
      </c>
      <c r="H5" s="1913" t="s">
        <v>1143</v>
      </c>
      <c r="I5" s="1913" t="s">
        <v>13</v>
      </c>
      <c r="J5" s="1914" t="s">
        <v>14</v>
      </c>
      <c r="K5" s="1914" t="s">
        <v>15</v>
      </c>
      <c r="L5" s="1914" t="s">
        <v>16</v>
      </c>
      <c r="M5" s="1914" t="s">
        <v>17</v>
      </c>
      <c r="N5" s="1913" t="s">
        <v>18</v>
      </c>
      <c r="O5" s="1915" t="s">
        <v>19</v>
      </c>
      <c r="P5" s="1914" t="s">
        <v>20</v>
      </c>
      <c r="Q5" s="1916" t="s">
        <v>21</v>
      </c>
      <c r="R5" s="1914" t="s">
        <v>22</v>
      </c>
      <c r="S5" s="1914" t="s">
        <v>23</v>
      </c>
      <c r="T5" s="1914" t="s">
        <v>1144</v>
      </c>
      <c r="U5" s="1914" t="s">
        <v>1145</v>
      </c>
      <c r="V5" s="1914" t="s">
        <v>24</v>
      </c>
      <c r="W5" s="1917" t="s">
        <v>25</v>
      </c>
      <c r="X5" s="1918" t="s">
        <v>1146</v>
      </c>
      <c r="Y5" s="1906" t="s">
        <v>27</v>
      </c>
      <c r="Z5" s="1869" t="s">
        <v>28</v>
      </c>
      <c r="AA5" s="1870" t="s">
        <v>29</v>
      </c>
      <c r="AB5" s="1867" t="s">
        <v>30</v>
      </c>
      <c r="AC5" s="1868"/>
      <c r="AD5" s="1868"/>
      <c r="AE5" s="1868"/>
      <c r="AF5" s="1868"/>
      <c r="AG5" s="1868"/>
    </row>
    <row r="6" spans="1:33" s="1817" customFormat="1" ht="26" hidden="1">
      <c r="A6" s="1951" t="s">
        <v>38</v>
      </c>
      <c r="B6" s="1919">
        <f t="shared" ref="B6:B32" si="0">ROW()-5</f>
        <v>1</v>
      </c>
      <c r="C6" s="1920"/>
      <c r="D6" s="410" t="s">
        <v>32</v>
      </c>
      <c r="E6" s="1921">
        <v>45481</v>
      </c>
      <c r="F6" s="1922">
        <v>0.5625</v>
      </c>
      <c r="G6" s="1922">
        <v>0.64583333333333337</v>
      </c>
      <c r="H6" s="1912" t="s">
        <v>1147</v>
      </c>
      <c r="I6" s="1912" t="s">
        <v>259</v>
      </c>
      <c r="J6" s="1912" t="s">
        <v>1148</v>
      </c>
      <c r="K6" s="1912" t="s">
        <v>1149</v>
      </c>
      <c r="L6" s="1912" t="s">
        <v>1150</v>
      </c>
      <c r="M6" s="1912" t="s">
        <v>1151</v>
      </c>
      <c r="N6" s="1912" t="s">
        <v>1152</v>
      </c>
      <c r="O6" s="1912" t="s">
        <v>547</v>
      </c>
      <c r="P6" s="1923"/>
      <c r="Q6" s="521">
        <f>IF((T6-U6)&gt;=8,R6*6,IF(AND((T6-U6)&lt;8,(T6-U6)&gt;=4),R6*3,0))</f>
        <v>0</v>
      </c>
      <c r="R6" s="521">
        <v>950000</v>
      </c>
      <c r="S6" s="520" t="str">
        <f t="shared" ref="S6:S15" si="1">TEXT(G6-F6,"h:mm")</f>
        <v>2:00</v>
      </c>
      <c r="T6" s="520">
        <f>HOUR(S6)+(MINUTE(S6)/60)</f>
        <v>2</v>
      </c>
      <c r="U6" s="520">
        <v>3</v>
      </c>
      <c r="V6" s="1923"/>
      <c r="W6" s="521">
        <f>T6*R6*(100-P6)/100</f>
        <v>1900000</v>
      </c>
      <c r="X6" s="1924">
        <f t="shared" ref="X6:X32" si="2">(Q6+(((T6-U6)-0)*R6))*((100-P6)/100)</f>
        <v>-950000</v>
      </c>
      <c r="Y6" s="1816"/>
      <c r="Z6" s="1952"/>
      <c r="AA6" s="1953"/>
      <c r="AB6" s="1816"/>
      <c r="AC6" s="1816"/>
      <c r="AD6" s="1816"/>
      <c r="AE6" s="1816"/>
      <c r="AF6" s="1816"/>
      <c r="AG6" s="1816"/>
    </row>
    <row r="7" spans="1:33" s="1817" customFormat="1" ht="26">
      <c r="A7" s="1951" t="s">
        <v>1153</v>
      </c>
      <c r="B7" s="1919">
        <f t="shared" si="0"/>
        <v>2</v>
      </c>
      <c r="C7" s="1925"/>
      <c r="D7" s="1912" t="s">
        <v>1154</v>
      </c>
      <c r="E7" s="1921">
        <v>45474</v>
      </c>
      <c r="F7" s="1922">
        <v>0.41666666666666669</v>
      </c>
      <c r="G7" s="1922">
        <v>0.54166666666666663</v>
      </c>
      <c r="H7" s="1912" t="s">
        <v>1155</v>
      </c>
      <c r="I7" s="1912" t="s">
        <v>35</v>
      </c>
      <c r="J7" s="1912" t="s">
        <v>1156</v>
      </c>
      <c r="K7" s="1912"/>
      <c r="L7" s="1912" t="s">
        <v>1157</v>
      </c>
      <c r="M7" s="1912" t="s">
        <v>1158</v>
      </c>
      <c r="N7" s="1912" t="s">
        <v>1159</v>
      </c>
      <c r="O7" s="1912" t="s">
        <v>1160</v>
      </c>
      <c r="P7" s="1926"/>
      <c r="Q7" s="521">
        <f>IF((T7-U7)&gt;=8,R7*6,IF(AND((T7-U7)&lt;8,(T7-U7)&gt;=4),R7*3,0))</f>
        <v>0</v>
      </c>
      <c r="R7" s="521">
        <v>2200000</v>
      </c>
      <c r="S7" s="520" t="str">
        <f t="shared" si="1"/>
        <v>3:00</v>
      </c>
      <c r="T7" s="520">
        <f t="shared" ref="T7:T32" si="3">HOUR(S7)+(MINUTE(S7)/60)</f>
        <v>3</v>
      </c>
      <c r="U7" s="520"/>
      <c r="V7" s="1925"/>
      <c r="W7" s="521">
        <f>T7*R7*(100-P7)/100</f>
        <v>6600000</v>
      </c>
      <c r="X7" s="1924">
        <f t="shared" si="2"/>
        <v>6600000</v>
      </c>
      <c r="Y7" s="1466"/>
      <c r="Z7" s="1466"/>
      <c r="AA7" s="1466"/>
      <c r="AB7" s="1466"/>
      <c r="AC7" s="1466"/>
      <c r="AD7" s="1466"/>
      <c r="AE7" s="1816"/>
      <c r="AF7" s="1816"/>
      <c r="AG7" s="1816"/>
    </row>
    <row r="8" spans="1:33" s="1817" customFormat="1" ht="39.75" customHeight="1">
      <c r="A8" s="1951" t="s">
        <v>1153</v>
      </c>
      <c r="B8" s="1919">
        <f>ROW()-5</f>
        <v>3</v>
      </c>
      <c r="C8" s="2303"/>
      <c r="D8" s="1912" t="s">
        <v>1154</v>
      </c>
      <c r="E8" s="1921">
        <v>45474</v>
      </c>
      <c r="F8" s="1922">
        <v>0.60416666666666663</v>
      </c>
      <c r="G8" s="1922">
        <v>0.6875</v>
      </c>
      <c r="H8" s="1912" t="s">
        <v>1155</v>
      </c>
      <c r="I8" s="1912" t="s">
        <v>35</v>
      </c>
      <c r="J8" s="1912" t="s">
        <v>1156</v>
      </c>
      <c r="K8" s="1912"/>
      <c r="L8" s="1912" t="s">
        <v>1157</v>
      </c>
      <c r="M8" s="1912" t="s">
        <v>2212</v>
      </c>
      <c r="N8" s="1912" t="s">
        <v>2213</v>
      </c>
      <c r="O8" s="1912" t="s">
        <v>1160</v>
      </c>
      <c r="P8" s="1926"/>
      <c r="Q8" s="521"/>
      <c r="R8" s="521"/>
      <c r="S8" s="2194"/>
      <c r="T8" s="2194">
        <f>HOUR(S8)+(MINUTE(S8)/60)</f>
        <v>0</v>
      </c>
      <c r="U8" s="2194"/>
      <c r="V8" s="2302"/>
      <c r="W8" s="521">
        <f>T8*R8*(100-P8)/100</f>
        <v>0</v>
      </c>
      <c r="X8" s="2196">
        <f>(Q8+(((T8-U8)-0)*R8))*((100-P8)/100)</f>
        <v>0</v>
      </c>
      <c r="Y8" s="1466"/>
      <c r="Z8" s="1466"/>
      <c r="AA8" s="1466"/>
      <c r="AB8" s="1466"/>
      <c r="AC8" s="1466"/>
      <c r="AD8" s="1466"/>
      <c r="AE8" s="1816"/>
      <c r="AF8" s="1816"/>
      <c r="AG8" s="1816"/>
    </row>
    <row r="9" spans="1:33" s="1817" customFormat="1" ht="52">
      <c r="A9" s="1951" t="s">
        <v>47</v>
      </c>
      <c r="B9" s="1919">
        <f t="shared" si="0"/>
        <v>4</v>
      </c>
      <c r="C9" s="292"/>
      <c r="D9" s="410" t="s">
        <v>32</v>
      </c>
      <c r="E9" s="2111">
        <v>45477</v>
      </c>
      <c r="F9" s="1922">
        <v>0.375</v>
      </c>
      <c r="G9" s="1922">
        <v>0.70833333333333337</v>
      </c>
      <c r="H9" s="1912" t="s">
        <v>1161</v>
      </c>
      <c r="I9" s="1912" t="s">
        <v>35</v>
      </c>
      <c r="J9" s="1912" t="s">
        <v>1162</v>
      </c>
      <c r="K9" s="1912"/>
      <c r="L9" s="1912" t="s">
        <v>1163</v>
      </c>
      <c r="M9" s="1748" t="s">
        <v>1164</v>
      </c>
      <c r="N9" s="1912" t="s">
        <v>1165</v>
      </c>
      <c r="O9" s="1912" t="s">
        <v>547</v>
      </c>
      <c r="P9" s="292"/>
      <c r="Q9" s="521">
        <f t="shared" ref="Q9:Q31" si="4">IF((T9-U9)&gt;=8,R9*6,IF(AND((T9-U9)&lt;8,(T9-U9)&gt;=4),R9*3,0))</f>
        <v>0</v>
      </c>
      <c r="R9" s="521"/>
      <c r="S9" s="520" t="str">
        <f t="shared" si="1"/>
        <v>8:00</v>
      </c>
      <c r="T9" s="520">
        <f t="shared" si="3"/>
        <v>8</v>
      </c>
      <c r="U9" s="520"/>
      <c r="V9" s="1954"/>
      <c r="W9" s="521">
        <f t="shared" ref="W9:W32" si="5">T9*R9*(100-P9)/100</f>
        <v>0</v>
      </c>
      <c r="X9" s="1924">
        <f t="shared" si="2"/>
        <v>0</v>
      </c>
      <c r="Y9" s="1955"/>
      <c r="Z9" s="1955"/>
      <c r="AA9" s="1955"/>
      <c r="AB9" s="1955"/>
      <c r="AC9" s="1955"/>
      <c r="AD9" s="1955"/>
      <c r="AE9" s="1816"/>
      <c r="AF9" s="1816"/>
      <c r="AG9" s="1816"/>
    </row>
    <row r="10" spans="1:33" s="1808" customFormat="1" ht="26">
      <c r="A10" s="1951" t="s">
        <v>47</v>
      </c>
      <c r="B10" s="1919">
        <f t="shared" si="0"/>
        <v>5</v>
      </c>
      <c r="C10" s="1920"/>
      <c r="D10" s="410" t="s">
        <v>32</v>
      </c>
      <c r="E10" s="1921">
        <v>45474</v>
      </c>
      <c r="F10" s="1922">
        <v>0.625</v>
      </c>
      <c r="G10" s="1922">
        <v>0.70833333333333337</v>
      </c>
      <c r="H10" s="1912" t="s">
        <v>1161</v>
      </c>
      <c r="I10" s="1912" t="s">
        <v>35</v>
      </c>
      <c r="J10" s="1912" t="s">
        <v>1166</v>
      </c>
      <c r="K10" s="1912"/>
      <c r="L10" s="1912"/>
      <c r="M10" s="1748" t="s">
        <v>1164</v>
      </c>
      <c r="N10" s="1912" t="s">
        <v>1167</v>
      </c>
      <c r="O10" s="1912" t="s">
        <v>547</v>
      </c>
      <c r="P10" s="280"/>
      <c r="Q10" s="521">
        <f t="shared" si="4"/>
        <v>0</v>
      </c>
      <c r="R10" s="521"/>
      <c r="S10" s="520" t="str">
        <f t="shared" si="1"/>
        <v>2:00</v>
      </c>
      <c r="T10" s="520">
        <f t="shared" si="3"/>
        <v>2</v>
      </c>
      <c r="U10" s="520"/>
      <c r="V10" s="280"/>
      <c r="W10" s="521">
        <f t="shared" si="5"/>
        <v>0</v>
      </c>
      <c r="X10" s="1924">
        <f t="shared" si="2"/>
        <v>0</v>
      </c>
      <c r="Y10" s="1807"/>
      <c r="Z10" s="1807"/>
      <c r="AA10" s="1807"/>
      <c r="AB10" s="1807"/>
      <c r="AC10" s="1807"/>
      <c r="AD10" s="1807"/>
      <c r="AE10" s="1807"/>
      <c r="AF10" s="1807"/>
      <c r="AG10" s="1807"/>
    </row>
    <row r="11" spans="1:33" s="1808" customFormat="1" ht="26">
      <c r="A11" s="1951" t="s">
        <v>47</v>
      </c>
      <c r="B11" s="1919">
        <f t="shared" si="0"/>
        <v>6</v>
      </c>
      <c r="C11" s="1920"/>
      <c r="D11" s="1907" t="s">
        <v>43</v>
      </c>
      <c r="E11" s="1921">
        <v>45477</v>
      </c>
      <c r="F11" s="1922">
        <v>0.625</v>
      </c>
      <c r="G11" s="1922">
        <v>0.6875</v>
      </c>
      <c r="H11" s="1912" t="s">
        <v>1161</v>
      </c>
      <c r="I11" s="1912" t="s">
        <v>35</v>
      </c>
      <c r="J11" s="1912" t="s">
        <v>1166</v>
      </c>
      <c r="K11" s="1912" t="s">
        <v>167</v>
      </c>
      <c r="L11" s="1912"/>
      <c r="M11" s="1748" t="s">
        <v>1164</v>
      </c>
      <c r="N11" s="1912" t="s">
        <v>1167</v>
      </c>
      <c r="O11" s="1912" t="s">
        <v>547</v>
      </c>
      <c r="P11" s="280"/>
      <c r="Q11" s="521">
        <f t="shared" si="4"/>
        <v>0</v>
      </c>
      <c r="R11" s="521"/>
      <c r="S11" s="520" t="str">
        <f t="shared" si="1"/>
        <v>1:30</v>
      </c>
      <c r="T11" s="520">
        <f t="shared" si="3"/>
        <v>1.5</v>
      </c>
      <c r="U11" s="520"/>
      <c r="V11" s="292"/>
      <c r="W11" s="521">
        <f t="shared" si="5"/>
        <v>0</v>
      </c>
      <c r="X11" s="1924">
        <f>(Q11+(((T11-U11)-8)*R11))*((100-P11)/100)</f>
        <v>0</v>
      </c>
      <c r="Y11" s="1807"/>
      <c r="Z11" s="1807"/>
      <c r="AA11" s="1807"/>
      <c r="AB11" s="1807"/>
      <c r="AC11" s="1807"/>
      <c r="AD11" s="1807"/>
      <c r="AE11" s="1807"/>
      <c r="AF11" s="1807"/>
      <c r="AG11" s="1807"/>
    </row>
    <row r="12" spans="1:33" s="1808" customFormat="1" ht="26">
      <c r="A12" s="1951" t="s">
        <v>47</v>
      </c>
      <c r="B12" s="1919">
        <f t="shared" si="0"/>
        <v>7</v>
      </c>
      <c r="C12" s="1920"/>
      <c r="D12" s="1907" t="s">
        <v>75</v>
      </c>
      <c r="E12" s="1921">
        <v>45477</v>
      </c>
      <c r="F12" s="1922">
        <v>0.625</v>
      </c>
      <c r="G12" s="1922">
        <v>0.6875</v>
      </c>
      <c r="H12" s="1912" t="s">
        <v>1161</v>
      </c>
      <c r="I12" s="1912" t="s">
        <v>35</v>
      </c>
      <c r="J12" s="1912" t="s">
        <v>1166</v>
      </c>
      <c r="K12" s="1912" t="s">
        <v>167</v>
      </c>
      <c r="L12" s="1912"/>
      <c r="M12" s="1748" t="s">
        <v>1164</v>
      </c>
      <c r="N12" s="1912" t="s">
        <v>1167</v>
      </c>
      <c r="O12" s="1912" t="s">
        <v>547</v>
      </c>
      <c r="P12" s="1927"/>
      <c r="Q12" s="521">
        <f t="shared" si="4"/>
        <v>0</v>
      </c>
      <c r="R12" s="521"/>
      <c r="S12" s="520" t="str">
        <f t="shared" si="1"/>
        <v>1:30</v>
      </c>
      <c r="T12" s="520">
        <f t="shared" si="3"/>
        <v>1.5</v>
      </c>
      <c r="U12" s="520"/>
      <c r="V12" s="1928"/>
      <c r="W12" s="521">
        <f t="shared" si="5"/>
        <v>0</v>
      </c>
      <c r="X12" s="1924">
        <f t="shared" si="2"/>
        <v>0</v>
      </c>
      <c r="Y12" s="1807"/>
      <c r="Z12" s="1807"/>
      <c r="AA12" s="1807"/>
      <c r="AB12" s="1807"/>
      <c r="AC12" s="1807"/>
      <c r="AD12" s="1807"/>
      <c r="AE12" s="1807"/>
      <c r="AF12" s="1807"/>
      <c r="AG12" s="1807"/>
    </row>
    <row r="13" spans="1:33" s="1808" customFormat="1" ht="13" hidden="1">
      <c r="A13" s="1951"/>
      <c r="B13" s="1919">
        <f t="shared" si="0"/>
        <v>8</v>
      </c>
      <c r="C13" s="1920"/>
      <c r="D13" s="1912"/>
      <c r="E13" s="1921"/>
      <c r="F13" s="1922"/>
      <c r="G13" s="1922"/>
      <c r="H13" s="1912"/>
      <c r="I13" s="1912"/>
      <c r="J13" s="1929"/>
      <c r="K13" s="1912"/>
      <c r="L13" s="1930"/>
      <c r="M13" s="1930"/>
      <c r="N13" s="1912"/>
      <c r="O13" s="1912"/>
      <c r="P13" s="1923"/>
      <c r="Q13" s="521">
        <f t="shared" si="4"/>
        <v>0</v>
      </c>
      <c r="R13" s="521"/>
      <c r="S13" s="520" t="str">
        <f t="shared" si="1"/>
        <v>0:00</v>
      </c>
      <c r="T13" s="520">
        <f t="shared" si="3"/>
        <v>0</v>
      </c>
      <c r="U13" s="520"/>
      <c r="V13" s="1923"/>
      <c r="W13" s="521">
        <f t="shared" si="5"/>
        <v>0</v>
      </c>
      <c r="X13" s="1924">
        <f t="shared" si="2"/>
        <v>0</v>
      </c>
      <c r="Y13" s="1816"/>
      <c r="Z13" s="1952"/>
      <c r="AA13" s="1953"/>
      <c r="AB13" s="1816"/>
      <c r="AC13" s="1816"/>
      <c r="AD13" s="1816"/>
      <c r="AE13" s="1807"/>
      <c r="AF13" s="1807"/>
      <c r="AG13" s="1807"/>
    </row>
    <row r="14" spans="1:33" s="1808" customFormat="1" ht="14.5" hidden="1" customHeight="1">
      <c r="A14" s="1951"/>
      <c r="B14" s="1919">
        <f t="shared" si="0"/>
        <v>9</v>
      </c>
      <c r="C14" s="1920"/>
      <c r="D14" s="1912"/>
      <c r="E14" s="1921"/>
      <c r="F14" s="1922"/>
      <c r="G14" s="1922"/>
      <c r="H14" s="1912"/>
      <c r="I14" s="1912"/>
      <c r="J14" s="1929"/>
      <c r="K14" s="1912"/>
      <c r="L14" s="1930"/>
      <c r="M14" s="1930"/>
      <c r="N14" s="1931"/>
      <c r="O14" s="1912"/>
      <c r="P14" s="280"/>
      <c r="Q14" s="521">
        <f t="shared" si="4"/>
        <v>0</v>
      </c>
      <c r="R14" s="521"/>
      <c r="S14" s="520" t="str">
        <f t="shared" si="1"/>
        <v>0:00</v>
      </c>
      <c r="T14" s="520">
        <f t="shared" si="3"/>
        <v>0</v>
      </c>
      <c r="U14" s="520"/>
      <c r="V14" s="280"/>
      <c r="W14" s="521">
        <f t="shared" si="5"/>
        <v>0</v>
      </c>
      <c r="X14" s="1932">
        <f t="shared" si="2"/>
        <v>0</v>
      </c>
      <c r="Y14" s="1807"/>
      <c r="Z14" s="1807"/>
      <c r="AA14" s="1807"/>
      <c r="AB14" s="1807"/>
      <c r="AC14" s="1807"/>
      <c r="AD14" s="1807"/>
      <c r="AE14" s="1807"/>
      <c r="AF14" s="1807"/>
      <c r="AG14" s="1807"/>
    </row>
    <row r="15" spans="1:33" s="1808" customFormat="1" ht="13" hidden="1">
      <c r="A15" s="1951"/>
      <c r="B15" s="1919">
        <f t="shared" si="0"/>
        <v>10</v>
      </c>
      <c r="C15" s="1920"/>
      <c r="D15" s="1912"/>
      <c r="E15" s="1921"/>
      <c r="F15" s="1922"/>
      <c r="G15" s="1922"/>
      <c r="H15" s="1912"/>
      <c r="I15" s="1912"/>
      <c r="J15" s="1929"/>
      <c r="K15" s="1912"/>
      <c r="L15" s="1930"/>
      <c r="M15" s="292"/>
      <c r="N15" s="1931"/>
      <c r="O15" s="1912"/>
      <c r="P15" s="1923"/>
      <c r="Q15" s="521">
        <f t="shared" si="4"/>
        <v>0</v>
      </c>
      <c r="R15" s="521"/>
      <c r="S15" s="520" t="str">
        <f t="shared" si="1"/>
        <v>0:00</v>
      </c>
      <c r="T15" s="520">
        <f t="shared" si="3"/>
        <v>0</v>
      </c>
      <c r="U15" s="520"/>
      <c r="V15" s="1923"/>
      <c r="W15" s="521">
        <f t="shared" si="5"/>
        <v>0</v>
      </c>
      <c r="X15" s="1932">
        <f t="shared" si="2"/>
        <v>0</v>
      </c>
      <c r="Y15" s="1816"/>
      <c r="Z15" s="1952"/>
      <c r="AA15" s="1953"/>
      <c r="AB15" s="1816"/>
      <c r="AC15" s="1816"/>
      <c r="AD15" s="1816"/>
      <c r="AE15" s="1807"/>
      <c r="AF15" s="1807"/>
      <c r="AG15" s="1807"/>
    </row>
    <row r="16" spans="1:33" s="1817" customFormat="1" ht="13" hidden="1">
      <c r="A16" s="1956"/>
      <c r="B16" s="1919">
        <f t="shared" si="0"/>
        <v>11</v>
      </c>
      <c r="C16" s="1920"/>
      <c r="D16" s="1912"/>
      <c r="E16" s="1921"/>
      <c r="F16" s="1922"/>
      <c r="G16" s="1922"/>
      <c r="H16" s="1912"/>
      <c r="I16" s="1912"/>
      <c r="J16" s="1933"/>
      <c r="K16" s="1912"/>
      <c r="L16" s="1934"/>
      <c r="M16" s="1934"/>
      <c r="N16" s="1935"/>
      <c r="O16" s="1912"/>
      <c r="P16" s="1920"/>
      <c r="Q16" s="521">
        <f t="shared" si="4"/>
        <v>0</v>
      </c>
      <c r="R16" s="521"/>
      <c r="S16" s="520" t="str">
        <f>TEXT(G16-F16,"h:mm")</f>
        <v>0:00</v>
      </c>
      <c r="T16" s="520">
        <f t="shared" si="3"/>
        <v>0</v>
      </c>
      <c r="U16" s="520"/>
      <c r="V16" s="1920"/>
      <c r="W16" s="521">
        <f t="shared" si="5"/>
        <v>0</v>
      </c>
      <c r="X16" s="1924">
        <f t="shared" si="2"/>
        <v>0</v>
      </c>
      <c r="Y16" s="1816"/>
      <c r="Z16" s="1816"/>
      <c r="AA16" s="1816"/>
      <c r="AB16" s="1816"/>
      <c r="AC16" s="1816"/>
      <c r="AD16" s="1816"/>
      <c r="AE16" s="1816"/>
      <c r="AF16" s="1816"/>
      <c r="AG16" s="1816"/>
    </row>
    <row r="17" spans="1:33" s="1808" customFormat="1" ht="13" hidden="1">
      <c r="A17" s="1956"/>
      <c r="B17" s="1919">
        <f t="shared" si="0"/>
        <v>12</v>
      </c>
      <c r="C17" s="1920"/>
      <c r="D17" s="1912"/>
      <c r="E17" s="1921"/>
      <c r="F17" s="1936"/>
      <c r="G17" s="1936"/>
      <c r="H17" s="1912"/>
      <c r="I17" s="1912"/>
      <c r="J17" s="1929"/>
      <c r="K17" s="1912"/>
      <c r="L17" s="1930"/>
      <c r="M17" s="1930"/>
      <c r="N17" s="1931"/>
      <c r="O17" s="1912"/>
      <c r="P17" s="521"/>
      <c r="Q17" s="521">
        <f t="shared" ref="Q17:Q32" si="6">IF((S17-T17)&gt;=8,R17*6,IF(AND((S17-T17)&lt;8,(S17-T17)&gt;=4),R17*3,0))</f>
        <v>0</v>
      </c>
      <c r="R17" s="521"/>
      <c r="S17" s="520" t="str">
        <f t="shared" ref="S17:S31" si="7">TEXT(G17-F17,"h:mm")</f>
        <v>0:00</v>
      </c>
      <c r="T17" s="520">
        <f t="shared" si="3"/>
        <v>0</v>
      </c>
      <c r="U17" s="520"/>
      <c r="V17" s="1920"/>
      <c r="W17" s="521">
        <f t="shared" si="5"/>
        <v>0</v>
      </c>
      <c r="X17" s="1924">
        <f t="shared" si="2"/>
        <v>0</v>
      </c>
      <c r="Y17" s="1807"/>
      <c r="Z17" s="1807"/>
      <c r="AA17" s="1807"/>
      <c r="AB17" s="1807"/>
      <c r="AC17" s="1807"/>
      <c r="AD17" s="1807"/>
      <c r="AE17" s="1807"/>
      <c r="AF17" s="1807"/>
      <c r="AG17" s="1807"/>
    </row>
    <row r="18" spans="1:33" s="1808" customFormat="1" hidden="1">
      <c r="A18" s="1956"/>
      <c r="B18" s="1919">
        <f t="shared" si="0"/>
        <v>13</v>
      </c>
      <c r="C18" s="1920"/>
      <c r="D18" s="1912"/>
      <c r="E18" s="1921"/>
      <c r="F18" s="1922"/>
      <c r="G18" s="1922"/>
      <c r="H18" s="1912"/>
      <c r="I18" s="1929"/>
      <c r="J18" s="1929"/>
      <c r="K18" s="1912"/>
      <c r="L18" s="292"/>
      <c r="M18" s="1930"/>
      <c r="N18" s="1931"/>
      <c r="O18" s="1912"/>
      <c r="P18" s="1027"/>
      <c r="Q18" s="521">
        <f t="shared" si="4"/>
        <v>0</v>
      </c>
      <c r="R18" s="521"/>
      <c r="S18" s="520" t="str">
        <f t="shared" si="7"/>
        <v>0:00</v>
      </c>
      <c r="T18" s="520">
        <f t="shared" si="3"/>
        <v>0</v>
      </c>
      <c r="U18" s="520"/>
      <c r="V18" s="1920"/>
      <c r="W18" s="521">
        <f t="shared" si="5"/>
        <v>0</v>
      </c>
      <c r="X18" s="1924">
        <f t="shared" si="2"/>
        <v>0</v>
      </c>
      <c r="Y18" s="1807"/>
      <c r="Z18" s="1807"/>
      <c r="AA18" s="1807"/>
      <c r="AB18" s="1807"/>
      <c r="AC18" s="1807"/>
      <c r="AD18" s="1807"/>
      <c r="AE18" s="1807"/>
      <c r="AF18" s="1807"/>
      <c r="AG18" s="1807"/>
    </row>
    <row r="19" spans="1:33" s="1808" customFormat="1" ht="13" hidden="1">
      <c r="A19" s="1956"/>
      <c r="B19" s="1919">
        <f t="shared" si="0"/>
        <v>14</v>
      </c>
      <c r="C19" s="1920"/>
      <c r="D19" s="1912"/>
      <c r="E19" s="1921"/>
      <c r="F19" s="1922"/>
      <c r="G19" s="1922"/>
      <c r="H19" s="1912"/>
      <c r="I19" s="1929"/>
      <c r="J19" s="1929"/>
      <c r="K19" s="1912"/>
      <c r="L19" s="1930"/>
      <c r="M19" s="1930"/>
      <c r="N19" s="1931"/>
      <c r="O19" s="1912"/>
      <c r="P19" s="1883"/>
      <c r="Q19" s="521">
        <f t="shared" si="4"/>
        <v>0</v>
      </c>
      <c r="R19" s="521"/>
      <c r="S19" s="520" t="str">
        <f t="shared" si="7"/>
        <v>0:00</v>
      </c>
      <c r="T19" s="520">
        <f t="shared" si="3"/>
        <v>0</v>
      </c>
      <c r="U19" s="520"/>
      <c r="V19" s="1883"/>
      <c r="W19" s="521">
        <f t="shared" si="5"/>
        <v>0</v>
      </c>
      <c r="X19" s="1924">
        <f t="shared" si="2"/>
        <v>0</v>
      </c>
      <c r="Y19" s="1807"/>
      <c r="Z19" s="1807"/>
      <c r="AA19" s="1807"/>
      <c r="AB19" s="1807"/>
      <c r="AC19" s="1807"/>
      <c r="AD19" s="1807"/>
      <c r="AE19" s="1807"/>
      <c r="AF19" s="1807"/>
      <c r="AG19" s="1807"/>
    </row>
    <row r="20" spans="1:33" s="1825" customFormat="1" ht="13" hidden="1">
      <c r="A20" s="1951"/>
      <c r="B20" s="1919">
        <f t="shared" si="0"/>
        <v>15</v>
      </c>
      <c r="C20" s="1920"/>
      <c r="D20" s="1912"/>
      <c r="E20" s="1921"/>
      <c r="F20" s="1922"/>
      <c r="G20" s="1922"/>
      <c r="H20" s="1912"/>
      <c r="I20" s="1912"/>
      <c r="J20" s="1929"/>
      <c r="K20" s="1912"/>
      <c r="L20" s="1930"/>
      <c r="M20" s="1912"/>
      <c r="N20" s="1931"/>
      <c r="O20" s="1912"/>
      <c r="P20" s="521"/>
      <c r="Q20" s="521">
        <f t="shared" si="6"/>
        <v>0</v>
      </c>
      <c r="R20" s="521"/>
      <c r="S20" s="520" t="str">
        <f t="shared" si="7"/>
        <v>0:00</v>
      </c>
      <c r="T20" s="520">
        <f t="shared" si="3"/>
        <v>0</v>
      </c>
      <c r="U20" s="520"/>
      <c r="V20" s="280"/>
      <c r="W20" s="521">
        <f t="shared" si="5"/>
        <v>0</v>
      </c>
      <c r="X20" s="1924">
        <f t="shared" si="2"/>
        <v>0</v>
      </c>
      <c r="Y20" s="104"/>
      <c r="Z20" s="104"/>
      <c r="AA20" s="104"/>
      <c r="AB20" s="104"/>
      <c r="AC20" s="104"/>
      <c r="AD20" s="104"/>
      <c r="AE20" s="104"/>
      <c r="AF20" s="104"/>
      <c r="AG20" s="104"/>
    </row>
    <row r="21" spans="1:33" s="1808" customFormat="1" ht="13" hidden="1">
      <c r="A21" s="1951"/>
      <c r="B21" s="1919">
        <f t="shared" si="0"/>
        <v>16</v>
      </c>
      <c r="C21" s="1082"/>
      <c r="D21" s="1912"/>
      <c r="E21" s="1937"/>
      <c r="F21" s="1922"/>
      <c r="G21" s="1922"/>
      <c r="H21" s="1082"/>
      <c r="I21" s="1912"/>
      <c r="J21" s="292"/>
      <c r="K21" s="1883"/>
      <c r="L21" s="1082"/>
      <c r="M21" s="1082"/>
      <c r="N21" s="1938"/>
      <c r="O21" s="1082"/>
      <c r="P21" s="280"/>
      <c r="Q21" s="521">
        <f t="shared" si="4"/>
        <v>0</v>
      </c>
      <c r="R21" s="521"/>
      <c r="S21" s="520" t="str">
        <f t="shared" si="7"/>
        <v>0:00</v>
      </c>
      <c r="T21" s="520">
        <f t="shared" si="3"/>
        <v>0</v>
      </c>
      <c r="U21" s="520"/>
      <c r="V21" s="280"/>
      <c r="W21" s="521">
        <f t="shared" si="5"/>
        <v>0</v>
      </c>
      <c r="X21" s="1924">
        <f t="shared" si="2"/>
        <v>0</v>
      </c>
      <c r="Y21" s="1807"/>
      <c r="Z21" s="1807"/>
      <c r="AA21" s="1807"/>
      <c r="AB21" s="1807"/>
      <c r="AC21" s="1807"/>
      <c r="AD21" s="1807"/>
      <c r="AE21" s="1807"/>
      <c r="AF21" s="1807"/>
      <c r="AG21" s="1807"/>
    </row>
    <row r="22" spans="1:33" s="1466" customFormat="1" hidden="1">
      <c r="A22" s="1951"/>
      <c r="B22" s="1919">
        <f t="shared" si="0"/>
        <v>17</v>
      </c>
      <c r="C22" s="1920"/>
      <c r="D22" s="1912"/>
      <c r="E22" s="1921"/>
      <c r="F22" s="1922"/>
      <c r="G22" s="1922"/>
      <c r="H22" s="1912"/>
      <c r="I22" s="1912"/>
      <c r="J22" s="1929"/>
      <c r="K22" s="1912"/>
      <c r="L22" s="1930"/>
      <c r="M22" s="1912"/>
      <c r="N22" s="1931"/>
      <c r="O22" s="1912"/>
      <c r="P22" s="1027"/>
      <c r="Q22" s="521">
        <f t="shared" si="6"/>
        <v>0</v>
      </c>
      <c r="R22" s="521"/>
      <c r="S22" s="520">
        <f t="shared" ref="S22:S32" si="8">(G22-F22)/100</f>
        <v>0</v>
      </c>
      <c r="T22" s="520">
        <f t="shared" si="3"/>
        <v>0</v>
      </c>
      <c r="U22" s="520"/>
      <c r="V22" s="1920"/>
      <c r="W22" s="521">
        <f t="shared" si="5"/>
        <v>0</v>
      </c>
      <c r="X22" s="1924">
        <f t="shared" si="2"/>
        <v>0</v>
      </c>
      <c r="Y22" s="1807"/>
      <c r="Z22" s="1807"/>
      <c r="AA22" s="1807"/>
      <c r="AB22" s="1807"/>
      <c r="AC22" s="1807"/>
      <c r="AD22" s="1807"/>
    </row>
    <row r="23" spans="1:33" s="1808" customFormat="1" hidden="1">
      <c r="A23" s="1951"/>
      <c r="B23" s="1919">
        <f t="shared" si="0"/>
        <v>18</v>
      </c>
      <c r="C23" s="1939"/>
      <c r="D23" s="1912"/>
      <c r="E23" s="1921"/>
      <c r="F23" s="1922"/>
      <c r="G23" s="1922"/>
      <c r="H23" s="1939"/>
      <c r="I23" s="1939"/>
      <c r="J23" s="1939"/>
      <c r="K23" s="1939"/>
      <c r="L23" s="1939"/>
      <c r="M23" s="1939"/>
      <c r="N23" s="1940"/>
      <c r="O23" s="1939"/>
      <c r="P23" s="520"/>
      <c r="Q23" s="521">
        <f t="shared" si="4"/>
        <v>0</v>
      </c>
      <c r="R23" s="521"/>
      <c r="S23" s="520" t="str">
        <f t="shared" si="7"/>
        <v>0:00</v>
      </c>
      <c r="T23" s="520">
        <f t="shared" si="3"/>
        <v>0</v>
      </c>
      <c r="U23" s="520"/>
      <c r="V23" s="292"/>
      <c r="W23" s="521">
        <f t="shared" si="5"/>
        <v>0</v>
      </c>
      <c r="X23" s="1924">
        <f t="shared" si="2"/>
        <v>0</v>
      </c>
      <c r="Y23" s="1807"/>
      <c r="Z23" s="1807"/>
      <c r="AA23" s="1807"/>
      <c r="AB23" s="1807"/>
      <c r="AC23" s="1807"/>
      <c r="AD23" s="1807"/>
      <c r="AE23" s="1807"/>
      <c r="AF23" s="1807"/>
      <c r="AG23" s="1807"/>
    </row>
    <row r="24" spans="1:33" s="1808" customFormat="1" hidden="1">
      <c r="A24" s="1951"/>
      <c r="B24" s="1919">
        <f t="shared" si="0"/>
        <v>19</v>
      </c>
      <c r="C24" s="1939"/>
      <c r="D24" s="1912"/>
      <c r="E24" s="1941"/>
      <c r="F24" s="1922"/>
      <c r="G24" s="1922"/>
      <c r="H24" s="1939"/>
      <c r="I24" s="1939"/>
      <c r="J24" s="1939"/>
      <c r="K24" s="1939"/>
      <c r="L24" s="1939"/>
      <c r="M24" s="1939"/>
      <c r="N24" s="1940"/>
      <c r="O24" s="1939"/>
      <c r="P24" s="1920"/>
      <c r="Q24" s="521">
        <f t="shared" si="4"/>
        <v>0</v>
      </c>
      <c r="R24" s="521"/>
      <c r="S24" s="520" t="str">
        <f t="shared" si="7"/>
        <v>0:00</v>
      </c>
      <c r="T24" s="520">
        <f t="shared" si="3"/>
        <v>0</v>
      </c>
      <c r="U24" s="520"/>
      <c r="V24" s="1883"/>
      <c r="W24" s="521">
        <f t="shared" si="5"/>
        <v>0</v>
      </c>
      <c r="X24" s="1924">
        <f t="shared" si="2"/>
        <v>0</v>
      </c>
      <c r="Y24" s="1807"/>
      <c r="Z24" s="1807"/>
      <c r="AA24" s="1807"/>
      <c r="AB24" s="1807"/>
      <c r="AC24" s="1807"/>
      <c r="AD24" s="1807"/>
      <c r="AE24" s="1807"/>
      <c r="AF24" s="1807"/>
      <c r="AG24" s="1807"/>
    </row>
    <row r="25" spans="1:33" s="1808" customFormat="1" hidden="1">
      <c r="A25" s="1951"/>
      <c r="B25" s="1919">
        <f t="shared" si="0"/>
        <v>20</v>
      </c>
      <c r="C25" s="1920"/>
      <c r="D25" s="1912"/>
      <c r="E25" s="1921"/>
      <c r="F25" s="1922"/>
      <c r="G25" s="1922"/>
      <c r="H25" s="1912"/>
      <c r="I25" s="1912"/>
      <c r="J25" s="1912"/>
      <c r="K25" s="1912"/>
      <c r="L25" s="1912"/>
      <c r="M25" s="1912"/>
      <c r="N25" s="1940"/>
      <c r="O25" s="1912"/>
      <c r="P25" s="280"/>
      <c r="Q25" s="521">
        <f t="shared" si="6"/>
        <v>0</v>
      </c>
      <c r="R25" s="521"/>
      <c r="S25" s="520">
        <f t="shared" si="8"/>
        <v>0</v>
      </c>
      <c r="T25" s="520">
        <f t="shared" si="3"/>
        <v>0</v>
      </c>
      <c r="U25" s="520"/>
      <c r="V25" s="280"/>
      <c r="W25" s="521">
        <f t="shared" si="5"/>
        <v>0</v>
      </c>
      <c r="X25" s="1924">
        <f t="shared" si="2"/>
        <v>0</v>
      </c>
      <c r="Y25" s="1807"/>
      <c r="Z25" s="1807"/>
      <c r="AA25" s="1807"/>
      <c r="AB25" s="1807"/>
      <c r="AC25" s="1807"/>
      <c r="AD25" s="1807"/>
      <c r="AE25" s="1807"/>
      <c r="AF25" s="1807"/>
      <c r="AG25" s="1807"/>
    </row>
    <row r="26" spans="1:33" s="1817" customFormat="1" hidden="1">
      <c r="A26" s="1951"/>
      <c r="B26" s="1919">
        <f t="shared" si="0"/>
        <v>21</v>
      </c>
      <c r="C26" s="1920"/>
      <c r="D26" s="1912"/>
      <c r="E26" s="1921"/>
      <c r="F26" s="1922"/>
      <c r="G26" s="1922"/>
      <c r="H26" s="1912"/>
      <c r="I26" s="1912"/>
      <c r="J26" s="1912"/>
      <c r="K26" s="1912"/>
      <c r="L26" s="1912"/>
      <c r="M26" s="1912"/>
      <c r="N26" s="1940"/>
      <c r="O26" s="1912"/>
      <c r="P26" s="521"/>
      <c r="Q26" s="521">
        <f t="shared" si="4"/>
        <v>0</v>
      </c>
      <c r="R26" s="521"/>
      <c r="S26" s="520" t="str">
        <f t="shared" si="7"/>
        <v>0:00</v>
      </c>
      <c r="T26" s="520">
        <f t="shared" si="3"/>
        <v>0</v>
      </c>
      <c r="U26" s="520"/>
      <c r="V26" s="1942"/>
      <c r="W26" s="521">
        <f t="shared" si="5"/>
        <v>0</v>
      </c>
      <c r="X26" s="1924">
        <f t="shared" si="2"/>
        <v>0</v>
      </c>
      <c r="Y26" s="1816"/>
      <c r="Z26" s="1816"/>
      <c r="AA26" s="1816"/>
      <c r="AB26" s="1816"/>
      <c r="AC26" s="1816"/>
      <c r="AD26" s="1816"/>
      <c r="AE26" s="1816"/>
      <c r="AF26" s="1816"/>
      <c r="AG26" s="1816"/>
    </row>
    <row r="27" spans="1:33" s="1817" customFormat="1" hidden="1">
      <c r="A27" s="1951"/>
      <c r="B27" s="1919">
        <f t="shared" si="0"/>
        <v>22</v>
      </c>
      <c r="C27" s="1920"/>
      <c r="D27" s="1912"/>
      <c r="E27" s="1921"/>
      <c r="F27" s="1922"/>
      <c r="G27" s="1922"/>
      <c r="H27" s="1912"/>
      <c r="I27" s="1912"/>
      <c r="J27" s="1912"/>
      <c r="K27" s="1912"/>
      <c r="L27" s="1912"/>
      <c r="M27" s="1912"/>
      <c r="N27" s="1940"/>
      <c r="O27" s="1912"/>
      <c r="P27" s="521"/>
      <c r="Q27" s="521">
        <f t="shared" si="4"/>
        <v>0</v>
      </c>
      <c r="R27" s="521"/>
      <c r="S27" s="520" t="str">
        <f t="shared" si="7"/>
        <v>0:00</v>
      </c>
      <c r="T27" s="520">
        <f t="shared" si="3"/>
        <v>0</v>
      </c>
      <c r="U27" s="520"/>
      <c r="V27" s="280"/>
      <c r="W27" s="521">
        <f t="shared" si="5"/>
        <v>0</v>
      </c>
      <c r="X27" s="1924">
        <f t="shared" si="2"/>
        <v>0</v>
      </c>
      <c r="Y27" s="1807"/>
      <c r="Z27" s="1807"/>
      <c r="AA27" s="1807"/>
      <c r="AB27" s="1807"/>
      <c r="AC27" s="1807"/>
      <c r="AD27" s="1807"/>
      <c r="AE27" s="1816"/>
      <c r="AF27" s="1816"/>
      <c r="AG27" s="1816"/>
    </row>
    <row r="28" spans="1:33" s="1817" customFormat="1" hidden="1">
      <c r="A28" s="1951"/>
      <c r="B28" s="1919">
        <f t="shared" si="0"/>
        <v>23</v>
      </c>
      <c r="C28" s="1920"/>
      <c r="D28" s="1912"/>
      <c r="E28" s="1921"/>
      <c r="F28" s="1922"/>
      <c r="G28" s="1922"/>
      <c r="H28" s="1912"/>
      <c r="I28" s="1912"/>
      <c r="J28" s="1912"/>
      <c r="K28" s="1912"/>
      <c r="L28" s="1912"/>
      <c r="M28" s="1912"/>
      <c r="N28" s="1940"/>
      <c r="O28" s="1912"/>
      <c r="P28" s="521"/>
      <c r="Q28" s="521">
        <f t="shared" si="4"/>
        <v>0</v>
      </c>
      <c r="R28" s="521"/>
      <c r="S28" s="520" t="str">
        <f t="shared" si="7"/>
        <v>0:00</v>
      </c>
      <c r="T28" s="520">
        <f t="shared" si="3"/>
        <v>0</v>
      </c>
      <c r="U28" s="520"/>
      <c r="V28" s="280"/>
      <c r="W28" s="521">
        <f t="shared" si="5"/>
        <v>0</v>
      </c>
      <c r="X28" s="1924">
        <f t="shared" si="2"/>
        <v>0</v>
      </c>
      <c r="Y28" s="1816"/>
      <c r="Z28" s="1816"/>
      <c r="AA28" s="1816"/>
      <c r="AB28" s="1816"/>
      <c r="AC28" s="1816"/>
      <c r="AD28" s="1816"/>
      <c r="AE28" s="1816"/>
      <c r="AF28" s="1816"/>
      <c r="AG28" s="1816"/>
    </row>
    <row r="29" spans="1:33" s="1466" customFormat="1" hidden="1">
      <c r="A29" s="1951"/>
      <c r="B29" s="1919">
        <f t="shared" si="0"/>
        <v>24</v>
      </c>
      <c r="C29" s="1920"/>
      <c r="D29" s="1912"/>
      <c r="E29" s="1921"/>
      <c r="F29" s="1922"/>
      <c r="G29" s="1922"/>
      <c r="H29" s="1912"/>
      <c r="I29" s="1912"/>
      <c r="J29" s="1912"/>
      <c r="K29" s="1912"/>
      <c r="L29" s="1912"/>
      <c r="M29" s="1912"/>
      <c r="N29" s="1940"/>
      <c r="O29" s="1912"/>
      <c r="P29" s="521"/>
      <c r="Q29" s="521">
        <f t="shared" si="4"/>
        <v>0</v>
      </c>
      <c r="R29" s="521"/>
      <c r="S29" s="520" t="str">
        <f t="shared" si="7"/>
        <v>0:00</v>
      </c>
      <c r="T29" s="520">
        <f t="shared" si="3"/>
        <v>0</v>
      </c>
      <c r="U29" s="520"/>
      <c r="V29" s="292"/>
      <c r="W29" s="521">
        <f t="shared" si="5"/>
        <v>0</v>
      </c>
      <c r="X29" s="1924">
        <f t="shared" si="2"/>
        <v>0</v>
      </c>
      <c r="Y29" s="1807"/>
      <c r="Z29" s="1807"/>
      <c r="AA29" s="1807"/>
      <c r="AB29" s="1807"/>
      <c r="AC29" s="1807"/>
      <c r="AD29" s="1807"/>
    </row>
    <row r="30" spans="1:33" s="1808" customFormat="1" hidden="1">
      <c r="A30" s="1951"/>
      <c r="B30" s="1919">
        <f t="shared" si="0"/>
        <v>25</v>
      </c>
      <c r="C30" s="1920"/>
      <c r="D30" s="1912"/>
      <c r="E30" s="1921"/>
      <c r="F30" s="1922"/>
      <c r="G30" s="1922"/>
      <c r="H30" s="1912"/>
      <c r="I30" s="1912"/>
      <c r="J30" s="1912"/>
      <c r="K30" s="1912"/>
      <c r="L30" s="1912"/>
      <c r="M30" s="1912"/>
      <c r="N30" s="1940"/>
      <c r="O30" s="1912"/>
      <c r="P30" s="280"/>
      <c r="Q30" s="521">
        <f t="shared" si="4"/>
        <v>0</v>
      </c>
      <c r="R30" s="521"/>
      <c r="S30" s="520" t="str">
        <f t="shared" si="7"/>
        <v>0:00</v>
      </c>
      <c r="T30" s="520">
        <f t="shared" si="3"/>
        <v>0</v>
      </c>
      <c r="U30" s="520"/>
      <c r="V30" s="280"/>
      <c r="W30" s="521">
        <f t="shared" si="5"/>
        <v>0</v>
      </c>
      <c r="X30" s="1924">
        <f t="shared" si="2"/>
        <v>0</v>
      </c>
      <c r="Y30" s="1807"/>
      <c r="Z30" s="1807"/>
      <c r="AA30" s="1807"/>
      <c r="AB30" s="1807"/>
      <c r="AC30" s="1807"/>
      <c r="AD30" s="1807"/>
      <c r="AE30" s="1807"/>
      <c r="AF30" s="1807"/>
      <c r="AG30" s="1807"/>
    </row>
    <row r="31" spans="1:33" s="1808" customFormat="1" hidden="1">
      <c r="A31" s="1957"/>
      <c r="B31" s="1919">
        <f t="shared" si="0"/>
        <v>26</v>
      </c>
      <c r="C31" s="1920"/>
      <c r="D31" s="1912"/>
      <c r="E31" s="1921"/>
      <c r="F31" s="1922"/>
      <c r="G31" s="1922"/>
      <c r="H31" s="1912"/>
      <c r="I31" s="1912"/>
      <c r="J31" s="1912"/>
      <c r="K31" s="1912"/>
      <c r="L31" s="1912"/>
      <c r="M31" s="1912"/>
      <c r="N31" s="1940"/>
      <c r="O31" s="1912"/>
      <c r="P31" s="521"/>
      <c r="Q31" s="521">
        <f t="shared" si="4"/>
        <v>0</v>
      </c>
      <c r="R31" s="521"/>
      <c r="S31" s="520" t="str">
        <f t="shared" si="7"/>
        <v>0:00</v>
      </c>
      <c r="T31" s="520">
        <f t="shared" si="3"/>
        <v>0</v>
      </c>
      <c r="U31" s="520"/>
      <c r="V31" s="1942"/>
      <c r="W31" s="521">
        <f t="shared" si="5"/>
        <v>0</v>
      </c>
      <c r="X31" s="1924">
        <f>(Q31+(((T31-U31)-0)*R31))*((100-P31)/100)</f>
        <v>0</v>
      </c>
      <c r="Y31" s="1816"/>
      <c r="Z31" s="1816"/>
      <c r="AA31" s="1816"/>
      <c r="AB31" s="1816"/>
      <c r="AC31" s="1816"/>
      <c r="AD31" s="1816"/>
      <c r="AE31" s="1807"/>
      <c r="AF31" s="1807"/>
      <c r="AG31" s="1807"/>
    </row>
    <row r="32" spans="1:33" s="1808" customFormat="1" hidden="1">
      <c r="A32" s="1958"/>
      <c r="B32" s="1943">
        <f t="shared" si="0"/>
        <v>27</v>
      </c>
      <c r="C32" s="1944"/>
      <c r="D32" s="1945"/>
      <c r="E32" s="1946"/>
      <c r="F32" s="1944"/>
      <c r="G32" s="1944"/>
      <c r="H32" s="1944"/>
      <c r="I32" s="1944"/>
      <c r="J32" s="1944"/>
      <c r="K32" s="1944"/>
      <c r="L32" s="1944"/>
      <c r="M32" s="1944"/>
      <c r="N32" s="1947"/>
      <c r="O32" s="1944"/>
      <c r="P32" s="1959"/>
      <c r="Q32" s="716">
        <f t="shared" si="6"/>
        <v>0</v>
      </c>
      <c r="R32" s="716"/>
      <c r="S32" s="1948">
        <f t="shared" si="8"/>
        <v>0</v>
      </c>
      <c r="T32" s="520">
        <f t="shared" si="3"/>
        <v>0</v>
      </c>
      <c r="U32" s="1948"/>
      <c r="V32" s="1960"/>
      <c r="W32" s="716">
        <f t="shared" si="5"/>
        <v>0</v>
      </c>
      <c r="X32" s="1949">
        <f t="shared" si="2"/>
        <v>0</v>
      </c>
      <c r="Y32" s="1807"/>
      <c r="Z32" s="1807"/>
      <c r="AA32" s="1807"/>
      <c r="AB32" s="1807"/>
      <c r="AC32" s="1807"/>
      <c r="AD32" s="1807"/>
      <c r="AE32" s="1807"/>
      <c r="AF32" s="1807"/>
      <c r="AG32" s="1807"/>
    </row>
    <row r="33" spans="1:33" s="1808" customFormat="1">
      <c r="A33" s="1977" t="s">
        <v>1168</v>
      </c>
      <c r="B33" s="1943"/>
      <c r="C33" s="1943"/>
      <c r="D33" s="1978"/>
      <c r="E33" s="1978"/>
      <c r="F33" s="1978"/>
      <c r="G33" s="1978"/>
      <c r="H33" s="1978"/>
      <c r="I33" s="1978"/>
      <c r="J33" s="1978"/>
      <c r="K33" s="1978"/>
      <c r="L33" s="1978"/>
      <c r="M33" s="1978"/>
      <c r="N33" s="1944"/>
      <c r="O33" s="1978"/>
      <c r="P33" s="1979"/>
      <c r="Q33" s="1980"/>
      <c r="R33" s="1980"/>
      <c r="S33" s="1980"/>
      <c r="T33" s="1980"/>
      <c r="U33" s="1980"/>
      <c r="V33" s="1979"/>
      <c r="W33" s="1980"/>
      <c r="X33" s="1981">
        <f>SUBTOTAL(109,Table14[Actual billing Amount])</f>
        <v>6600000</v>
      </c>
      <c r="Y33" s="1807"/>
      <c r="Z33" s="1807"/>
      <c r="AA33" s="1807"/>
      <c r="AB33" s="1807"/>
      <c r="AC33" s="1807"/>
      <c r="AD33" s="1807"/>
      <c r="AE33" s="1807"/>
      <c r="AF33" s="1807"/>
      <c r="AG33" s="1807"/>
    </row>
    <row r="34" spans="1:33" s="1808" customFormat="1">
      <c r="A34" s="1988" t="s">
        <v>1169</v>
      </c>
      <c r="B34" s="1989"/>
      <c r="C34" s="1990"/>
      <c r="D34" s="1991"/>
      <c r="E34" s="1992"/>
      <c r="F34" s="1990"/>
      <c r="G34" s="1990"/>
      <c r="H34" s="1990"/>
      <c r="I34" s="1990"/>
      <c r="J34" s="1990"/>
      <c r="K34" s="1990"/>
      <c r="L34" s="1990"/>
      <c r="M34" s="1990"/>
      <c r="N34" s="1993"/>
      <c r="O34" s="1990"/>
      <c r="P34" s="1994"/>
      <c r="Q34" s="1995"/>
      <c r="R34" s="1995"/>
      <c r="S34" s="1996"/>
      <c r="T34" s="1996"/>
      <c r="U34" s="1996"/>
      <c r="V34" s="1997"/>
      <c r="W34" s="1995"/>
      <c r="X34" s="2009">
        <v>0</v>
      </c>
      <c r="Y34" s="1807"/>
      <c r="Z34" s="1807"/>
      <c r="AA34" s="1807"/>
      <c r="AB34" s="1807"/>
      <c r="AC34" s="1807"/>
      <c r="AD34" s="1807"/>
      <c r="AE34" s="1807"/>
      <c r="AF34" s="1807"/>
      <c r="AG34" s="1807"/>
    </row>
    <row r="35" spans="1:33" s="1808" customFormat="1">
      <c r="A35" s="1998" t="s">
        <v>1170</v>
      </c>
      <c r="B35" s="1961"/>
      <c r="C35" s="68"/>
      <c r="D35" s="1962"/>
      <c r="E35" s="1963"/>
      <c r="F35" s="68"/>
      <c r="G35" s="68"/>
      <c r="H35" s="68"/>
      <c r="I35" s="68"/>
      <c r="J35" s="68"/>
      <c r="K35" s="68"/>
      <c r="L35" s="68"/>
      <c r="M35" s="68"/>
      <c r="N35" s="1976"/>
      <c r="O35" s="68"/>
      <c r="P35" s="1964"/>
      <c r="Q35" s="1965"/>
      <c r="R35" s="1965"/>
      <c r="S35" s="1966"/>
      <c r="T35" s="1966"/>
      <c r="U35" s="1966"/>
      <c r="V35" s="104"/>
      <c r="W35" s="1965"/>
      <c r="X35" s="2010">
        <f>(Table14[[#Totals],[Actual billing Amount]]+X34)*10/100</f>
        <v>660000</v>
      </c>
      <c r="Y35" s="1807"/>
      <c r="Z35" s="1807"/>
      <c r="AA35" s="1807"/>
      <c r="AB35" s="1807"/>
      <c r="AC35" s="1807"/>
      <c r="AD35" s="1807"/>
      <c r="AE35" s="1807"/>
      <c r="AF35" s="1807"/>
      <c r="AG35" s="1807"/>
    </row>
    <row r="36" spans="1:33" s="1064" customFormat="1" ht="13.5" customHeight="1">
      <c r="A36" s="1999" t="s">
        <v>1171</v>
      </c>
      <c r="B36" s="2000"/>
      <c r="C36" s="2001"/>
      <c r="D36" s="2002"/>
      <c r="E36" s="2003"/>
      <c r="F36" s="2001"/>
      <c r="G36" s="2001"/>
      <c r="H36" s="2001"/>
      <c r="I36" s="2001"/>
      <c r="J36" s="2001"/>
      <c r="K36" s="2001"/>
      <c r="L36" s="2001"/>
      <c r="M36" s="2001"/>
      <c r="N36" s="2004"/>
      <c r="O36" s="2001"/>
      <c r="P36" s="2005"/>
      <c r="Q36" s="2006"/>
      <c r="R36" s="2006"/>
      <c r="S36" s="2007"/>
      <c r="T36" s="2007"/>
      <c r="U36" s="2007"/>
      <c r="V36" s="2008"/>
      <c r="W36" s="2006"/>
      <c r="X36" s="2011">
        <f>SUM(X33:X35)</f>
        <v>7260000</v>
      </c>
    </row>
    <row r="37" spans="1:33" s="1825" customFormat="1" ht="13">
      <c r="A37" s="1064"/>
      <c r="B37" s="1064"/>
      <c r="C37" s="1064"/>
      <c r="D37" s="1962"/>
      <c r="E37" s="1982"/>
      <c r="F37" s="1064"/>
      <c r="G37" s="1064"/>
      <c r="H37" s="1064"/>
      <c r="I37" s="1962"/>
      <c r="J37" s="104"/>
      <c r="K37" s="1983"/>
      <c r="L37" s="1064"/>
      <c r="M37" s="1064"/>
      <c r="N37" s="1064"/>
      <c r="O37" s="1064"/>
      <c r="P37" s="1984"/>
      <c r="Q37" s="1985"/>
      <c r="R37" s="1965"/>
      <c r="S37" s="1064"/>
      <c r="T37" s="1986"/>
      <c r="U37" s="1986"/>
      <c r="V37" s="1064"/>
      <c r="W37" s="1987"/>
      <c r="X37" s="1987"/>
      <c r="Y37" s="104"/>
      <c r="Z37" s="104"/>
      <c r="AA37" s="104"/>
      <c r="AB37" s="104"/>
      <c r="AC37" s="104"/>
      <c r="AD37" s="104"/>
      <c r="AE37" s="104"/>
      <c r="AF37" s="104"/>
      <c r="AG37" s="104"/>
    </row>
    <row r="38" spans="1:33">
      <c r="A38" s="1969"/>
      <c r="B38" s="1961"/>
      <c r="C38" s="1970"/>
      <c r="D38" s="1962"/>
      <c r="E38" s="1963"/>
      <c r="F38" s="1971"/>
      <c r="G38" s="1971"/>
      <c r="H38" s="1962"/>
      <c r="I38" s="1962"/>
      <c r="J38" s="1972"/>
      <c r="K38" s="1962"/>
      <c r="L38" s="1973"/>
      <c r="M38" s="1962"/>
      <c r="N38" s="1974"/>
      <c r="O38" s="1962"/>
      <c r="P38" s="1965"/>
      <c r="Q38" s="1965"/>
      <c r="R38" s="1968"/>
      <c r="S38" s="1966"/>
      <c r="T38" s="1966"/>
      <c r="U38" s="1966"/>
      <c r="V38" s="1964"/>
      <c r="W38" s="1975">
        <f t="shared" ref="W38" si="9">S38*R38*(100-P38)/100</f>
        <v>0</v>
      </c>
      <c r="X38" s="1967"/>
      <c r="Y38" s="68"/>
      <c r="Z38" s="68"/>
      <c r="AA38" s="68"/>
      <c r="AB38" s="68"/>
      <c r="AC38" s="68"/>
      <c r="AD38" s="68"/>
      <c r="AE38" s="68"/>
      <c r="AF38" s="68"/>
      <c r="AG38" s="68"/>
    </row>
    <row r="39" spans="1:33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1782"/>
      <c r="R39" s="68"/>
      <c r="S39" s="68"/>
      <c r="T39" s="68"/>
      <c r="U39" s="68"/>
      <c r="V39" s="68"/>
      <c r="W39" s="68"/>
      <c r="X39" s="1782"/>
      <c r="Y39" s="68"/>
      <c r="Z39" s="68"/>
      <c r="AA39" s="68"/>
      <c r="AB39" s="68"/>
      <c r="AC39" s="68"/>
      <c r="AD39" s="68"/>
      <c r="AE39" s="68"/>
      <c r="AF39" s="68"/>
      <c r="AG39" s="68"/>
    </row>
    <row r="40" spans="1:33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1782"/>
      <c r="R40" s="68"/>
      <c r="S40" s="68"/>
      <c r="T40" s="68"/>
      <c r="U40" s="68"/>
      <c r="V40" s="68"/>
      <c r="W40" s="68"/>
      <c r="X40" s="1782"/>
      <c r="Y40" s="68"/>
      <c r="Z40" s="68"/>
      <c r="AA40" s="68"/>
      <c r="AB40" s="68"/>
      <c r="AC40" s="68"/>
      <c r="AD40" s="68"/>
      <c r="AE40" s="68"/>
      <c r="AF40" s="68"/>
      <c r="AG40" s="68"/>
    </row>
    <row r="41" spans="1:33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1782"/>
      <c r="R41" s="68"/>
      <c r="S41" s="68"/>
      <c r="T41" s="68"/>
      <c r="U41" s="68"/>
      <c r="V41" s="68"/>
      <c r="W41" s="68"/>
      <c r="X41" s="1782"/>
      <c r="Y41" s="68"/>
      <c r="Z41" s="68"/>
      <c r="AA41" s="68"/>
      <c r="AB41" s="68"/>
      <c r="AC41" s="68"/>
      <c r="AD41" s="68"/>
      <c r="AE41" s="68"/>
      <c r="AF41" s="68"/>
      <c r="AG41" s="68"/>
    </row>
    <row r="42" spans="1:33">
      <c r="A42" s="68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1782"/>
      <c r="R42" s="68"/>
      <c r="S42" s="68"/>
      <c r="T42" s="68"/>
      <c r="U42" s="68"/>
      <c r="V42" s="68"/>
      <c r="W42" s="68"/>
      <c r="X42" s="1782"/>
      <c r="Y42" s="68"/>
      <c r="Z42" s="68"/>
      <c r="AA42" s="68"/>
      <c r="AB42" s="68"/>
      <c r="AC42" s="68"/>
      <c r="AD42" s="68"/>
      <c r="AE42" s="68"/>
      <c r="AF42" s="68"/>
      <c r="AG42" s="68"/>
    </row>
    <row r="43" spans="1:33">
      <c r="A43" s="68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1782"/>
      <c r="R43" s="68"/>
      <c r="S43" s="68"/>
      <c r="T43" s="68"/>
      <c r="U43" s="68"/>
      <c r="V43" s="68"/>
      <c r="W43" s="68"/>
      <c r="X43" s="1782"/>
      <c r="Y43" s="68"/>
      <c r="Z43" s="68"/>
      <c r="AA43" s="68"/>
      <c r="AB43" s="68"/>
      <c r="AC43" s="68"/>
      <c r="AD43" s="68"/>
      <c r="AE43" s="68"/>
      <c r="AF43" s="68"/>
      <c r="AG43" s="68"/>
    </row>
    <row r="44" spans="1:33">
      <c r="A44" s="68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1782"/>
      <c r="R44" s="68"/>
      <c r="S44" s="68"/>
      <c r="T44" s="68"/>
      <c r="U44" s="68"/>
      <c r="V44" s="68"/>
      <c r="W44" s="68"/>
      <c r="X44" s="1782"/>
      <c r="Y44" s="68"/>
      <c r="Z44" s="68"/>
      <c r="AA44" s="68"/>
      <c r="AB44" s="68"/>
      <c r="AC44" s="68"/>
      <c r="AD44" s="68"/>
      <c r="AE44" s="68"/>
      <c r="AF44" s="68"/>
      <c r="AG44" s="68"/>
    </row>
    <row r="45" spans="1:33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1782"/>
      <c r="R45" s="68"/>
      <c r="S45" s="68"/>
      <c r="T45" s="68"/>
      <c r="U45" s="68"/>
      <c r="V45" s="68"/>
      <c r="W45" s="68"/>
      <c r="X45" s="1782"/>
      <c r="Y45" s="68"/>
      <c r="Z45" s="68"/>
      <c r="AA45" s="68"/>
      <c r="AB45" s="68"/>
      <c r="AC45" s="68"/>
      <c r="AD45" s="68"/>
      <c r="AE45" s="68"/>
      <c r="AF45" s="68"/>
      <c r="AG45" s="68"/>
    </row>
    <row r="46" spans="1:33">
      <c r="A46" s="68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1782"/>
      <c r="R46" s="68"/>
      <c r="S46" s="68"/>
      <c r="T46" s="68"/>
      <c r="U46" s="68"/>
      <c r="V46" s="68"/>
      <c r="W46" s="68"/>
      <c r="X46" s="1782"/>
      <c r="Y46" s="68"/>
      <c r="Z46" s="68"/>
      <c r="AA46" s="68"/>
      <c r="AB46" s="68"/>
      <c r="AC46" s="68"/>
      <c r="AD46" s="68"/>
      <c r="AE46" s="68"/>
      <c r="AF46" s="68"/>
      <c r="AG46" s="68"/>
    </row>
    <row r="47" spans="1:33">
      <c r="A47" s="68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1782"/>
      <c r="R47" s="68"/>
      <c r="S47" s="68"/>
      <c r="T47" s="68"/>
      <c r="U47" s="68"/>
      <c r="V47" s="68"/>
      <c r="W47" s="68"/>
      <c r="X47" s="1782"/>
      <c r="Y47" s="68"/>
      <c r="Z47" s="68"/>
      <c r="AA47" s="68"/>
      <c r="AB47" s="68"/>
      <c r="AC47" s="68"/>
      <c r="AD47" s="68"/>
      <c r="AE47" s="68"/>
      <c r="AF47" s="68"/>
      <c r="AG47" s="68"/>
    </row>
    <row r="48" spans="1:33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1782"/>
      <c r="R48" s="68"/>
      <c r="S48" s="68"/>
      <c r="T48" s="68"/>
      <c r="U48" s="68"/>
      <c r="V48" s="68"/>
      <c r="W48" s="68"/>
      <c r="X48" s="1782"/>
      <c r="Y48" s="68"/>
      <c r="Z48" s="68"/>
      <c r="AA48" s="68"/>
      <c r="AB48" s="68"/>
      <c r="AC48" s="68"/>
      <c r="AD48" s="68"/>
      <c r="AE48" s="68"/>
      <c r="AF48" s="68"/>
      <c r="AG48" s="68"/>
    </row>
    <row r="49" spans="1:33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1782"/>
      <c r="R49" s="68"/>
      <c r="S49" s="68"/>
      <c r="T49" s="68"/>
      <c r="U49" s="68"/>
      <c r="V49" s="68"/>
      <c r="W49" s="68"/>
      <c r="X49" s="1782"/>
      <c r="Y49" s="68"/>
      <c r="Z49" s="68"/>
      <c r="AA49" s="68"/>
      <c r="AB49" s="68"/>
      <c r="AC49" s="68"/>
      <c r="AD49" s="68"/>
      <c r="AE49" s="68"/>
      <c r="AF49" s="68"/>
      <c r="AG49" s="68"/>
    </row>
    <row r="50" spans="1:33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1782"/>
      <c r="R50" s="68"/>
      <c r="S50" s="68"/>
      <c r="T50" s="68"/>
      <c r="U50" s="68"/>
      <c r="V50" s="68"/>
      <c r="W50" s="68"/>
      <c r="X50" s="1782"/>
      <c r="Y50" s="68"/>
      <c r="Z50" s="68"/>
      <c r="AA50" s="68"/>
      <c r="AB50" s="68"/>
      <c r="AC50" s="68"/>
      <c r="AD50" s="68"/>
      <c r="AE50" s="68"/>
      <c r="AF50" s="68"/>
      <c r="AG50" s="68"/>
    </row>
    <row r="51" spans="1:33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1782"/>
      <c r="R51" s="68"/>
      <c r="S51" s="68"/>
      <c r="T51" s="68"/>
      <c r="U51" s="68"/>
      <c r="V51" s="68"/>
      <c r="W51" s="68"/>
      <c r="X51" s="1782"/>
      <c r="Y51" s="68"/>
      <c r="Z51" s="68"/>
      <c r="AA51" s="68"/>
      <c r="AB51" s="68"/>
      <c r="AC51" s="68"/>
      <c r="AD51" s="68"/>
      <c r="AE51" s="68"/>
      <c r="AF51" s="68"/>
      <c r="AG51" s="68"/>
    </row>
    <row r="52" spans="1:33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1782"/>
      <c r="R52" s="68"/>
      <c r="S52" s="68"/>
      <c r="T52" s="68"/>
      <c r="U52" s="68"/>
      <c r="V52" s="68"/>
      <c r="W52" s="68"/>
      <c r="X52" s="1782"/>
      <c r="Y52" s="68"/>
      <c r="Z52" s="68"/>
      <c r="AA52" s="68"/>
      <c r="AB52" s="68"/>
      <c r="AC52" s="68"/>
      <c r="AD52" s="68"/>
      <c r="AE52" s="68"/>
      <c r="AF52" s="68"/>
      <c r="AG52" s="68"/>
    </row>
    <row r="53" spans="1:33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1782"/>
      <c r="R53" s="68"/>
      <c r="S53" s="68"/>
      <c r="T53" s="68"/>
      <c r="U53" s="68"/>
      <c r="V53" s="68"/>
      <c r="W53" s="68"/>
      <c r="X53" s="1782"/>
      <c r="Y53" s="68"/>
      <c r="Z53" s="68"/>
      <c r="AA53" s="68"/>
      <c r="AB53" s="68"/>
      <c r="AC53" s="68"/>
      <c r="AD53" s="68"/>
      <c r="AE53" s="68"/>
      <c r="AF53" s="68"/>
      <c r="AG53" s="68"/>
    </row>
    <row r="54" spans="1:33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1782"/>
      <c r="R54" s="68"/>
      <c r="S54" s="68"/>
      <c r="T54" s="68"/>
      <c r="U54" s="68"/>
      <c r="V54" s="68"/>
      <c r="W54" s="68"/>
      <c r="X54" s="1782"/>
      <c r="Y54" s="68"/>
      <c r="Z54" s="68"/>
      <c r="AA54" s="68"/>
      <c r="AB54" s="68"/>
      <c r="AC54" s="68"/>
      <c r="AD54" s="68"/>
      <c r="AE54" s="68"/>
      <c r="AF54" s="68"/>
      <c r="AG54" s="68"/>
    </row>
    <row r="55" spans="1:33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1782"/>
      <c r="R55" s="68"/>
      <c r="S55" s="68"/>
      <c r="T55" s="68"/>
      <c r="U55" s="68"/>
      <c r="V55" s="68"/>
      <c r="W55" s="68"/>
      <c r="X55" s="1782"/>
      <c r="Y55" s="68"/>
      <c r="Z55" s="68"/>
      <c r="AA55" s="68"/>
      <c r="AB55" s="68"/>
      <c r="AC55" s="68"/>
      <c r="AD55" s="68"/>
      <c r="AE55" s="68"/>
      <c r="AF55" s="68"/>
      <c r="AG55" s="68"/>
    </row>
    <row r="56" spans="1:33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1782"/>
      <c r="R56" s="68"/>
      <c r="S56" s="68"/>
      <c r="T56" s="68"/>
      <c r="U56" s="68"/>
      <c r="V56" s="68"/>
      <c r="W56" s="68"/>
      <c r="X56" s="1782"/>
      <c r="Y56" s="68"/>
      <c r="Z56" s="68"/>
      <c r="AA56" s="68"/>
      <c r="AB56" s="68"/>
      <c r="AC56" s="68"/>
      <c r="AD56" s="68"/>
      <c r="AE56" s="68"/>
      <c r="AF56" s="68"/>
      <c r="AG56" s="68"/>
    </row>
    <row r="57" spans="1:33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1782"/>
      <c r="R57" s="68"/>
      <c r="S57" s="68"/>
      <c r="T57" s="68"/>
      <c r="U57" s="68"/>
      <c r="V57" s="68"/>
      <c r="W57" s="68"/>
      <c r="X57" s="1782"/>
      <c r="Y57" s="68"/>
      <c r="Z57" s="68"/>
      <c r="AA57" s="68"/>
      <c r="AB57" s="68"/>
      <c r="AC57" s="68"/>
      <c r="AD57" s="68"/>
      <c r="AE57" s="68"/>
      <c r="AF57" s="68"/>
      <c r="AG57" s="68"/>
    </row>
    <row r="58" spans="1:33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1782"/>
      <c r="R58" s="68"/>
      <c r="S58" s="68"/>
      <c r="T58" s="68"/>
      <c r="U58" s="68"/>
      <c r="V58" s="68"/>
      <c r="W58" s="68"/>
      <c r="X58" s="1782"/>
      <c r="Y58" s="68"/>
      <c r="Z58" s="68"/>
      <c r="AA58" s="68"/>
      <c r="AB58" s="68"/>
      <c r="AC58" s="68"/>
      <c r="AD58" s="68"/>
      <c r="AE58" s="68"/>
      <c r="AF58" s="68"/>
      <c r="AG58" s="68"/>
    </row>
    <row r="59" spans="1:33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1782"/>
      <c r="R59" s="68"/>
      <c r="S59" s="68"/>
      <c r="T59" s="68"/>
      <c r="U59" s="68"/>
      <c r="V59" s="68"/>
      <c r="W59" s="68"/>
      <c r="X59" s="1782"/>
      <c r="Y59" s="68"/>
      <c r="Z59" s="68"/>
      <c r="AA59" s="68"/>
      <c r="AB59" s="68"/>
      <c r="AC59" s="68"/>
      <c r="AD59" s="68"/>
      <c r="AE59" s="68"/>
      <c r="AF59" s="68"/>
      <c r="AG59" s="68"/>
    </row>
    <row r="60" spans="1:33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1782"/>
      <c r="R60" s="68"/>
      <c r="S60" s="68"/>
      <c r="T60" s="68"/>
      <c r="U60" s="68"/>
      <c r="V60" s="68"/>
      <c r="W60" s="68"/>
      <c r="X60" s="1782"/>
      <c r="Y60" s="68"/>
      <c r="Z60" s="68"/>
      <c r="AA60" s="68"/>
      <c r="AB60" s="68"/>
      <c r="AC60" s="68"/>
      <c r="AD60" s="68"/>
      <c r="AE60" s="68"/>
      <c r="AF60" s="68"/>
      <c r="AG60" s="68"/>
    </row>
    <row r="61" spans="1:33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1782"/>
      <c r="R61" s="68"/>
      <c r="S61" s="68"/>
      <c r="T61" s="68"/>
      <c r="U61" s="68"/>
      <c r="V61" s="68"/>
      <c r="W61" s="68"/>
      <c r="X61" s="1782"/>
      <c r="Y61" s="68"/>
      <c r="Z61" s="68"/>
      <c r="AA61" s="68"/>
      <c r="AB61" s="68"/>
      <c r="AC61" s="68"/>
      <c r="AD61" s="68"/>
      <c r="AE61" s="68"/>
      <c r="AF61" s="68"/>
      <c r="AG61" s="68"/>
    </row>
    <row r="62" spans="1:33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1782"/>
      <c r="R62" s="68"/>
      <c r="S62" s="68"/>
      <c r="T62" s="68"/>
      <c r="U62" s="68"/>
      <c r="V62" s="68"/>
      <c r="W62" s="68"/>
      <c r="X62" s="1782"/>
      <c r="Y62" s="68"/>
      <c r="Z62" s="68"/>
      <c r="AA62" s="68"/>
      <c r="AB62" s="68"/>
      <c r="AC62" s="68"/>
      <c r="AD62" s="68"/>
      <c r="AE62" s="68"/>
      <c r="AF62" s="68"/>
      <c r="AG62" s="68"/>
    </row>
    <row r="63" spans="1:33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1782"/>
      <c r="R63" s="68"/>
      <c r="S63" s="68"/>
      <c r="T63" s="68"/>
      <c r="U63" s="68"/>
      <c r="V63" s="68"/>
      <c r="W63" s="68"/>
      <c r="X63" s="1782"/>
      <c r="Y63" s="68"/>
      <c r="Z63" s="68"/>
      <c r="AA63" s="68"/>
      <c r="AB63" s="68"/>
      <c r="AC63" s="68"/>
      <c r="AD63" s="68"/>
      <c r="AE63" s="68"/>
      <c r="AF63" s="68"/>
      <c r="AG63" s="68"/>
    </row>
    <row r="64" spans="1:33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1782"/>
      <c r="R64" s="68"/>
      <c r="S64" s="68"/>
      <c r="T64" s="68"/>
      <c r="U64" s="68"/>
      <c r="V64" s="68"/>
      <c r="W64" s="68"/>
      <c r="X64" s="1782"/>
      <c r="Y64" s="68"/>
      <c r="Z64" s="68"/>
      <c r="AA64" s="68"/>
      <c r="AB64" s="68"/>
      <c r="AC64" s="68"/>
      <c r="AD64" s="68"/>
      <c r="AE64" s="68"/>
      <c r="AF64" s="68"/>
      <c r="AG64" s="68"/>
    </row>
    <row r="65" spans="1:33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1782"/>
      <c r="R65" s="68"/>
      <c r="S65" s="68"/>
      <c r="T65" s="68"/>
      <c r="U65" s="68"/>
      <c r="V65" s="68"/>
      <c r="W65" s="68"/>
      <c r="X65" s="1782"/>
      <c r="Y65" s="68"/>
      <c r="Z65" s="68"/>
      <c r="AA65" s="68"/>
      <c r="AB65" s="68"/>
      <c r="AC65" s="68"/>
      <c r="AD65" s="68"/>
      <c r="AE65" s="68"/>
      <c r="AF65" s="68"/>
      <c r="AG65" s="68"/>
    </row>
    <row r="66" spans="1:33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1782"/>
      <c r="R66" s="68"/>
      <c r="S66" s="68"/>
      <c r="T66" s="68"/>
      <c r="U66" s="68"/>
      <c r="V66" s="68"/>
      <c r="W66" s="68"/>
      <c r="X66" s="1782"/>
      <c r="Y66" s="68"/>
      <c r="Z66" s="68"/>
      <c r="AA66" s="68"/>
      <c r="AB66" s="68"/>
      <c r="AC66" s="68"/>
      <c r="AD66" s="68"/>
      <c r="AE66" s="68"/>
      <c r="AF66" s="68"/>
      <c r="AG66" s="68"/>
    </row>
    <row r="67" spans="1:33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1782"/>
      <c r="R67" s="68"/>
      <c r="S67" s="68"/>
      <c r="T67" s="68"/>
      <c r="U67" s="68"/>
      <c r="V67" s="68"/>
      <c r="W67" s="68"/>
      <c r="X67" s="1782"/>
      <c r="Y67" s="68"/>
      <c r="Z67" s="68"/>
      <c r="AA67" s="68"/>
      <c r="AB67" s="68"/>
      <c r="AC67" s="68"/>
      <c r="AD67" s="68"/>
      <c r="AE67" s="68"/>
      <c r="AF67" s="68"/>
      <c r="AG67" s="68"/>
    </row>
    <row r="68" spans="1:33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1782"/>
      <c r="R68" s="68"/>
      <c r="S68" s="68"/>
      <c r="T68" s="68"/>
      <c r="U68" s="68"/>
      <c r="V68" s="68"/>
      <c r="W68" s="68"/>
      <c r="X68" s="1782"/>
      <c r="Y68" s="68"/>
      <c r="Z68" s="68"/>
      <c r="AA68" s="68"/>
      <c r="AB68" s="68"/>
      <c r="AC68" s="68"/>
      <c r="AD68" s="68"/>
      <c r="AE68" s="68"/>
      <c r="AF68" s="68"/>
      <c r="AG68" s="68"/>
    </row>
    <row r="69" spans="1:33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1782"/>
      <c r="R69" s="68"/>
      <c r="S69" s="68"/>
      <c r="T69" s="68"/>
      <c r="U69" s="68"/>
      <c r="V69" s="68"/>
      <c r="W69" s="68"/>
      <c r="X69" s="1782"/>
      <c r="Y69" s="68"/>
      <c r="Z69" s="68"/>
      <c r="AA69" s="68"/>
      <c r="AB69" s="68"/>
      <c r="AC69" s="68"/>
      <c r="AD69" s="68"/>
      <c r="AE69" s="68"/>
      <c r="AF69" s="68"/>
      <c r="AG69" s="68"/>
    </row>
    <row r="70" spans="1:33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1782"/>
      <c r="R70" s="68"/>
      <c r="S70" s="68"/>
      <c r="T70" s="68"/>
      <c r="U70" s="68"/>
      <c r="V70" s="68"/>
      <c r="W70" s="68"/>
      <c r="X70" s="1782"/>
      <c r="Y70" s="68"/>
      <c r="Z70" s="68"/>
      <c r="AA70" s="68"/>
      <c r="AB70" s="68"/>
      <c r="AC70" s="68"/>
      <c r="AD70" s="68"/>
      <c r="AE70" s="68"/>
      <c r="AF70" s="68"/>
      <c r="AG70" s="68"/>
    </row>
    <row r="71" spans="1:33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1782"/>
      <c r="R71" s="68"/>
      <c r="S71" s="68"/>
      <c r="T71" s="68"/>
      <c r="U71" s="68"/>
      <c r="V71" s="68"/>
      <c r="W71" s="68"/>
      <c r="X71" s="1782"/>
      <c r="Y71" s="68"/>
      <c r="Z71" s="68"/>
      <c r="AA71" s="68"/>
      <c r="AB71" s="68"/>
      <c r="AC71" s="68"/>
      <c r="AD71" s="68"/>
      <c r="AE71" s="68"/>
      <c r="AF71" s="68"/>
      <c r="AG71" s="68"/>
    </row>
    <row r="72" spans="1:33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1782"/>
      <c r="R72" s="68"/>
      <c r="S72" s="68"/>
      <c r="T72" s="68"/>
      <c r="U72" s="68"/>
      <c r="V72" s="68"/>
      <c r="W72" s="68"/>
      <c r="X72" s="1782"/>
      <c r="Y72" s="68"/>
      <c r="Z72" s="68"/>
      <c r="AA72" s="68"/>
      <c r="AB72" s="68"/>
      <c r="AC72" s="68"/>
      <c r="AD72" s="68"/>
      <c r="AE72" s="68"/>
      <c r="AF72" s="68"/>
      <c r="AG72" s="68"/>
    </row>
    <row r="73" spans="1:33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1782"/>
      <c r="R73" s="68"/>
      <c r="S73" s="68"/>
      <c r="T73" s="68"/>
      <c r="U73" s="68"/>
      <c r="V73" s="68"/>
      <c r="W73" s="68"/>
      <c r="X73" s="1782"/>
      <c r="Y73" s="68"/>
      <c r="Z73" s="68"/>
      <c r="AA73" s="68"/>
      <c r="AB73" s="68"/>
      <c r="AC73" s="68"/>
      <c r="AD73" s="68"/>
      <c r="AE73" s="68"/>
      <c r="AF73" s="68"/>
      <c r="AG73" s="68"/>
    </row>
    <row r="74" spans="1:33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1782"/>
      <c r="R74" s="68"/>
      <c r="S74" s="68"/>
      <c r="T74" s="68"/>
      <c r="U74" s="68"/>
      <c r="V74" s="68"/>
      <c r="W74" s="68"/>
      <c r="X74" s="1782"/>
      <c r="Y74" s="68"/>
      <c r="Z74" s="68"/>
      <c r="AA74" s="68"/>
      <c r="AB74" s="68"/>
      <c r="AC74" s="68"/>
      <c r="AD74" s="68"/>
      <c r="AE74" s="68"/>
      <c r="AF74" s="68"/>
      <c r="AG74" s="68"/>
    </row>
    <row r="75" spans="1:33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1782"/>
      <c r="R75" s="68"/>
      <c r="S75" s="68"/>
      <c r="T75" s="68"/>
      <c r="U75" s="68"/>
      <c r="V75" s="68"/>
      <c r="W75" s="68"/>
      <c r="X75" s="1782"/>
      <c r="Y75" s="68"/>
      <c r="Z75" s="68"/>
      <c r="AA75" s="68"/>
      <c r="AB75" s="68"/>
      <c r="AC75" s="68"/>
      <c r="AD75" s="68"/>
      <c r="AE75" s="68"/>
      <c r="AF75" s="68"/>
      <c r="AG75" s="68"/>
    </row>
    <row r="76" spans="1:33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1782"/>
      <c r="R76" s="68"/>
      <c r="S76" s="68"/>
      <c r="T76" s="68"/>
      <c r="U76" s="68"/>
      <c r="V76" s="68"/>
      <c r="W76" s="68"/>
      <c r="X76" s="1782"/>
      <c r="Y76" s="68"/>
      <c r="Z76" s="68"/>
      <c r="AA76" s="68"/>
      <c r="AB76" s="68"/>
      <c r="AC76" s="68"/>
      <c r="AD76" s="68"/>
      <c r="AE76" s="68"/>
      <c r="AF76" s="68"/>
      <c r="AG76" s="68"/>
    </row>
    <row r="77" spans="1:33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1782"/>
      <c r="R77" s="68"/>
      <c r="S77" s="68"/>
      <c r="T77" s="68"/>
      <c r="U77" s="68"/>
      <c r="V77" s="68"/>
      <c r="W77" s="68"/>
      <c r="X77" s="1782"/>
      <c r="Y77" s="68"/>
      <c r="Z77" s="68"/>
      <c r="AA77" s="68"/>
      <c r="AB77" s="68"/>
      <c r="AC77" s="68"/>
      <c r="AD77" s="68"/>
      <c r="AE77" s="68"/>
      <c r="AF77" s="68"/>
      <c r="AG77" s="68"/>
    </row>
    <row r="78" spans="1:33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1782"/>
      <c r="R78" s="68"/>
      <c r="S78" s="68"/>
      <c r="T78" s="68"/>
      <c r="U78" s="68"/>
      <c r="V78" s="68"/>
      <c r="W78" s="68"/>
      <c r="X78" s="1782"/>
      <c r="Y78" s="68"/>
      <c r="Z78" s="68"/>
      <c r="AA78" s="68"/>
      <c r="AB78" s="68"/>
      <c r="AC78" s="68"/>
      <c r="AD78" s="68"/>
      <c r="AE78" s="68"/>
      <c r="AF78" s="68"/>
      <c r="AG78" s="68"/>
    </row>
    <row r="79" spans="1:33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1782"/>
      <c r="R79" s="68"/>
      <c r="S79" s="68"/>
      <c r="T79" s="68"/>
      <c r="U79" s="68"/>
      <c r="V79" s="68"/>
      <c r="W79" s="68"/>
      <c r="X79" s="1782"/>
      <c r="Y79" s="68"/>
      <c r="Z79" s="68"/>
      <c r="AA79" s="68"/>
      <c r="AB79" s="68"/>
      <c r="AC79" s="68"/>
      <c r="AD79" s="68"/>
      <c r="AE79" s="68"/>
      <c r="AF79" s="68"/>
      <c r="AG79" s="68"/>
    </row>
    <row r="80" spans="1:33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1782"/>
      <c r="R80" s="68"/>
      <c r="S80" s="68"/>
      <c r="T80" s="68"/>
      <c r="U80" s="68"/>
      <c r="V80" s="68"/>
      <c r="W80" s="68"/>
      <c r="X80" s="1782"/>
      <c r="Y80" s="68"/>
      <c r="Z80" s="68"/>
      <c r="AA80" s="68"/>
      <c r="AB80" s="68"/>
      <c r="AC80" s="68"/>
      <c r="AD80" s="68"/>
      <c r="AE80" s="68"/>
      <c r="AF80" s="68"/>
      <c r="AG80" s="68"/>
    </row>
    <row r="81" spans="1:33">
      <c r="A81" s="68"/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1782"/>
      <c r="R81" s="68"/>
      <c r="S81" s="68"/>
      <c r="T81" s="68"/>
      <c r="U81" s="68"/>
      <c r="V81" s="68"/>
      <c r="W81" s="68"/>
      <c r="X81" s="1782"/>
      <c r="Y81" s="68"/>
      <c r="Z81" s="68"/>
      <c r="AA81" s="68"/>
      <c r="AB81" s="68"/>
      <c r="AC81" s="68"/>
      <c r="AD81" s="68"/>
      <c r="AE81" s="68"/>
      <c r="AF81" s="68"/>
      <c r="AG81" s="68"/>
    </row>
    <row r="82" spans="1:33">
      <c r="A82" s="68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1782"/>
      <c r="R82" s="68"/>
      <c r="S82" s="68"/>
      <c r="T82" s="68"/>
      <c r="U82" s="68"/>
      <c r="V82" s="68"/>
      <c r="W82" s="68"/>
      <c r="X82" s="1782"/>
      <c r="Y82" s="68"/>
      <c r="Z82" s="68"/>
      <c r="AA82" s="68"/>
      <c r="AB82" s="68"/>
      <c r="AC82" s="68"/>
      <c r="AD82" s="68"/>
      <c r="AE82" s="68"/>
      <c r="AF82" s="68"/>
      <c r="AG82" s="68"/>
    </row>
    <row r="83" spans="1:33">
      <c r="A83" s="68"/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1782"/>
      <c r="R83" s="68"/>
      <c r="S83" s="68"/>
      <c r="T83" s="68"/>
      <c r="U83" s="68"/>
      <c r="V83" s="68"/>
      <c r="W83" s="68"/>
      <c r="X83" s="1782"/>
      <c r="Y83" s="68"/>
      <c r="Z83" s="68"/>
      <c r="AA83" s="68"/>
      <c r="AB83" s="68"/>
      <c r="AC83" s="68"/>
      <c r="AD83" s="68"/>
      <c r="AE83" s="68"/>
      <c r="AF83" s="68"/>
      <c r="AG83" s="68"/>
    </row>
    <row r="84" spans="1:33">
      <c r="A84" s="68"/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1782"/>
      <c r="R84" s="68"/>
      <c r="S84" s="68"/>
      <c r="T84" s="68"/>
      <c r="U84" s="68"/>
      <c r="V84" s="68"/>
      <c r="W84" s="68"/>
      <c r="X84" s="1782"/>
      <c r="Y84" s="68"/>
      <c r="Z84" s="68"/>
      <c r="AA84" s="68"/>
      <c r="AB84" s="68"/>
      <c r="AC84" s="68"/>
      <c r="AD84" s="68"/>
      <c r="AE84" s="68"/>
      <c r="AF84" s="68"/>
      <c r="AG84" s="68"/>
    </row>
    <row r="85" spans="1:33">
      <c r="A85" s="68"/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1782"/>
      <c r="R85" s="68"/>
      <c r="S85" s="68"/>
      <c r="T85" s="68"/>
      <c r="U85" s="68"/>
      <c r="V85" s="68"/>
      <c r="W85" s="68"/>
      <c r="X85" s="1782"/>
      <c r="Y85" s="68"/>
      <c r="Z85" s="68"/>
      <c r="AA85" s="68"/>
      <c r="AB85" s="68"/>
      <c r="AC85" s="68"/>
      <c r="AD85" s="68"/>
      <c r="AE85" s="68"/>
      <c r="AF85" s="68"/>
      <c r="AG85" s="68"/>
    </row>
    <row r="86" spans="1:33">
      <c r="A86" s="68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1782"/>
      <c r="R86" s="68"/>
      <c r="S86" s="68"/>
      <c r="T86" s="68"/>
      <c r="U86" s="68"/>
      <c r="V86" s="68"/>
      <c r="W86" s="68"/>
      <c r="X86" s="1782"/>
      <c r="Y86" s="68"/>
      <c r="Z86" s="68"/>
      <c r="AA86" s="68"/>
      <c r="AB86" s="68"/>
      <c r="AC86" s="68"/>
      <c r="AD86" s="68"/>
      <c r="AE86" s="68"/>
      <c r="AF86" s="68"/>
      <c r="AG86" s="68"/>
    </row>
    <row r="87" spans="1:33">
      <c r="A87" s="68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1782"/>
      <c r="R87" s="68"/>
      <c r="S87" s="68"/>
      <c r="T87" s="68"/>
      <c r="U87" s="68"/>
      <c r="V87" s="68"/>
      <c r="W87" s="68"/>
      <c r="X87" s="1782"/>
      <c r="Y87" s="68"/>
      <c r="Z87" s="68"/>
      <c r="AA87" s="68"/>
      <c r="AB87" s="68"/>
      <c r="AC87" s="68"/>
      <c r="AD87" s="68"/>
      <c r="AE87" s="68"/>
      <c r="AF87" s="68"/>
      <c r="AG87" s="68"/>
    </row>
    <row r="88" spans="1:33">
      <c r="A88" s="68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1782"/>
      <c r="R88" s="68"/>
      <c r="S88" s="68"/>
      <c r="T88" s="68"/>
      <c r="U88" s="68"/>
      <c r="V88" s="68"/>
      <c r="W88" s="68"/>
      <c r="X88" s="1782"/>
      <c r="Y88" s="68"/>
      <c r="Z88" s="68"/>
      <c r="AA88" s="68"/>
      <c r="AB88" s="68"/>
      <c r="AC88" s="68"/>
      <c r="AD88" s="68"/>
      <c r="AE88" s="68"/>
      <c r="AF88" s="68"/>
      <c r="AG88" s="68"/>
    </row>
    <row r="89" spans="1:33">
      <c r="A89" s="68"/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1782"/>
      <c r="R89" s="68"/>
      <c r="S89" s="68"/>
      <c r="T89" s="68"/>
      <c r="U89" s="68"/>
      <c r="V89" s="68"/>
      <c r="W89" s="68"/>
      <c r="X89" s="1782"/>
      <c r="Y89" s="68"/>
      <c r="Z89" s="68"/>
      <c r="AA89" s="68"/>
      <c r="AB89" s="68"/>
      <c r="AC89" s="68"/>
      <c r="AD89" s="68"/>
      <c r="AE89" s="68"/>
      <c r="AF89" s="68"/>
      <c r="AG89" s="68"/>
    </row>
    <row r="90" spans="1:33">
      <c r="A90" s="68"/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1782"/>
      <c r="R90" s="68"/>
      <c r="S90" s="68"/>
      <c r="T90" s="68"/>
      <c r="U90" s="68"/>
      <c r="V90" s="68"/>
      <c r="W90" s="68"/>
      <c r="X90" s="1782"/>
      <c r="Y90" s="68"/>
      <c r="Z90" s="68"/>
      <c r="AA90" s="68"/>
      <c r="AB90" s="68"/>
      <c r="AC90" s="68"/>
      <c r="AD90" s="68"/>
      <c r="AE90" s="68"/>
      <c r="AF90" s="68"/>
      <c r="AG90" s="68"/>
    </row>
    <row r="91" spans="1:33">
      <c r="A91" s="68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1782"/>
      <c r="R91" s="68"/>
      <c r="S91" s="68"/>
      <c r="T91" s="68"/>
      <c r="U91" s="68"/>
      <c r="V91" s="68"/>
      <c r="W91" s="68"/>
      <c r="X91" s="1782"/>
      <c r="Y91" s="68"/>
      <c r="Z91" s="68"/>
      <c r="AA91" s="68"/>
      <c r="AB91" s="68"/>
      <c r="AC91" s="68"/>
      <c r="AD91" s="68"/>
      <c r="AE91" s="68"/>
      <c r="AF91" s="68"/>
      <c r="AG91" s="68"/>
    </row>
    <row r="92" spans="1:33">
      <c r="A92" s="68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1782"/>
      <c r="R92" s="68"/>
      <c r="S92" s="68"/>
      <c r="T92" s="68"/>
      <c r="U92" s="68"/>
      <c r="V92" s="68"/>
      <c r="W92" s="68"/>
      <c r="X92" s="1782"/>
      <c r="Y92" s="68"/>
      <c r="Z92" s="68"/>
      <c r="AA92" s="68"/>
      <c r="AB92" s="68"/>
      <c r="AC92" s="68"/>
      <c r="AD92" s="68"/>
      <c r="AE92" s="68"/>
      <c r="AF92" s="68"/>
      <c r="AG92" s="68"/>
    </row>
    <row r="93" spans="1:33">
      <c r="A93" s="68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1782"/>
      <c r="R93" s="68"/>
      <c r="S93" s="68"/>
      <c r="T93" s="68"/>
      <c r="U93" s="68"/>
      <c r="V93" s="68"/>
      <c r="W93" s="68"/>
      <c r="X93" s="1782"/>
      <c r="Y93" s="68"/>
      <c r="Z93" s="68"/>
      <c r="AA93" s="68"/>
      <c r="AB93" s="68"/>
      <c r="AC93" s="68"/>
      <c r="AD93" s="68"/>
      <c r="AE93" s="68"/>
      <c r="AF93" s="68"/>
      <c r="AG93" s="68"/>
    </row>
    <row r="94" spans="1:33">
      <c r="A94" s="68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1782"/>
      <c r="R94" s="68"/>
      <c r="S94" s="68"/>
      <c r="T94" s="68"/>
      <c r="U94" s="68"/>
      <c r="V94" s="68"/>
      <c r="W94" s="68"/>
      <c r="X94" s="1782"/>
      <c r="Y94" s="68"/>
      <c r="Z94" s="68"/>
      <c r="AA94" s="68"/>
      <c r="AB94" s="68"/>
      <c r="AC94" s="68"/>
      <c r="AD94" s="68"/>
      <c r="AE94" s="68"/>
      <c r="AF94" s="68"/>
      <c r="AG94" s="68"/>
    </row>
    <row r="95" spans="1:33">
      <c r="A95" s="68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1782"/>
      <c r="R95" s="68"/>
      <c r="S95" s="68"/>
      <c r="T95" s="68"/>
      <c r="U95" s="68"/>
      <c r="V95" s="68"/>
      <c r="W95" s="68"/>
      <c r="X95" s="1782"/>
      <c r="Y95" s="68"/>
      <c r="Z95" s="68"/>
      <c r="AA95" s="68"/>
      <c r="AB95" s="68"/>
      <c r="AC95" s="68"/>
      <c r="AD95" s="68"/>
      <c r="AE95" s="68"/>
      <c r="AF95" s="68"/>
      <c r="AG95" s="68"/>
    </row>
    <row r="96" spans="1:33">
      <c r="A96" s="68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1782"/>
      <c r="R96" s="68"/>
      <c r="S96" s="68"/>
      <c r="T96" s="68"/>
      <c r="U96" s="68"/>
      <c r="V96" s="68"/>
      <c r="W96" s="68"/>
      <c r="X96" s="1782"/>
      <c r="Y96" s="68"/>
      <c r="Z96" s="68"/>
      <c r="AA96" s="68"/>
      <c r="AB96" s="68"/>
      <c r="AC96" s="68"/>
      <c r="AD96" s="68"/>
      <c r="AE96" s="68"/>
      <c r="AF96" s="68"/>
      <c r="AG96" s="68"/>
    </row>
    <row r="97" spans="1:33">
      <c r="A97" s="68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1782"/>
      <c r="R97" s="68"/>
      <c r="S97" s="68"/>
      <c r="T97" s="68"/>
      <c r="U97" s="68"/>
      <c r="V97" s="68"/>
      <c r="W97" s="68"/>
      <c r="X97" s="1782"/>
      <c r="Y97" s="68"/>
      <c r="Z97" s="68"/>
      <c r="AA97" s="68"/>
      <c r="AB97" s="68"/>
      <c r="AC97" s="68"/>
      <c r="AD97" s="68"/>
      <c r="AE97" s="68"/>
      <c r="AF97" s="68"/>
      <c r="AG97" s="68"/>
    </row>
    <row r="98" spans="1:33">
      <c r="A98" s="68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1782"/>
      <c r="R98" s="68"/>
      <c r="S98" s="68"/>
      <c r="T98" s="68"/>
      <c r="U98" s="68"/>
      <c r="V98" s="68"/>
      <c r="W98" s="68"/>
      <c r="X98" s="1782"/>
      <c r="Y98" s="68"/>
      <c r="Z98" s="68"/>
      <c r="AA98" s="68"/>
      <c r="AB98" s="68"/>
      <c r="AC98" s="68"/>
      <c r="AD98" s="68"/>
      <c r="AE98" s="68"/>
      <c r="AF98" s="68"/>
      <c r="AG98" s="68"/>
    </row>
    <row r="99" spans="1:33">
      <c r="A99" s="68"/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1782"/>
      <c r="R99" s="68"/>
      <c r="S99" s="68"/>
      <c r="T99" s="68"/>
      <c r="U99" s="68"/>
      <c r="V99" s="68"/>
      <c r="W99" s="68"/>
      <c r="X99" s="1782"/>
      <c r="Y99" s="68"/>
      <c r="Z99" s="68"/>
      <c r="AA99" s="68"/>
      <c r="AB99" s="68"/>
      <c r="AC99" s="68"/>
      <c r="AD99" s="68"/>
      <c r="AE99" s="68"/>
      <c r="AF99" s="68"/>
      <c r="AG99" s="68"/>
    </row>
    <row r="100" spans="1:33">
      <c r="A100" s="68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1782"/>
      <c r="R100" s="68"/>
      <c r="S100" s="68"/>
      <c r="T100" s="68"/>
      <c r="U100" s="68"/>
      <c r="V100" s="68"/>
      <c r="W100" s="68"/>
      <c r="X100" s="1782"/>
      <c r="Y100" s="68"/>
      <c r="Z100" s="68"/>
      <c r="AA100" s="68"/>
      <c r="AB100" s="68"/>
      <c r="AC100" s="68"/>
      <c r="AD100" s="68"/>
      <c r="AE100" s="68"/>
      <c r="AF100" s="68"/>
      <c r="AG100" s="68"/>
    </row>
    <row r="101" spans="1:33">
      <c r="A101" s="68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1782"/>
      <c r="R101" s="68"/>
      <c r="S101" s="68"/>
      <c r="T101" s="68"/>
      <c r="U101" s="68"/>
      <c r="V101" s="68"/>
      <c r="W101" s="68"/>
      <c r="X101" s="1782"/>
      <c r="Y101" s="68"/>
      <c r="Z101" s="68"/>
      <c r="AA101" s="68"/>
      <c r="AB101" s="68"/>
      <c r="AC101" s="68"/>
      <c r="AD101" s="68"/>
      <c r="AE101" s="68"/>
      <c r="AF101" s="68"/>
      <c r="AG101" s="68"/>
    </row>
    <row r="102" spans="1:33">
      <c r="A102" s="68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1782"/>
      <c r="R102" s="68"/>
      <c r="S102" s="68"/>
      <c r="T102" s="68"/>
      <c r="U102" s="68"/>
      <c r="V102" s="68"/>
      <c r="W102" s="68"/>
      <c r="X102" s="1782"/>
      <c r="Y102" s="68"/>
      <c r="Z102" s="68"/>
      <c r="AA102" s="68"/>
      <c r="AB102" s="68"/>
      <c r="AC102" s="68"/>
      <c r="AD102" s="68"/>
      <c r="AE102" s="68"/>
      <c r="AF102" s="68"/>
      <c r="AG102" s="68"/>
    </row>
    <row r="103" spans="1:33">
      <c r="A103" s="68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1782"/>
      <c r="R103" s="68"/>
      <c r="S103" s="68"/>
      <c r="T103" s="68"/>
      <c r="U103" s="68"/>
      <c r="V103" s="68"/>
      <c r="W103" s="68"/>
      <c r="X103" s="1782"/>
      <c r="Y103" s="68"/>
      <c r="Z103" s="68"/>
      <c r="AA103" s="68"/>
      <c r="AB103" s="68"/>
      <c r="AC103" s="68"/>
      <c r="AD103" s="68"/>
      <c r="AE103" s="68"/>
      <c r="AF103" s="68"/>
      <c r="AG103" s="68"/>
    </row>
    <row r="104" spans="1:33">
      <c r="A104" s="68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1782"/>
      <c r="R104" s="68"/>
      <c r="S104" s="68"/>
      <c r="T104" s="68"/>
      <c r="U104" s="68"/>
      <c r="V104" s="68"/>
      <c r="W104" s="68"/>
      <c r="X104" s="1782"/>
      <c r="Y104" s="68"/>
      <c r="Z104" s="68"/>
      <c r="AA104" s="68"/>
      <c r="AB104" s="68"/>
      <c r="AC104" s="68"/>
      <c r="AD104" s="68"/>
      <c r="AE104" s="68"/>
      <c r="AF104" s="68"/>
      <c r="AG104" s="68"/>
    </row>
    <row r="105" spans="1:33">
      <c r="A105" s="68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1782"/>
      <c r="R105" s="68"/>
      <c r="S105" s="68"/>
      <c r="T105" s="68"/>
      <c r="U105" s="68"/>
      <c r="V105" s="68"/>
      <c r="W105" s="68"/>
      <c r="X105" s="1782"/>
      <c r="Y105" s="68"/>
      <c r="Z105" s="68"/>
      <c r="AA105" s="68"/>
      <c r="AB105" s="68"/>
      <c r="AC105" s="68"/>
      <c r="AD105" s="68"/>
      <c r="AE105" s="68"/>
      <c r="AF105" s="68"/>
      <c r="AG105" s="68"/>
    </row>
    <row r="106" spans="1:33">
      <c r="A106" s="68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1782"/>
      <c r="R106" s="68"/>
      <c r="S106" s="68"/>
      <c r="T106" s="68"/>
      <c r="U106" s="68"/>
      <c r="V106" s="68"/>
      <c r="W106" s="68"/>
      <c r="X106" s="1782"/>
      <c r="Y106" s="68"/>
      <c r="Z106" s="68"/>
      <c r="AA106" s="68"/>
      <c r="AB106" s="68"/>
      <c r="AC106" s="68"/>
      <c r="AD106" s="68"/>
      <c r="AE106" s="68"/>
      <c r="AF106" s="68"/>
      <c r="AG106" s="68"/>
    </row>
    <row r="1048510" spans="1:33">
      <c r="A1048510" s="68"/>
      <c r="B1048510" s="68"/>
      <c r="C1048510" s="68"/>
      <c r="D1048510" s="68"/>
      <c r="E1048510" s="68"/>
      <c r="F1048510" s="68"/>
      <c r="G1048510" s="68"/>
      <c r="H1048510" s="68"/>
      <c r="I1048510" s="68"/>
      <c r="J1048510" s="68"/>
      <c r="K1048510" s="68"/>
      <c r="L1048510" s="68"/>
      <c r="M1048510" s="68"/>
      <c r="N1048510" s="68"/>
      <c r="O1048510" s="68"/>
      <c r="P1048510" s="68"/>
      <c r="Q1048510" s="1782"/>
      <c r="R1048510" s="68"/>
      <c r="S1048510" s="68"/>
      <c r="T1048510" s="68"/>
      <c r="U1048510" s="68"/>
      <c r="V1048510" s="68"/>
      <c r="W1048510" s="68"/>
      <c r="X1048510" s="1782"/>
      <c r="Y1048510" s="68"/>
      <c r="Z1048510" s="68"/>
      <c r="AA1048510" s="68"/>
      <c r="AB1048510" s="68"/>
      <c r="AC1048510" s="68"/>
      <c r="AD1048510" s="68"/>
      <c r="AE1048510" s="68"/>
      <c r="AF1048510" s="68"/>
      <c r="AG1048510" s="68"/>
    </row>
    <row r="1048511" spans="1:33">
      <c r="A1048511" s="68"/>
      <c r="B1048511" s="68"/>
      <c r="C1048511" s="68"/>
      <c r="D1048511" s="1361" t="s">
        <v>43</v>
      </c>
      <c r="E1048511" s="68"/>
      <c r="F1048511" s="68"/>
      <c r="G1048511" s="68"/>
      <c r="H1048511" s="68"/>
      <c r="I1048511" s="68"/>
      <c r="J1048511" s="68"/>
      <c r="K1048511" s="68"/>
      <c r="L1048511" s="68"/>
      <c r="M1048511" s="68"/>
      <c r="N1048511" s="68"/>
      <c r="O1048511" s="68"/>
      <c r="P1048511" s="68"/>
      <c r="Q1048511" s="1782"/>
      <c r="R1048511" s="68"/>
      <c r="S1048511" s="68"/>
      <c r="T1048511" s="68"/>
      <c r="U1048511" s="68"/>
      <c r="V1048511" s="68"/>
      <c r="W1048511" s="68"/>
      <c r="X1048511" s="1782"/>
      <c r="Y1048511" s="68"/>
      <c r="Z1048511" s="68"/>
      <c r="AA1048511" s="68"/>
      <c r="AB1048511" s="68"/>
      <c r="AC1048511" s="68"/>
      <c r="AD1048511" s="68"/>
      <c r="AE1048511" s="68"/>
      <c r="AF1048511" s="68"/>
      <c r="AG1048511" s="68"/>
    </row>
    <row r="1048512" spans="1:33">
      <c r="A1048512" s="68"/>
      <c r="B1048512" s="68"/>
      <c r="C1048512" s="68"/>
      <c r="D1048512" s="68"/>
      <c r="E1048512" s="68"/>
      <c r="F1048512" s="68"/>
      <c r="G1048512" s="68"/>
      <c r="H1048512" s="68"/>
      <c r="I1048512" s="68"/>
      <c r="J1048512" s="68"/>
      <c r="K1048512" s="68"/>
      <c r="L1048512" s="68"/>
      <c r="M1048512" s="68"/>
      <c r="N1048512" s="68"/>
      <c r="O1048512" s="68"/>
      <c r="P1048512" s="68"/>
      <c r="Q1048512" s="1782"/>
      <c r="R1048512" s="68"/>
      <c r="S1048512" s="68"/>
      <c r="T1048512" s="68"/>
      <c r="U1048512" s="68"/>
      <c r="V1048512" s="68"/>
      <c r="W1048512" s="68"/>
      <c r="X1048512" s="1782"/>
      <c r="Y1048512" s="68"/>
      <c r="Z1048512" s="68"/>
      <c r="AA1048512" s="68"/>
      <c r="AB1048512" s="68"/>
      <c r="AC1048512" s="68"/>
      <c r="AD1048512" s="68"/>
      <c r="AE1048512" s="68"/>
      <c r="AF1048512" s="68"/>
      <c r="AG1048512" s="68"/>
    </row>
    <row r="1048546" spans="1:33">
      <c r="A1048546" s="68"/>
      <c r="B1048546" s="68"/>
      <c r="C1048546" s="68"/>
      <c r="D1048546" s="68"/>
      <c r="E1048546" s="68"/>
      <c r="F1048546" s="68"/>
      <c r="G1048546" s="68"/>
      <c r="H1048546" s="68"/>
      <c r="I1048546" s="68"/>
      <c r="J1048546" s="68"/>
      <c r="K1048546" s="68"/>
      <c r="L1048546" s="68"/>
      <c r="M1048546" s="68"/>
      <c r="N1048546" s="68"/>
      <c r="O1048546" s="68"/>
      <c r="P1048546" s="68"/>
      <c r="Q1048546" s="1782"/>
      <c r="R1048546" s="68"/>
      <c r="S1048546" s="68"/>
      <c r="T1048546" s="68"/>
      <c r="U1048546" s="68"/>
      <c r="V1048546" s="68"/>
      <c r="W1048546" s="68"/>
      <c r="X1048546" s="1782"/>
      <c r="Y1048546" s="68"/>
      <c r="Z1048546" s="68"/>
      <c r="AA1048546" s="68"/>
      <c r="AB1048546" s="68"/>
      <c r="AC1048546" s="68"/>
      <c r="AD1048546" s="68"/>
      <c r="AE1048546" s="68"/>
      <c r="AF1048546" s="68"/>
      <c r="AG1048546" s="68"/>
    </row>
    <row r="1048547" spans="1:33">
      <c r="A1048547" s="68"/>
      <c r="B1048547" s="68"/>
      <c r="C1048547" s="68"/>
      <c r="D1048547" s="68"/>
      <c r="E1048547" s="68"/>
      <c r="F1048547" s="68"/>
      <c r="G1048547" s="68"/>
      <c r="H1048547" s="68"/>
      <c r="I1048547" s="68"/>
      <c r="J1048547" s="68"/>
      <c r="K1048547" s="68"/>
      <c r="L1048547" s="68"/>
      <c r="M1048547" s="68"/>
      <c r="N1048547" s="68"/>
      <c r="O1048547" s="68"/>
      <c r="P1048547" s="68"/>
      <c r="Q1048547" s="1782"/>
      <c r="R1048547" s="68"/>
      <c r="S1048547" s="68"/>
      <c r="T1048547" s="68"/>
      <c r="U1048547" s="68"/>
      <c r="V1048547" s="68"/>
      <c r="W1048547" s="68"/>
      <c r="X1048547" s="1782"/>
      <c r="Y1048547" s="68"/>
      <c r="Z1048547" s="68"/>
      <c r="AA1048547" s="68"/>
      <c r="AB1048547" s="68"/>
      <c r="AC1048547" s="68"/>
      <c r="AD1048547" s="68"/>
      <c r="AE1048547" s="68"/>
      <c r="AF1048547" s="68"/>
      <c r="AG1048547" s="68"/>
    </row>
    <row r="1048560" spans="1:33">
      <c r="A1048560" s="68"/>
      <c r="B1048560" s="68"/>
      <c r="C1048560" s="68"/>
      <c r="D1048560" s="68"/>
      <c r="E1048560" s="68"/>
      <c r="F1048560" s="68"/>
      <c r="G1048560" s="68"/>
      <c r="H1048560" s="68"/>
      <c r="I1048560" s="68"/>
      <c r="J1048560" s="68"/>
      <c r="K1048560" s="68"/>
      <c r="L1048560" s="68"/>
      <c r="M1048560" s="68"/>
      <c r="N1048560" s="68"/>
      <c r="O1048560" s="68"/>
      <c r="P1048560" s="68"/>
      <c r="Q1048560" s="1782"/>
      <c r="R1048560" s="68"/>
      <c r="S1048560" s="68"/>
      <c r="T1048560" s="68"/>
      <c r="U1048560" s="68"/>
      <c r="V1048560" s="68"/>
      <c r="W1048560" s="68"/>
      <c r="X1048560" s="1782"/>
      <c r="Y1048560" s="68"/>
      <c r="Z1048560" s="68"/>
      <c r="AA1048560" s="68"/>
      <c r="AB1048560" s="68"/>
      <c r="AC1048560" s="68"/>
      <c r="AD1048560" s="68"/>
      <c r="AE1048560" s="68"/>
      <c r="AF1048560" s="68"/>
      <c r="AG1048560" s="68"/>
    </row>
    <row r="1048561" spans="1:33">
      <c r="A1048561" s="68"/>
      <c r="B1048561" s="68"/>
      <c r="C1048561" s="68"/>
      <c r="D1048561" s="68"/>
      <c r="E1048561" s="68"/>
      <c r="F1048561" s="68"/>
      <c r="G1048561" s="68"/>
      <c r="H1048561" s="68"/>
      <c r="I1048561" s="68"/>
      <c r="J1048561" s="68"/>
      <c r="K1048561" s="68"/>
      <c r="L1048561" s="68"/>
      <c r="M1048561" s="68"/>
      <c r="N1048561" s="68"/>
      <c r="O1048561" s="68"/>
      <c r="P1048561" s="68"/>
      <c r="Q1048561" s="1782"/>
      <c r="R1048561" s="68"/>
      <c r="S1048561" s="68"/>
      <c r="T1048561" s="68"/>
      <c r="U1048561" s="68"/>
      <c r="V1048561" s="68"/>
      <c r="W1048561" s="68"/>
      <c r="X1048561" s="1782"/>
      <c r="Y1048561" s="68"/>
      <c r="Z1048561" s="68"/>
      <c r="AA1048561" s="68"/>
      <c r="AB1048561" s="68"/>
      <c r="AC1048561" s="68"/>
      <c r="AD1048561" s="68"/>
      <c r="AE1048561" s="68"/>
      <c r="AF1048561" s="68"/>
      <c r="AG1048561" s="68"/>
    </row>
    <row r="1048562" spans="1:33">
      <c r="A1048562" s="68"/>
      <c r="B1048562" s="68"/>
      <c r="C1048562" s="68"/>
      <c r="D1048562" s="68"/>
      <c r="E1048562" s="68"/>
      <c r="F1048562" s="68"/>
      <c r="G1048562" s="68"/>
      <c r="H1048562" s="68"/>
      <c r="I1048562" s="68"/>
      <c r="J1048562" s="68"/>
      <c r="K1048562" s="68"/>
      <c r="L1048562" s="68"/>
      <c r="M1048562" s="68"/>
      <c r="N1048562" s="68"/>
      <c r="O1048562" s="68"/>
      <c r="P1048562" s="68"/>
      <c r="Q1048562" s="1782"/>
      <c r="R1048562" s="68"/>
      <c r="S1048562" s="68"/>
      <c r="T1048562" s="68"/>
      <c r="U1048562" s="68"/>
      <c r="V1048562" s="68"/>
      <c r="W1048562" s="68"/>
      <c r="X1048562" s="1782"/>
      <c r="Y1048562" s="68"/>
      <c r="Z1048562" s="68"/>
      <c r="AA1048562" s="68"/>
      <c r="AB1048562" s="68"/>
      <c r="AC1048562" s="68"/>
      <c r="AD1048562" s="68"/>
      <c r="AE1048562" s="68"/>
      <c r="AF1048562" s="68"/>
      <c r="AG1048562" s="68"/>
    </row>
    <row r="1048563" spans="1:33">
      <c r="A1048563" s="68"/>
      <c r="B1048563" s="68"/>
      <c r="C1048563" s="68"/>
      <c r="D1048563" s="68"/>
      <c r="E1048563" s="68"/>
      <c r="F1048563" s="68"/>
      <c r="G1048563" s="68"/>
      <c r="H1048563" s="68"/>
      <c r="I1048563" s="68"/>
      <c r="J1048563" s="68"/>
      <c r="K1048563" s="68"/>
      <c r="L1048563" s="68"/>
      <c r="M1048563" s="68"/>
      <c r="N1048563" s="68"/>
      <c r="O1048563" s="68"/>
      <c r="P1048563" s="68"/>
      <c r="Q1048563" s="1782"/>
      <c r="R1048563" s="68"/>
      <c r="S1048563" s="68"/>
      <c r="T1048563" s="68"/>
      <c r="U1048563" s="68"/>
      <c r="V1048563" s="68"/>
      <c r="W1048563" s="68"/>
      <c r="X1048563" s="1782"/>
      <c r="Y1048563" s="68"/>
      <c r="Z1048563" s="68"/>
      <c r="AA1048563" s="68"/>
      <c r="AB1048563" s="68"/>
      <c r="AC1048563" s="68"/>
      <c r="AD1048563" s="68"/>
      <c r="AE1048563" s="68"/>
      <c r="AF1048563" s="68"/>
      <c r="AG1048563" s="68"/>
    </row>
    <row r="1048564" spans="1:33">
      <c r="A1048564" s="68"/>
      <c r="B1048564" s="68"/>
      <c r="C1048564" s="68"/>
      <c r="D1048564" s="68"/>
      <c r="E1048564" s="68"/>
      <c r="F1048564" s="68"/>
      <c r="G1048564" s="68"/>
      <c r="H1048564" s="68"/>
      <c r="I1048564" s="68"/>
      <c r="J1048564" s="68"/>
      <c r="K1048564" s="68"/>
      <c r="L1048564" s="68"/>
      <c r="M1048564" s="68"/>
      <c r="N1048564" s="68"/>
      <c r="O1048564" s="68"/>
      <c r="P1048564" s="68"/>
      <c r="Q1048564" s="1782"/>
      <c r="R1048564" s="68"/>
      <c r="S1048564" s="68"/>
      <c r="T1048564" s="68"/>
      <c r="U1048564" s="68"/>
      <c r="V1048564" s="68"/>
      <c r="W1048564" s="68"/>
      <c r="X1048564" s="1782"/>
      <c r="Y1048564" s="68"/>
      <c r="Z1048564" s="68"/>
      <c r="AA1048564" s="68"/>
      <c r="AB1048564" s="68"/>
      <c r="AC1048564" s="68"/>
      <c r="AD1048564" s="68"/>
      <c r="AE1048564" s="68"/>
      <c r="AF1048564" s="68"/>
      <c r="AG1048564" s="68"/>
    </row>
  </sheetData>
  <pageMargins left="0.7" right="0.7" top="0.75" bottom="0.75" header="0.3" footer="0.3"/>
  <pageSetup scale="26" fitToHeight="0" orientation="landscape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351BD-0058-477A-95DF-BDADA372773A}">
  <sheetPr codeName="Sheet31">
    <pageSetUpPr fitToPage="1"/>
  </sheetPr>
  <dimension ref="A1:AR1048576"/>
  <sheetViews>
    <sheetView zoomScale="90" zoomScaleNormal="90" workbookViewId="0">
      <selection activeCell="M39" sqref="M39"/>
    </sheetView>
  </sheetViews>
  <sheetFormatPr defaultColWidth="9.1796875" defaultRowHeight="14.5" outlineLevelCol="1"/>
  <cols>
    <col min="1" max="1" width="8.81640625" style="837" customWidth="1"/>
    <col min="2" max="3" width="12.1796875" style="2019" customWidth="1"/>
    <col min="4" max="4" width="8.26953125" style="1911" customWidth="1"/>
    <col min="5" max="5" width="20.1796875" style="1909" customWidth="1"/>
    <col min="6" max="6" width="18.26953125" style="1787" customWidth="1"/>
    <col min="7" max="7" width="13.1796875" style="837" customWidth="1"/>
    <col min="8" max="8" width="13.453125" style="837" customWidth="1"/>
    <col min="9" max="9" width="38.26953125" style="837" customWidth="1" outlineLevel="1"/>
    <col min="10" max="10" width="13.81640625" style="838" customWidth="1" outlineLevel="1"/>
    <col min="11" max="11" width="9.7265625" style="838" customWidth="1" outlineLevel="1"/>
    <col min="12" max="12" width="10.54296875" style="837" customWidth="1" outlineLevel="1"/>
    <col min="13" max="13" width="13.1796875" style="837" customWidth="1" outlineLevel="1"/>
    <col min="14" max="14" width="15" style="837" customWidth="1"/>
    <col min="15" max="15" width="22.26953125" style="837" customWidth="1"/>
    <col min="16" max="16" width="12.54296875" style="837" customWidth="1"/>
    <col min="17" max="17" width="13.1796875" style="837" customWidth="1"/>
    <col min="18" max="18" width="13.26953125" style="1828" customWidth="1"/>
    <col min="19" max="19" width="11.26953125" style="837" bestFit="1" customWidth="1"/>
    <col min="20" max="20" width="9.1796875" style="837" bestFit="1" customWidth="1"/>
    <col min="21" max="21" width="9.1796875" style="837" customWidth="1"/>
    <col min="22" max="22" width="14.1796875" style="837" customWidth="1"/>
    <col min="23" max="23" width="16.54296875" style="837" customWidth="1"/>
    <col min="24" max="24" width="14.26953125" style="1828" customWidth="1"/>
    <col min="25" max="25" width="13.1796875" style="837" bestFit="1" customWidth="1"/>
    <col min="26" max="26" width="28.1796875" style="837" customWidth="1"/>
    <col min="27" max="27" width="13.7265625" style="837" customWidth="1"/>
    <col min="28" max="31" width="9.1796875" style="837" customWidth="1"/>
    <col min="32" max="16384" width="9.1796875" style="837"/>
  </cols>
  <sheetData>
    <row r="1" spans="1:44">
      <c r="A1" s="68"/>
      <c r="B1" s="2015"/>
      <c r="C1" s="2015"/>
      <c r="D1" s="66"/>
      <c r="E1" s="56"/>
      <c r="F1" s="67"/>
      <c r="G1" s="68"/>
      <c r="H1" s="68"/>
      <c r="I1" s="68"/>
      <c r="J1" s="59"/>
      <c r="K1" s="59"/>
      <c r="L1" s="68"/>
      <c r="M1" s="68"/>
      <c r="N1" s="68"/>
      <c r="O1" s="68"/>
      <c r="P1" s="68"/>
      <c r="Q1" s="68"/>
      <c r="R1" s="1782"/>
      <c r="S1" s="68"/>
      <c r="T1" s="68"/>
      <c r="U1" s="68"/>
      <c r="V1" s="68"/>
      <c r="W1" s="68"/>
      <c r="X1" s="1782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</row>
    <row r="2" spans="1:44" s="1787" customFormat="1" ht="20.25" customHeight="1">
      <c r="A2" s="393" t="s">
        <v>2</v>
      </c>
      <c r="B2" s="2016"/>
      <c r="C2" s="2016"/>
      <c r="D2" s="390"/>
      <c r="E2" s="389"/>
      <c r="F2" s="391"/>
      <c r="G2" s="391"/>
      <c r="H2" s="391"/>
      <c r="I2" s="391" t="s">
        <v>1172</v>
      </c>
      <c r="J2" s="52"/>
      <c r="K2" s="389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391"/>
      <c r="X2" s="1783"/>
      <c r="Y2" s="1784"/>
      <c r="Z2" s="391"/>
      <c r="AA2" s="1785"/>
      <c r="AB2" s="67"/>
      <c r="AC2" s="67"/>
      <c r="AD2" s="67"/>
      <c r="AE2" s="67"/>
      <c r="AF2" s="1786"/>
      <c r="AG2" s="68" t="s">
        <v>1</v>
      </c>
      <c r="AH2" s="67"/>
      <c r="AI2" s="67"/>
      <c r="AJ2" s="67"/>
      <c r="AK2" s="67"/>
      <c r="AL2" s="67"/>
      <c r="AM2" s="67"/>
      <c r="AN2" s="67"/>
      <c r="AO2" s="67"/>
      <c r="AP2" s="67"/>
      <c r="AQ2" s="67"/>
      <c r="AR2" s="67"/>
    </row>
    <row r="3" spans="1:44" s="1787" customFormat="1" ht="20.25" customHeight="1">
      <c r="A3" s="393" t="s">
        <v>1173</v>
      </c>
      <c r="B3" s="2017">
        <v>45447</v>
      </c>
      <c r="C3" s="2017"/>
      <c r="D3" s="393"/>
      <c r="E3" s="392">
        <f>500*6</f>
        <v>3000</v>
      </c>
      <c r="F3" s="67"/>
      <c r="G3" s="2020" t="s">
        <v>1174</v>
      </c>
      <c r="H3" s="2020">
        <v>0.41666666666666669</v>
      </c>
      <c r="I3" s="67"/>
      <c r="J3" s="2020" t="s">
        <v>1175</v>
      </c>
      <c r="K3" s="2020">
        <v>0.5</v>
      </c>
      <c r="L3" s="60"/>
      <c r="M3" s="392" t="s">
        <v>1176</v>
      </c>
      <c r="N3" s="2020" t="str">
        <f>TEXT(H4-K3,"hh:mm")</f>
        <v>02:00</v>
      </c>
      <c r="O3" s="67"/>
      <c r="P3" s="394"/>
      <c r="Q3" s="394"/>
      <c r="R3" s="394"/>
      <c r="S3" s="394"/>
      <c r="T3" s="394"/>
      <c r="U3" s="394"/>
      <c r="V3" s="394"/>
      <c r="W3" s="394"/>
      <c r="X3" s="1788"/>
      <c r="Y3" s="1789"/>
      <c r="Z3" s="394"/>
      <c r="AA3" s="1790"/>
      <c r="AB3" s="67"/>
      <c r="AC3" s="67"/>
      <c r="AD3" s="67"/>
      <c r="AE3" s="67"/>
      <c r="AF3" s="1791"/>
      <c r="AG3" s="68" t="s">
        <v>3</v>
      </c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</row>
    <row r="4" spans="1:44" s="1787" customFormat="1" ht="20.25" customHeight="1">
      <c r="A4" s="393" t="s">
        <v>1177</v>
      </c>
      <c r="B4" s="2017">
        <v>45657</v>
      </c>
      <c r="C4" s="2017"/>
      <c r="D4" s="393"/>
      <c r="E4" s="392"/>
      <c r="F4" s="67"/>
      <c r="G4" s="2020" t="s">
        <v>1178</v>
      </c>
      <c r="H4" s="2020">
        <v>0.58333333333333337</v>
      </c>
      <c r="I4" s="67"/>
      <c r="J4" s="2020" t="s">
        <v>1179</v>
      </c>
      <c r="K4" s="2020">
        <v>0.70833333333333337</v>
      </c>
      <c r="L4" s="60"/>
      <c r="M4" s="392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1788"/>
      <c r="Y4" s="1789"/>
      <c r="Z4" s="394"/>
      <c r="AA4" s="1790"/>
      <c r="AB4" s="67"/>
      <c r="AC4" s="67"/>
      <c r="AD4" s="67"/>
      <c r="AE4" s="67"/>
      <c r="AF4" s="1792"/>
      <c r="AG4" s="68" t="s">
        <v>5</v>
      </c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</row>
    <row r="5" spans="1:44" s="1787" customFormat="1" ht="18.649999999999999" customHeight="1">
      <c r="A5" s="67"/>
      <c r="B5" s="2018"/>
      <c r="C5" s="2018"/>
      <c r="D5" s="66"/>
      <c r="E5" s="56"/>
      <c r="F5" s="67"/>
      <c r="G5" s="67"/>
      <c r="H5" s="67"/>
      <c r="I5" s="67"/>
      <c r="J5" s="66"/>
      <c r="K5" s="66"/>
      <c r="L5" s="67"/>
      <c r="M5" s="67"/>
      <c r="N5" s="68"/>
      <c r="O5" s="68"/>
      <c r="P5" s="68"/>
      <c r="Q5" s="67"/>
      <c r="R5" s="1793"/>
      <c r="S5" s="67"/>
      <c r="T5" s="67"/>
      <c r="U5" s="67"/>
      <c r="V5" s="67"/>
      <c r="W5" s="67"/>
      <c r="X5" s="1793"/>
      <c r="Y5" s="1794"/>
      <c r="Z5" s="67"/>
      <c r="AA5" s="1795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</row>
    <row r="6" spans="1:44" s="1801" customFormat="1" ht="51" customHeight="1">
      <c r="A6" s="2021" t="s">
        <v>1180</v>
      </c>
      <c r="B6" s="2022" t="s">
        <v>6</v>
      </c>
      <c r="C6" s="2022" t="s">
        <v>6</v>
      </c>
      <c r="D6" s="2023" t="s">
        <v>7</v>
      </c>
      <c r="E6" s="2024" t="s">
        <v>8</v>
      </c>
      <c r="F6" s="2021" t="s">
        <v>9</v>
      </c>
      <c r="G6" s="2021" t="s">
        <v>10</v>
      </c>
      <c r="H6" s="2025" t="s">
        <v>11</v>
      </c>
      <c r="I6" s="2021" t="s">
        <v>1143</v>
      </c>
      <c r="J6" s="2023" t="s">
        <v>13</v>
      </c>
      <c r="K6" s="2026" t="s">
        <v>14</v>
      </c>
      <c r="L6" s="2027" t="s">
        <v>15</v>
      </c>
      <c r="M6" s="2025" t="s">
        <v>16</v>
      </c>
      <c r="N6" s="2025" t="s">
        <v>1181</v>
      </c>
      <c r="O6" s="2021" t="s">
        <v>18</v>
      </c>
      <c r="P6" s="2028" t="s">
        <v>19</v>
      </c>
      <c r="Q6" s="2025" t="s">
        <v>20</v>
      </c>
      <c r="R6" s="2029" t="s">
        <v>21</v>
      </c>
      <c r="S6" s="2025" t="s">
        <v>22</v>
      </c>
      <c r="T6" s="2025" t="s">
        <v>23</v>
      </c>
      <c r="U6" s="2025" t="s">
        <v>1182</v>
      </c>
      <c r="V6" s="2025" t="s">
        <v>24</v>
      </c>
      <c r="W6" s="2030" t="s">
        <v>25</v>
      </c>
      <c r="X6" s="2025" t="s">
        <v>1146</v>
      </c>
      <c r="Y6" s="1798"/>
      <c r="Z6" s="1798"/>
      <c r="AA6" s="1798"/>
      <c r="AB6" s="1798"/>
      <c r="AC6" s="2098"/>
      <c r="AD6" s="2099"/>
      <c r="AE6" s="1798"/>
      <c r="AF6" s="1798"/>
      <c r="AG6" s="1798"/>
      <c r="AH6" s="1798"/>
      <c r="AI6" s="1798"/>
      <c r="AJ6" s="1798"/>
      <c r="AK6" s="1798"/>
      <c r="AL6" s="1798"/>
      <c r="AM6" s="1798"/>
      <c r="AN6" s="1798"/>
      <c r="AO6" s="1798"/>
      <c r="AP6" s="1798"/>
      <c r="AQ6" s="1798"/>
      <c r="AR6" s="1798"/>
    </row>
    <row r="7" spans="1:44" s="1375" customFormat="1" ht="15.5">
      <c r="A7" s="2031">
        <f>WEEKDAY(B7)</f>
        <v>3</v>
      </c>
      <c r="B7" s="2032" cm="1">
        <f t="array" ref="B7:B37">_xlfn.SEQUENCE(31,1,B3,7)</f>
        <v>45447</v>
      </c>
      <c r="C7" s="2110">
        <f>ROW()-6</f>
        <v>1</v>
      </c>
      <c r="D7" s="2033" t="s">
        <v>197</v>
      </c>
      <c r="E7" s="2034"/>
      <c r="F7" s="2032">
        <f>B7</f>
        <v>45447</v>
      </c>
      <c r="G7" s="2036">
        <v>0.41666666666666669</v>
      </c>
      <c r="H7" s="2036">
        <v>0.70833333333333337</v>
      </c>
      <c r="I7" s="2035" t="s">
        <v>1183</v>
      </c>
      <c r="J7" s="2035" t="s">
        <v>259</v>
      </c>
      <c r="K7" s="2035" t="s">
        <v>1153</v>
      </c>
      <c r="L7" s="2035"/>
      <c r="M7" s="2035"/>
      <c r="N7" s="2040">
        <f>HOUR($N$3)</f>
        <v>2</v>
      </c>
      <c r="O7" s="2036"/>
      <c r="P7" s="2035"/>
      <c r="Q7" s="2037"/>
      <c r="R7" s="2038">
        <f t="shared" ref="R7:R13" si="0">IF((T7-U7)&gt;=8,S7*6,IF(AND((T7-U7)&lt;8,(T7-U7)&gt;=4),S7*3,0))</f>
        <v>0</v>
      </c>
      <c r="S7" s="2038"/>
      <c r="T7" s="2039" t="str">
        <f t="shared" ref="T7:T70" si="1">TEXT(H7-G7,"h:mm")</f>
        <v>7:00</v>
      </c>
      <c r="U7" s="2040">
        <f>(HOUR(T7)+(MINUTE(T7)/60))-N7</f>
        <v>5</v>
      </c>
      <c r="V7" s="2037"/>
      <c r="W7" s="2038">
        <f t="shared" ref="W7:W70" si="2">T7*S7*(100-Q7)/100</f>
        <v>0</v>
      </c>
      <c r="X7" s="2041">
        <f>(R7+(((T7-U7)-0)*S7))*((100-Q7)/100)</f>
        <v>0</v>
      </c>
      <c r="Y7" s="79"/>
      <c r="Z7" s="79"/>
      <c r="AA7" s="79"/>
      <c r="AB7" s="79"/>
      <c r="AC7" s="2100"/>
      <c r="AD7" s="2101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</row>
    <row r="8" spans="1:44" s="1389" customFormat="1" ht="15.5">
      <c r="A8" s="2031">
        <f t="shared" ref="A8:A71" si="3">WEEKDAY(B8)</f>
        <v>3</v>
      </c>
      <c r="B8" s="2042">
        <v>45454</v>
      </c>
      <c r="C8" s="2110">
        <f t="shared" ref="C8:C71" si="4">ROW()-6</f>
        <v>2</v>
      </c>
      <c r="D8" s="2033" t="s">
        <v>197</v>
      </c>
      <c r="E8" s="2044"/>
      <c r="F8" s="2032">
        <f t="shared" ref="F8:F71" si="5">B8</f>
        <v>45454</v>
      </c>
      <c r="G8" s="2036">
        <v>0.41666666666666669</v>
      </c>
      <c r="H8" s="2036">
        <v>0.70833333333333337</v>
      </c>
      <c r="I8" s="2035" t="s">
        <v>1183</v>
      </c>
      <c r="J8" s="2035" t="s">
        <v>259</v>
      </c>
      <c r="K8" s="2035" t="s">
        <v>1153</v>
      </c>
      <c r="L8" s="2035"/>
      <c r="M8" s="2035"/>
      <c r="N8" s="2040">
        <f t="shared" ref="N8:N71" si="6">HOUR($N$3)</f>
        <v>2</v>
      </c>
      <c r="O8" s="2036"/>
      <c r="P8" s="2035"/>
      <c r="Q8" s="2035"/>
      <c r="R8" s="2038">
        <f t="shared" si="0"/>
        <v>0</v>
      </c>
      <c r="S8" s="2038"/>
      <c r="T8" s="2039" t="str">
        <f t="shared" si="1"/>
        <v>7:00</v>
      </c>
      <c r="U8" s="2040">
        <f t="shared" ref="U8:U71" si="7">(HOUR(T8)+(MINUTE(T8)/60))-N8</f>
        <v>5</v>
      </c>
      <c r="V8" s="2040"/>
      <c r="W8" s="2038">
        <f t="shared" si="2"/>
        <v>0</v>
      </c>
      <c r="X8" s="2041">
        <f>(R8+(((T8-U8)-0)*S8))*((100-Q8)/100)</f>
        <v>0</v>
      </c>
      <c r="Y8" s="1967"/>
      <c r="Z8" s="79"/>
      <c r="AA8" s="79"/>
      <c r="AB8" s="79"/>
      <c r="AC8" s="79"/>
      <c r="AD8" s="2100"/>
      <c r="AE8" s="2101"/>
      <c r="AF8" s="79"/>
      <c r="AG8" s="79"/>
      <c r="AH8" s="79"/>
      <c r="AI8" s="1910"/>
      <c r="AJ8" s="1910"/>
      <c r="AK8" s="1910"/>
      <c r="AL8" s="1910"/>
      <c r="AM8" s="1910"/>
      <c r="AN8" s="1910"/>
      <c r="AO8" s="1910"/>
      <c r="AP8" s="1910"/>
      <c r="AQ8" s="1910"/>
      <c r="AR8" s="1910"/>
    </row>
    <row r="9" spans="1:44" s="1375" customFormat="1" ht="15.5">
      <c r="A9" s="2031">
        <f t="shared" si="3"/>
        <v>3</v>
      </c>
      <c r="B9" s="2032">
        <v>45461</v>
      </c>
      <c r="C9" s="2110">
        <f t="shared" si="4"/>
        <v>3</v>
      </c>
      <c r="D9" s="2033" t="s">
        <v>197</v>
      </c>
      <c r="E9" s="2034"/>
      <c r="F9" s="2032">
        <f t="shared" si="5"/>
        <v>45461</v>
      </c>
      <c r="G9" s="2036">
        <v>0.41666666666666669</v>
      </c>
      <c r="H9" s="2036">
        <v>0.70833333333333337</v>
      </c>
      <c r="I9" s="2035" t="s">
        <v>1183</v>
      </c>
      <c r="J9" s="2035" t="s">
        <v>259</v>
      </c>
      <c r="K9" s="2035" t="s">
        <v>1153</v>
      </c>
      <c r="L9" s="2035"/>
      <c r="M9" s="2035"/>
      <c r="N9" s="2040">
        <f t="shared" si="6"/>
        <v>2</v>
      </c>
      <c r="O9" s="2036"/>
      <c r="P9" s="2035"/>
      <c r="Q9" s="2037"/>
      <c r="R9" s="2038">
        <f t="shared" si="0"/>
        <v>0</v>
      </c>
      <c r="S9" s="2038"/>
      <c r="T9" s="2039" t="str">
        <f t="shared" si="1"/>
        <v>7:00</v>
      </c>
      <c r="U9" s="2040">
        <f t="shared" si="7"/>
        <v>5</v>
      </c>
      <c r="V9" s="2037"/>
      <c r="W9" s="2038">
        <f t="shared" si="2"/>
        <v>0</v>
      </c>
      <c r="X9" s="2041">
        <f t="shared" ref="X9:X15" si="8">(R9+(((T9-U9)-0)*S9))*((100-Q9)/100)</f>
        <v>0</v>
      </c>
      <c r="Y9" s="79"/>
      <c r="Z9" s="79"/>
      <c r="AA9" s="79"/>
      <c r="AB9" s="79"/>
      <c r="AC9" s="2100"/>
      <c r="AD9" s="2101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</row>
    <row r="10" spans="1:44" s="1420" customFormat="1" ht="15.5">
      <c r="A10" s="2031">
        <f t="shared" si="3"/>
        <v>3</v>
      </c>
      <c r="B10" s="2032">
        <v>45468</v>
      </c>
      <c r="C10" s="2110">
        <f t="shared" si="4"/>
        <v>4</v>
      </c>
      <c r="D10" s="2033" t="s">
        <v>197</v>
      </c>
      <c r="E10" s="2034"/>
      <c r="F10" s="2032">
        <f t="shared" si="5"/>
        <v>45468</v>
      </c>
      <c r="G10" s="2036">
        <v>0.41666666666666669</v>
      </c>
      <c r="H10" s="2036">
        <v>0.70833333333333337</v>
      </c>
      <c r="I10" s="2035" t="s">
        <v>1183</v>
      </c>
      <c r="J10" s="2035" t="s">
        <v>259</v>
      </c>
      <c r="K10" s="2035" t="s">
        <v>1153</v>
      </c>
      <c r="L10" s="2035"/>
      <c r="M10" s="2035"/>
      <c r="N10" s="2040">
        <f t="shared" si="6"/>
        <v>2</v>
      </c>
      <c r="O10" s="2035"/>
      <c r="P10" s="2035"/>
      <c r="Q10" s="2037"/>
      <c r="R10" s="2038">
        <f t="shared" si="0"/>
        <v>0</v>
      </c>
      <c r="S10" s="2038"/>
      <c r="T10" s="2039" t="str">
        <f t="shared" si="1"/>
        <v>7:00</v>
      </c>
      <c r="U10" s="2040">
        <f t="shared" si="7"/>
        <v>5</v>
      </c>
      <c r="V10" s="2037"/>
      <c r="W10" s="2038">
        <f t="shared" si="2"/>
        <v>0</v>
      </c>
      <c r="X10" s="2041">
        <f t="shared" si="8"/>
        <v>0</v>
      </c>
      <c r="Y10" s="79"/>
      <c r="Z10" s="79"/>
      <c r="AA10" s="79"/>
      <c r="AB10" s="79"/>
      <c r="AC10" s="2100"/>
      <c r="AD10" s="2101"/>
      <c r="AE10" s="79"/>
      <c r="AF10" s="79"/>
      <c r="AG10" s="79"/>
      <c r="AH10" s="79"/>
      <c r="AI10" s="82"/>
      <c r="AJ10" s="82"/>
      <c r="AK10" s="82"/>
      <c r="AL10" s="82"/>
      <c r="AM10" s="82"/>
      <c r="AN10" s="82"/>
      <c r="AO10" s="82"/>
      <c r="AP10" s="82"/>
      <c r="AQ10" s="82"/>
      <c r="AR10" s="82"/>
    </row>
    <row r="11" spans="1:44" s="1420" customFormat="1" ht="15.5">
      <c r="A11" s="2031">
        <f t="shared" si="3"/>
        <v>3</v>
      </c>
      <c r="B11" s="2032">
        <v>45475</v>
      </c>
      <c r="C11" s="2110">
        <f t="shared" si="4"/>
        <v>5</v>
      </c>
      <c r="D11" s="2033" t="s">
        <v>197</v>
      </c>
      <c r="E11" s="2034"/>
      <c r="F11" s="2032">
        <f t="shared" si="5"/>
        <v>45475</v>
      </c>
      <c r="G11" s="2036">
        <v>0.41666666666666669</v>
      </c>
      <c r="H11" s="2036">
        <v>0.70833333333333337</v>
      </c>
      <c r="I11" s="2035" t="s">
        <v>1183</v>
      </c>
      <c r="J11" s="2035" t="s">
        <v>259</v>
      </c>
      <c r="K11" s="2035" t="s">
        <v>1153</v>
      </c>
      <c r="L11" s="2035"/>
      <c r="M11" s="2035"/>
      <c r="N11" s="2040">
        <f t="shared" si="6"/>
        <v>2</v>
      </c>
      <c r="O11" s="2035"/>
      <c r="P11" s="2035"/>
      <c r="Q11" s="2045"/>
      <c r="R11" s="2038">
        <f t="shared" si="0"/>
        <v>0</v>
      </c>
      <c r="S11" s="2038"/>
      <c r="T11" s="2039" t="str">
        <f t="shared" si="1"/>
        <v>7:00</v>
      </c>
      <c r="U11" s="2040">
        <f t="shared" si="7"/>
        <v>5</v>
      </c>
      <c r="V11" s="2046"/>
      <c r="W11" s="2038">
        <f t="shared" si="2"/>
        <v>0</v>
      </c>
      <c r="X11" s="2041">
        <f t="shared" si="8"/>
        <v>0</v>
      </c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</row>
    <row r="12" spans="1:44" s="1420" customFormat="1" ht="15.5">
      <c r="A12" s="2031">
        <f t="shared" si="3"/>
        <v>3</v>
      </c>
      <c r="B12" s="2032">
        <v>45482</v>
      </c>
      <c r="C12" s="2110">
        <f t="shared" si="4"/>
        <v>6</v>
      </c>
      <c r="D12" s="2033" t="s">
        <v>197</v>
      </c>
      <c r="E12" s="2034"/>
      <c r="F12" s="2032">
        <f t="shared" si="5"/>
        <v>45482</v>
      </c>
      <c r="G12" s="2036">
        <v>0.41666666666666669</v>
      </c>
      <c r="H12" s="2036">
        <v>0.70833333333333337</v>
      </c>
      <c r="I12" s="2035" t="s">
        <v>1183</v>
      </c>
      <c r="J12" s="2035" t="s">
        <v>259</v>
      </c>
      <c r="K12" s="2035" t="s">
        <v>1153</v>
      </c>
      <c r="L12" s="2035"/>
      <c r="M12" s="2035"/>
      <c r="N12" s="2040">
        <f t="shared" si="6"/>
        <v>2</v>
      </c>
      <c r="O12" s="2035"/>
      <c r="P12" s="2035"/>
      <c r="Q12" s="2047"/>
      <c r="R12" s="2038">
        <f t="shared" si="0"/>
        <v>0</v>
      </c>
      <c r="S12" s="2048"/>
      <c r="T12" s="2039" t="str">
        <f t="shared" si="1"/>
        <v>7:00</v>
      </c>
      <c r="U12" s="2040">
        <f t="shared" si="7"/>
        <v>5</v>
      </c>
      <c r="V12" s="2035"/>
      <c r="W12" s="2049">
        <f t="shared" si="2"/>
        <v>0</v>
      </c>
      <c r="X12" s="2041">
        <f t="shared" si="8"/>
        <v>0</v>
      </c>
      <c r="Y12" s="2102"/>
      <c r="Z12" s="91"/>
      <c r="AA12" s="2102"/>
      <c r="AB12" s="82"/>
      <c r="AC12" s="82"/>
      <c r="AD12" s="82"/>
      <c r="AE12" s="82"/>
      <c r="AF12" s="82"/>
      <c r="AG12" s="82"/>
      <c r="AH12" s="82"/>
      <c r="AI12" s="82"/>
      <c r="AJ12" s="82"/>
      <c r="AK12" s="82"/>
      <c r="AL12" s="82"/>
      <c r="AM12" s="82"/>
      <c r="AN12" s="82"/>
      <c r="AO12" s="82"/>
      <c r="AP12" s="82"/>
      <c r="AQ12" s="82"/>
      <c r="AR12" s="82"/>
    </row>
    <row r="13" spans="1:44" s="1420" customFormat="1" ht="15.5">
      <c r="A13" s="2031">
        <f t="shared" si="3"/>
        <v>3</v>
      </c>
      <c r="B13" s="2032">
        <v>45489</v>
      </c>
      <c r="C13" s="2110">
        <f t="shared" si="4"/>
        <v>7</v>
      </c>
      <c r="D13" s="2033" t="s">
        <v>197</v>
      </c>
      <c r="E13" s="2050"/>
      <c r="F13" s="2032">
        <f t="shared" si="5"/>
        <v>45489</v>
      </c>
      <c r="G13" s="2036">
        <v>0.41666666666666669</v>
      </c>
      <c r="H13" s="2036">
        <v>0.70833333333333337</v>
      </c>
      <c r="I13" s="2035" t="s">
        <v>1183</v>
      </c>
      <c r="J13" s="2035" t="s">
        <v>259</v>
      </c>
      <c r="K13" s="2035" t="s">
        <v>1153</v>
      </c>
      <c r="L13" s="2035"/>
      <c r="M13" s="2052"/>
      <c r="N13" s="2040">
        <f t="shared" si="6"/>
        <v>2</v>
      </c>
      <c r="O13" s="2035"/>
      <c r="P13" s="2035"/>
      <c r="Q13" s="2037"/>
      <c r="R13" s="2038">
        <f t="shared" si="0"/>
        <v>0</v>
      </c>
      <c r="S13" s="2038"/>
      <c r="T13" s="2039" t="str">
        <f t="shared" si="1"/>
        <v>7:00</v>
      </c>
      <c r="U13" s="2040">
        <f t="shared" si="7"/>
        <v>5</v>
      </c>
      <c r="V13" s="2037"/>
      <c r="W13" s="2038">
        <f t="shared" si="2"/>
        <v>0</v>
      </c>
      <c r="X13" s="2041">
        <f t="shared" si="8"/>
        <v>0</v>
      </c>
      <c r="Y13" s="79"/>
      <c r="Z13" s="79"/>
      <c r="AA13" s="79"/>
      <c r="AB13" s="79"/>
      <c r="AC13" s="2100"/>
      <c r="AD13" s="2101"/>
      <c r="AE13" s="79"/>
      <c r="AF13" s="79"/>
      <c r="AG13" s="79"/>
      <c r="AH13" s="82"/>
      <c r="AI13" s="82"/>
      <c r="AJ13" s="82"/>
      <c r="AK13" s="82"/>
      <c r="AL13" s="82"/>
      <c r="AM13" s="82"/>
      <c r="AN13" s="82"/>
      <c r="AO13" s="82"/>
      <c r="AP13" s="82"/>
      <c r="AQ13" s="82"/>
      <c r="AR13" s="82"/>
    </row>
    <row r="14" spans="1:44" s="1420" customFormat="1" ht="14.5" customHeight="1">
      <c r="A14" s="2031">
        <f t="shared" si="3"/>
        <v>3</v>
      </c>
      <c r="B14" s="2032">
        <v>45496</v>
      </c>
      <c r="C14" s="2110">
        <f t="shared" si="4"/>
        <v>8</v>
      </c>
      <c r="D14" s="2033" t="s">
        <v>197</v>
      </c>
      <c r="E14" s="2050"/>
      <c r="F14" s="2032">
        <f t="shared" si="5"/>
        <v>45496</v>
      </c>
      <c r="G14" s="2036">
        <v>0.41666666666666669</v>
      </c>
      <c r="H14" s="2036">
        <v>0.70833333333333337</v>
      </c>
      <c r="I14" s="2035" t="s">
        <v>1183</v>
      </c>
      <c r="J14" s="2035" t="s">
        <v>259</v>
      </c>
      <c r="K14" s="2035" t="s">
        <v>1153</v>
      </c>
      <c r="L14" s="2035"/>
      <c r="M14" s="2052"/>
      <c r="N14" s="2040">
        <f t="shared" si="6"/>
        <v>2</v>
      </c>
      <c r="O14" s="2053"/>
      <c r="P14" s="2035"/>
      <c r="Q14" s="2045"/>
      <c r="R14" s="2038">
        <f>IF((T14-U14)&gt;=8,S14*6,IF(AND((T14-U14)&lt;8,(T14-U14)&gt;=4),S14*3,0))</f>
        <v>0</v>
      </c>
      <c r="S14" s="2038"/>
      <c r="T14" s="2039" t="str">
        <f t="shared" si="1"/>
        <v>7:00</v>
      </c>
      <c r="U14" s="2040">
        <f t="shared" si="7"/>
        <v>5</v>
      </c>
      <c r="V14" s="2045"/>
      <c r="W14" s="2038">
        <f t="shared" si="2"/>
        <v>0</v>
      </c>
      <c r="X14" s="2041">
        <f t="shared" si="8"/>
        <v>0</v>
      </c>
      <c r="Y14" s="2102"/>
      <c r="Z14" s="1967"/>
      <c r="AA14" s="2102"/>
      <c r="AB14" s="82"/>
      <c r="AC14" s="82"/>
      <c r="AD14" s="82"/>
      <c r="AE14" s="82"/>
      <c r="AF14" s="82"/>
      <c r="AG14" s="82"/>
      <c r="AH14" s="82"/>
      <c r="AI14" s="82"/>
      <c r="AJ14" s="82"/>
      <c r="AK14" s="82"/>
      <c r="AL14" s="82"/>
      <c r="AM14" s="82"/>
      <c r="AN14" s="82"/>
      <c r="AO14" s="82"/>
      <c r="AP14" s="82"/>
      <c r="AQ14" s="82"/>
      <c r="AR14" s="82"/>
    </row>
    <row r="15" spans="1:44" s="1420" customFormat="1" ht="15.5">
      <c r="A15" s="2031">
        <f t="shared" si="3"/>
        <v>3</v>
      </c>
      <c r="B15" s="2032">
        <v>45503</v>
      </c>
      <c r="C15" s="2110">
        <f t="shared" si="4"/>
        <v>9</v>
      </c>
      <c r="D15" s="2033" t="s">
        <v>197</v>
      </c>
      <c r="E15" s="2050"/>
      <c r="F15" s="2032">
        <f t="shared" si="5"/>
        <v>45503</v>
      </c>
      <c r="G15" s="2036">
        <v>0.41666666666666669</v>
      </c>
      <c r="H15" s="2036">
        <v>0.70833333333333337</v>
      </c>
      <c r="I15" s="2035" t="s">
        <v>1183</v>
      </c>
      <c r="J15" s="2035" t="s">
        <v>259</v>
      </c>
      <c r="K15" s="2035" t="s">
        <v>1153</v>
      </c>
      <c r="L15" s="2035"/>
      <c r="M15" s="2052"/>
      <c r="N15" s="2040">
        <f t="shared" si="6"/>
        <v>2</v>
      </c>
      <c r="O15" s="2053"/>
      <c r="P15" s="2035"/>
      <c r="Q15" s="2037"/>
      <c r="R15" s="2038">
        <f>IF((T15-U15)&gt;=8,S15*6,IF(AND((T15-U15)&lt;8,(T15-U15)&gt;=4),S15*3,0))</f>
        <v>0</v>
      </c>
      <c r="S15" s="2038"/>
      <c r="T15" s="2039" t="str">
        <f t="shared" si="1"/>
        <v>7:00</v>
      </c>
      <c r="U15" s="2040">
        <f t="shared" si="7"/>
        <v>5</v>
      </c>
      <c r="V15" s="2037"/>
      <c r="W15" s="2038">
        <f t="shared" si="2"/>
        <v>0</v>
      </c>
      <c r="X15" s="2041">
        <f t="shared" si="8"/>
        <v>0</v>
      </c>
      <c r="Y15" s="79"/>
      <c r="Z15" s="79"/>
      <c r="AA15" s="79"/>
      <c r="AB15" s="79"/>
      <c r="AC15" s="2100"/>
      <c r="AD15" s="2101"/>
      <c r="AE15" s="79"/>
      <c r="AF15" s="79"/>
      <c r="AG15" s="79"/>
      <c r="AH15" s="82"/>
      <c r="AI15" s="82"/>
      <c r="AJ15" s="82"/>
      <c r="AK15" s="82"/>
      <c r="AL15" s="82"/>
      <c r="AM15" s="82"/>
      <c r="AN15" s="82"/>
      <c r="AO15" s="82"/>
      <c r="AP15" s="82"/>
      <c r="AQ15" s="82"/>
      <c r="AR15" s="82"/>
    </row>
    <row r="16" spans="1:44" s="1817" customFormat="1" ht="15.5">
      <c r="A16" s="2031">
        <f t="shared" si="3"/>
        <v>3</v>
      </c>
      <c r="B16" s="2032">
        <v>45510</v>
      </c>
      <c r="C16" s="2110">
        <f t="shared" si="4"/>
        <v>10</v>
      </c>
      <c r="D16" s="2033" t="s">
        <v>197</v>
      </c>
      <c r="E16" s="2050"/>
      <c r="F16" s="2032">
        <f t="shared" si="5"/>
        <v>45510</v>
      </c>
      <c r="G16" s="2036">
        <v>0.41666666666666669</v>
      </c>
      <c r="H16" s="2036">
        <v>0.70833333333333337</v>
      </c>
      <c r="I16" s="2035" t="s">
        <v>1183</v>
      </c>
      <c r="J16" s="2035" t="s">
        <v>259</v>
      </c>
      <c r="K16" s="2035" t="s">
        <v>1153</v>
      </c>
      <c r="L16" s="2035"/>
      <c r="M16" s="2054"/>
      <c r="N16" s="2040">
        <f t="shared" si="6"/>
        <v>2</v>
      </c>
      <c r="O16" s="2055"/>
      <c r="P16" s="2035"/>
      <c r="Q16" s="2045"/>
      <c r="R16" s="2038">
        <f>IF((T16-U16)&gt;=8,S16*6,IF(AND((T16-U16)&lt;8,(T16-U16)&gt;=4),S16*3,0))</f>
        <v>0</v>
      </c>
      <c r="S16" s="2038"/>
      <c r="T16" s="2039" t="str">
        <f t="shared" si="1"/>
        <v>7:00</v>
      </c>
      <c r="U16" s="2040">
        <f t="shared" si="7"/>
        <v>5</v>
      </c>
      <c r="V16" s="2045"/>
      <c r="W16" s="2038">
        <f t="shared" si="2"/>
        <v>0</v>
      </c>
      <c r="X16" s="2041">
        <f>(R16+(((T16-U16)-0)*S16))*((100-Q16)/100)</f>
        <v>0</v>
      </c>
      <c r="Y16" s="2103"/>
      <c r="Z16" s="2104"/>
      <c r="AA16" s="2103"/>
      <c r="AB16" s="1798"/>
      <c r="AC16" s="1798"/>
      <c r="AD16" s="1798"/>
      <c r="AE16" s="1798"/>
      <c r="AF16" s="1798"/>
      <c r="AG16" s="1798"/>
      <c r="AH16" s="1798"/>
      <c r="AI16" s="1798"/>
      <c r="AJ16" s="1798"/>
      <c r="AK16" s="1798"/>
      <c r="AL16" s="1798"/>
      <c r="AM16" s="1798"/>
      <c r="AN16" s="1798"/>
      <c r="AO16" s="1798"/>
      <c r="AP16" s="1798"/>
      <c r="AQ16" s="1798"/>
      <c r="AR16" s="1798"/>
    </row>
    <row r="17" spans="1:44" s="1808" customFormat="1" ht="15.5">
      <c r="A17" s="2031">
        <f t="shared" si="3"/>
        <v>3</v>
      </c>
      <c r="B17" s="2032">
        <v>45517</v>
      </c>
      <c r="C17" s="2110">
        <f t="shared" si="4"/>
        <v>11</v>
      </c>
      <c r="D17" s="2033" t="s">
        <v>197</v>
      </c>
      <c r="E17" s="2050"/>
      <c r="F17" s="2032">
        <f t="shared" si="5"/>
        <v>45517</v>
      </c>
      <c r="G17" s="2036">
        <v>0.41666666666666669</v>
      </c>
      <c r="H17" s="2036">
        <v>0.70833333333333337</v>
      </c>
      <c r="I17" s="2035" t="s">
        <v>1183</v>
      </c>
      <c r="J17" s="2035" t="s">
        <v>259</v>
      </c>
      <c r="K17" s="2035" t="s">
        <v>1153</v>
      </c>
      <c r="L17" s="2035"/>
      <c r="M17" s="2052"/>
      <c r="N17" s="2040">
        <f t="shared" si="6"/>
        <v>2</v>
      </c>
      <c r="O17" s="2053"/>
      <c r="P17" s="2035"/>
      <c r="Q17" s="2038"/>
      <c r="R17" s="2038">
        <f t="shared" ref="R17:R80" si="9">IF((T17-U17)&gt;=8,S17*6,IF(AND((T17-U17)&lt;8,(T17-U17)&gt;=4),S17*3,0))</f>
        <v>0</v>
      </c>
      <c r="S17" s="2038"/>
      <c r="T17" s="2039" t="str">
        <f t="shared" si="1"/>
        <v>7:00</v>
      </c>
      <c r="U17" s="2040">
        <f t="shared" si="7"/>
        <v>5</v>
      </c>
      <c r="V17" s="2045"/>
      <c r="W17" s="2038">
        <f t="shared" si="2"/>
        <v>0</v>
      </c>
      <c r="X17" s="2041">
        <f>(R17+(((T17-U17)-0)*S17))*((100-Q17)/100)</f>
        <v>0</v>
      </c>
      <c r="Y17" s="2103"/>
      <c r="Z17" s="1967"/>
      <c r="AA17" s="2103"/>
      <c r="AB17" s="104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4"/>
      <c r="AN17" s="104"/>
      <c r="AO17" s="104"/>
      <c r="AP17" s="104"/>
      <c r="AQ17" s="104"/>
      <c r="AR17" s="104"/>
    </row>
    <row r="18" spans="1:44" s="1420" customFormat="1" ht="15.5">
      <c r="A18" s="2031">
        <f t="shared" si="3"/>
        <v>3</v>
      </c>
      <c r="B18" s="2032">
        <v>45524</v>
      </c>
      <c r="C18" s="2110">
        <f t="shared" si="4"/>
        <v>12</v>
      </c>
      <c r="D18" s="2033" t="s">
        <v>197</v>
      </c>
      <c r="E18" s="2050"/>
      <c r="F18" s="2032">
        <f t="shared" si="5"/>
        <v>45524</v>
      </c>
      <c r="G18" s="2036">
        <v>0.41666666666666669</v>
      </c>
      <c r="H18" s="2036">
        <v>0.70833333333333337</v>
      </c>
      <c r="I18" s="2035" t="s">
        <v>1183</v>
      </c>
      <c r="J18" s="2035" t="s">
        <v>259</v>
      </c>
      <c r="K18" s="2035" t="s">
        <v>1153</v>
      </c>
      <c r="L18" s="2035"/>
      <c r="M18" s="2052"/>
      <c r="N18" s="2040">
        <f t="shared" si="6"/>
        <v>2</v>
      </c>
      <c r="O18" s="2053"/>
      <c r="P18" s="2035"/>
      <c r="Q18" s="2056"/>
      <c r="R18" s="2038">
        <f t="shared" si="9"/>
        <v>0</v>
      </c>
      <c r="S18" s="2038"/>
      <c r="T18" s="2039" t="str">
        <f t="shared" si="1"/>
        <v>7:00</v>
      </c>
      <c r="U18" s="2040">
        <f t="shared" si="7"/>
        <v>5</v>
      </c>
      <c r="V18" s="2045"/>
      <c r="W18" s="2038">
        <f t="shared" si="2"/>
        <v>0</v>
      </c>
      <c r="X18" s="2041">
        <f t="shared" ref="X18:X21" si="10">(R18+(((T18-U18)-0)*S18))*((100-Q18)/100)</f>
        <v>0</v>
      </c>
      <c r="Y18" s="2102"/>
      <c r="Z18" s="91"/>
      <c r="AA18" s="2102"/>
      <c r="AB18" s="82"/>
      <c r="AC18" s="82"/>
      <c r="AD18" s="82"/>
      <c r="AE18" s="82"/>
      <c r="AF18" s="82"/>
      <c r="AG18" s="82"/>
      <c r="AH18" s="82"/>
      <c r="AI18" s="82"/>
      <c r="AJ18" s="82"/>
      <c r="AK18" s="82"/>
      <c r="AL18" s="82"/>
      <c r="AM18" s="82"/>
      <c r="AN18" s="82"/>
      <c r="AO18" s="82"/>
      <c r="AP18" s="82"/>
      <c r="AQ18" s="82"/>
      <c r="AR18" s="82"/>
    </row>
    <row r="19" spans="1:44" s="1420" customFormat="1" ht="15.5">
      <c r="A19" s="2031">
        <f t="shared" si="3"/>
        <v>3</v>
      </c>
      <c r="B19" s="2032">
        <v>45531</v>
      </c>
      <c r="C19" s="2110">
        <f t="shared" si="4"/>
        <v>13</v>
      </c>
      <c r="D19" s="2033" t="s">
        <v>197</v>
      </c>
      <c r="E19" s="2050"/>
      <c r="F19" s="2032">
        <f t="shared" si="5"/>
        <v>45531</v>
      </c>
      <c r="G19" s="2036">
        <v>0.41666666666666669</v>
      </c>
      <c r="H19" s="2036">
        <v>0.70833333333333337</v>
      </c>
      <c r="I19" s="2035" t="s">
        <v>1183</v>
      </c>
      <c r="J19" s="2035" t="s">
        <v>259</v>
      </c>
      <c r="K19" s="2035" t="s">
        <v>1153</v>
      </c>
      <c r="L19" s="2035"/>
      <c r="M19" s="2052"/>
      <c r="N19" s="2040">
        <f t="shared" si="6"/>
        <v>2</v>
      </c>
      <c r="O19" s="2053"/>
      <c r="P19" s="2035"/>
      <c r="Q19" s="2046"/>
      <c r="R19" s="2038">
        <f t="shared" si="9"/>
        <v>0</v>
      </c>
      <c r="S19" s="2048"/>
      <c r="T19" s="2039" t="str">
        <f t="shared" si="1"/>
        <v>7:00</v>
      </c>
      <c r="U19" s="2040">
        <f t="shared" si="7"/>
        <v>5</v>
      </c>
      <c r="V19" s="2046"/>
      <c r="W19" s="2038">
        <f t="shared" si="2"/>
        <v>0</v>
      </c>
      <c r="X19" s="2041">
        <f>(R19+(((T19-U19)-8)*S19))*((100-Q19)/100)</f>
        <v>0</v>
      </c>
      <c r="Y19" s="806"/>
      <c r="Z19" s="1967"/>
      <c r="AA19" s="82"/>
      <c r="AB19" s="82"/>
      <c r="AC19" s="82"/>
      <c r="AD19" s="82"/>
      <c r="AE19" s="82"/>
      <c r="AF19" s="82"/>
      <c r="AG19" s="82"/>
      <c r="AH19" s="82"/>
      <c r="AI19" s="82"/>
      <c r="AJ19" s="82"/>
      <c r="AK19" s="82"/>
      <c r="AL19" s="82"/>
      <c r="AM19" s="82"/>
      <c r="AN19" s="82"/>
      <c r="AO19" s="82"/>
      <c r="AP19" s="82"/>
      <c r="AQ19" s="82"/>
      <c r="AR19" s="82"/>
    </row>
    <row r="20" spans="1:44" s="1420" customFormat="1" ht="15.5">
      <c r="A20" s="2031">
        <f t="shared" si="3"/>
        <v>3</v>
      </c>
      <c r="B20" s="2032">
        <v>45538</v>
      </c>
      <c r="C20" s="2110">
        <f t="shared" si="4"/>
        <v>14</v>
      </c>
      <c r="D20" s="2033" t="s">
        <v>197</v>
      </c>
      <c r="E20" s="2050"/>
      <c r="F20" s="2032">
        <f t="shared" si="5"/>
        <v>45538</v>
      </c>
      <c r="G20" s="2036">
        <v>0.41666666666666669</v>
      </c>
      <c r="H20" s="2036">
        <v>0.70833333333333337</v>
      </c>
      <c r="I20" s="2035" t="s">
        <v>1183</v>
      </c>
      <c r="J20" s="2035" t="s">
        <v>259</v>
      </c>
      <c r="K20" s="2035" t="s">
        <v>1153</v>
      </c>
      <c r="L20" s="2035"/>
      <c r="M20" s="2052"/>
      <c r="N20" s="2040">
        <f t="shared" si="6"/>
        <v>2</v>
      </c>
      <c r="O20" s="2053"/>
      <c r="P20" s="2035"/>
      <c r="Q20" s="2038"/>
      <c r="R20" s="2038">
        <f t="shared" si="9"/>
        <v>0</v>
      </c>
      <c r="S20" s="2038"/>
      <c r="T20" s="2039" t="str">
        <f t="shared" si="1"/>
        <v>7:00</v>
      </c>
      <c r="U20" s="2040">
        <f t="shared" si="7"/>
        <v>5</v>
      </c>
      <c r="V20" s="2045"/>
      <c r="W20" s="2049">
        <f t="shared" si="2"/>
        <v>0</v>
      </c>
      <c r="X20" s="2041">
        <f t="shared" si="10"/>
        <v>0</v>
      </c>
      <c r="Y20" s="2102"/>
      <c r="Z20" s="1967"/>
      <c r="AA20" s="2102"/>
      <c r="AB20" s="82"/>
      <c r="AC20" s="82"/>
      <c r="AD20" s="82"/>
      <c r="AE20" s="82"/>
      <c r="AF20" s="82"/>
      <c r="AG20" s="82"/>
      <c r="AH20" s="82"/>
      <c r="AI20" s="82"/>
      <c r="AJ20" s="82"/>
      <c r="AK20" s="82"/>
      <c r="AL20" s="82"/>
      <c r="AM20" s="82"/>
      <c r="AN20" s="82"/>
      <c r="AO20" s="82"/>
      <c r="AP20" s="82"/>
      <c r="AQ20" s="82"/>
      <c r="AR20" s="82"/>
    </row>
    <row r="21" spans="1:44" s="1420" customFormat="1" ht="15.5">
      <c r="A21" s="2031">
        <f t="shared" si="3"/>
        <v>3</v>
      </c>
      <c r="B21" s="2032">
        <v>45545</v>
      </c>
      <c r="C21" s="2110">
        <f t="shared" si="4"/>
        <v>15</v>
      </c>
      <c r="D21" s="2033" t="s">
        <v>197</v>
      </c>
      <c r="E21" s="2050"/>
      <c r="F21" s="2032">
        <f t="shared" si="5"/>
        <v>45545</v>
      </c>
      <c r="G21" s="2036">
        <v>0.41666666666666669</v>
      </c>
      <c r="H21" s="2036">
        <v>0.70833333333333337</v>
      </c>
      <c r="I21" s="2035" t="s">
        <v>1183</v>
      </c>
      <c r="J21" s="2035" t="s">
        <v>259</v>
      </c>
      <c r="K21" s="2035" t="s">
        <v>1153</v>
      </c>
      <c r="L21" s="2035"/>
      <c r="M21" s="2052"/>
      <c r="N21" s="2040">
        <f t="shared" si="6"/>
        <v>2</v>
      </c>
      <c r="O21" s="2053"/>
      <c r="P21" s="2035"/>
      <c r="Q21" s="2045"/>
      <c r="R21" s="2038">
        <f t="shared" si="9"/>
        <v>0</v>
      </c>
      <c r="S21" s="2038"/>
      <c r="T21" s="2039" t="str">
        <f t="shared" si="1"/>
        <v>7:00</v>
      </c>
      <c r="U21" s="2040">
        <f t="shared" si="7"/>
        <v>5</v>
      </c>
      <c r="V21" s="2045"/>
      <c r="W21" s="2038">
        <f t="shared" si="2"/>
        <v>0</v>
      </c>
      <c r="X21" s="2048">
        <f t="shared" si="10"/>
        <v>0</v>
      </c>
      <c r="Y21" s="2102"/>
      <c r="Z21" s="91"/>
      <c r="AA21" s="2102"/>
      <c r="AB21" s="82"/>
      <c r="AC21" s="82"/>
      <c r="AD21" s="82"/>
      <c r="AE21" s="82"/>
      <c r="AF21" s="82"/>
      <c r="AG21" s="82"/>
      <c r="AH21" s="82"/>
      <c r="AI21" s="82"/>
      <c r="AJ21" s="82"/>
      <c r="AK21" s="82"/>
      <c r="AL21" s="82"/>
      <c r="AM21" s="82"/>
      <c r="AN21" s="82"/>
      <c r="AO21" s="82"/>
      <c r="AP21" s="82"/>
      <c r="AQ21" s="82"/>
      <c r="AR21" s="82"/>
    </row>
    <row r="22" spans="1:44" s="1466" customFormat="1" ht="15.5">
      <c r="A22" s="2031">
        <f t="shared" si="3"/>
        <v>3</v>
      </c>
      <c r="B22" s="2032">
        <v>45552</v>
      </c>
      <c r="C22" s="2110">
        <f t="shared" si="4"/>
        <v>16</v>
      </c>
      <c r="D22" s="2033" t="s">
        <v>197</v>
      </c>
      <c r="E22" s="2050"/>
      <c r="F22" s="2032">
        <f t="shared" si="5"/>
        <v>45552</v>
      </c>
      <c r="G22" s="2036">
        <v>0.41666666666666669</v>
      </c>
      <c r="H22" s="2036">
        <v>0.70833333333333337</v>
      </c>
      <c r="I22" s="2035" t="s">
        <v>1183</v>
      </c>
      <c r="J22" s="2035" t="s">
        <v>259</v>
      </c>
      <c r="K22" s="2035" t="s">
        <v>1153</v>
      </c>
      <c r="L22" s="2035"/>
      <c r="M22" s="2052"/>
      <c r="N22" s="2040">
        <f t="shared" si="6"/>
        <v>2</v>
      </c>
      <c r="O22" s="2053"/>
      <c r="P22" s="2035"/>
      <c r="Q22" s="2056"/>
      <c r="R22" s="2038">
        <f t="shared" si="9"/>
        <v>0</v>
      </c>
      <c r="S22" s="2038"/>
      <c r="T22" s="2039" t="str">
        <f t="shared" si="1"/>
        <v>7:00</v>
      </c>
      <c r="U22" s="2040">
        <f t="shared" si="7"/>
        <v>5</v>
      </c>
      <c r="V22" s="2045"/>
      <c r="W22" s="2038">
        <f t="shared" si="2"/>
        <v>0</v>
      </c>
      <c r="X22" s="2041">
        <f>(R22+(((T22-U22)-4)*S22))*((100-Q22)/100)</f>
        <v>0</v>
      </c>
      <c r="Y22" s="2103"/>
      <c r="Z22" s="2104"/>
      <c r="AA22" s="2103"/>
      <c r="AB22" s="104"/>
      <c r="AC22" s="104"/>
      <c r="AD22" s="104"/>
      <c r="AE22" s="104"/>
      <c r="AF22" s="104"/>
      <c r="AG22" s="104"/>
      <c r="AH22" s="1064"/>
      <c r="AI22" s="1064"/>
      <c r="AJ22" s="1064"/>
      <c r="AK22" s="1064"/>
      <c r="AL22" s="1064"/>
      <c r="AM22" s="1064"/>
      <c r="AN22" s="1064"/>
      <c r="AO22" s="1064"/>
      <c r="AP22" s="1064"/>
      <c r="AQ22" s="1064"/>
      <c r="AR22" s="1064"/>
    </row>
    <row r="23" spans="1:44" s="1420" customFormat="1" ht="15.5">
      <c r="A23" s="2031">
        <f t="shared" si="3"/>
        <v>3</v>
      </c>
      <c r="B23" s="2042">
        <v>45559</v>
      </c>
      <c r="C23" s="2110">
        <f t="shared" si="4"/>
        <v>17</v>
      </c>
      <c r="D23" s="2033" t="s">
        <v>197</v>
      </c>
      <c r="E23" s="2050"/>
      <c r="F23" s="2032">
        <f t="shared" si="5"/>
        <v>45559</v>
      </c>
      <c r="G23" s="2036">
        <v>0.41666666666666669</v>
      </c>
      <c r="H23" s="2036">
        <v>0.70833333333333337</v>
      </c>
      <c r="I23" s="2035" t="s">
        <v>1183</v>
      </c>
      <c r="J23" s="2035" t="s">
        <v>259</v>
      </c>
      <c r="K23" s="2035" t="s">
        <v>1153</v>
      </c>
      <c r="L23" s="2035"/>
      <c r="M23" s="2051"/>
      <c r="N23" s="2040">
        <f t="shared" si="6"/>
        <v>2</v>
      </c>
      <c r="O23" s="2053"/>
      <c r="P23" s="2035"/>
      <c r="Q23" s="2040"/>
      <c r="R23" s="2038">
        <f t="shared" si="9"/>
        <v>0</v>
      </c>
      <c r="S23" s="2038"/>
      <c r="T23" s="2039" t="str">
        <f t="shared" si="1"/>
        <v>7:00</v>
      </c>
      <c r="U23" s="2040">
        <f t="shared" si="7"/>
        <v>5</v>
      </c>
      <c r="V23" s="2057"/>
      <c r="W23" s="2038">
        <f t="shared" si="2"/>
        <v>0</v>
      </c>
      <c r="X23" s="2041">
        <f>(R23+(((T23-U23)-0)*S23))*((100-Q23)/100)</f>
        <v>0</v>
      </c>
      <c r="Y23" s="82"/>
      <c r="Z23" s="1967"/>
      <c r="AA23" s="82"/>
      <c r="AB23" s="82"/>
      <c r="AC23" s="82"/>
      <c r="AD23" s="82"/>
      <c r="AE23" s="82"/>
      <c r="AF23" s="82"/>
      <c r="AG23" s="82"/>
      <c r="AH23" s="82"/>
      <c r="AI23" s="82"/>
      <c r="AJ23" s="82"/>
      <c r="AK23" s="82"/>
      <c r="AL23" s="82"/>
      <c r="AM23" s="82"/>
      <c r="AN23" s="82"/>
      <c r="AO23" s="82"/>
      <c r="AP23" s="82"/>
      <c r="AQ23" s="82"/>
      <c r="AR23" s="82"/>
    </row>
    <row r="24" spans="1:44" s="1420" customFormat="1" ht="15.5">
      <c r="A24" s="2031">
        <f t="shared" si="3"/>
        <v>3</v>
      </c>
      <c r="B24" s="2032">
        <v>45566</v>
      </c>
      <c r="C24" s="2110">
        <f t="shared" si="4"/>
        <v>18</v>
      </c>
      <c r="D24" s="2033" t="s">
        <v>197</v>
      </c>
      <c r="E24" s="2050"/>
      <c r="F24" s="2032">
        <f t="shared" si="5"/>
        <v>45566</v>
      </c>
      <c r="G24" s="2036">
        <v>0.41666666666666669</v>
      </c>
      <c r="H24" s="2036">
        <v>0.70833333333333337</v>
      </c>
      <c r="I24" s="2035" t="s">
        <v>1183</v>
      </c>
      <c r="J24" s="2035" t="s">
        <v>259</v>
      </c>
      <c r="K24" s="2035" t="s">
        <v>1153</v>
      </c>
      <c r="L24" s="2035"/>
      <c r="M24" s="2052"/>
      <c r="N24" s="2040">
        <f t="shared" si="6"/>
        <v>2</v>
      </c>
      <c r="O24" s="2053"/>
      <c r="P24" s="2035"/>
      <c r="Q24" s="2038"/>
      <c r="R24" s="2038">
        <f t="shared" si="9"/>
        <v>0</v>
      </c>
      <c r="S24" s="2048"/>
      <c r="T24" s="2039" t="str">
        <f t="shared" si="1"/>
        <v>7:00</v>
      </c>
      <c r="U24" s="2040">
        <f t="shared" si="7"/>
        <v>5</v>
      </c>
      <c r="V24" s="2046"/>
      <c r="W24" s="2038">
        <f t="shared" si="2"/>
        <v>0</v>
      </c>
      <c r="X24" s="2041">
        <f>(R24+(((T24-U24)-4)*S24))*((100-Q24)/100)</f>
        <v>0</v>
      </c>
      <c r="Y24" s="82"/>
      <c r="Z24" s="82"/>
      <c r="AA24" s="82"/>
      <c r="AB24" s="82"/>
      <c r="AC24" s="82"/>
      <c r="AD24" s="82"/>
      <c r="AE24" s="82"/>
      <c r="AF24" s="82"/>
      <c r="AG24" s="82"/>
      <c r="AH24" s="82"/>
      <c r="AI24" s="82"/>
      <c r="AJ24" s="82"/>
      <c r="AK24" s="82"/>
      <c r="AL24" s="82"/>
      <c r="AM24" s="82"/>
      <c r="AN24" s="82"/>
      <c r="AO24" s="82"/>
      <c r="AP24" s="82"/>
      <c r="AQ24" s="82"/>
      <c r="AR24" s="82"/>
    </row>
    <row r="25" spans="1:44" s="1808" customFormat="1" ht="15.5">
      <c r="A25" s="2031">
        <f t="shared" si="3"/>
        <v>3</v>
      </c>
      <c r="B25" s="2032">
        <v>45573</v>
      </c>
      <c r="C25" s="2110">
        <f t="shared" si="4"/>
        <v>19</v>
      </c>
      <c r="D25" s="2033" t="s">
        <v>197</v>
      </c>
      <c r="E25" s="2050"/>
      <c r="F25" s="2032">
        <f t="shared" si="5"/>
        <v>45573</v>
      </c>
      <c r="G25" s="2036">
        <v>0.41666666666666669</v>
      </c>
      <c r="H25" s="2036">
        <v>0.70833333333333337</v>
      </c>
      <c r="I25" s="2035" t="s">
        <v>1183</v>
      </c>
      <c r="J25" s="2035" t="s">
        <v>259</v>
      </c>
      <c r="K25" s="2035" t="s">
        <v>1153</v>
      </c>
      <c r="L25" s="2035"/>
      <c r="M25" s="2052"/>
      <c r="N25" s="2040">
        <f t="shared" si="6"/>
        <v>2</v>
      </c>
      <c r="O25" s="2053"/>
      <c r="P25" s="2035"/>
      <c r="Q25" s="2045"/>
      <c r="R25" s="2038">
        <f t="shared" si="9"/>
        <v>0</v>
      </c>
      <c r="S25" s="2038"/>
      <c r="T25" s="2039" t="str">
        <f t="shared" si="1"/>
        <v>7:00</v>
      </c>
      <c r="U25" s="2040">
        <f t="shared" si="7"/>
        <v>5</v>
      </c>
      <c r="V25" s="2046"/>
      <c r="W25" s="2038">
        <f t="shared" si="2"/>
        <v>0</v>
      </c>
      <c r="X25" s="2041">
        <f t="shared" ref="X25:X27" si="11">(R25+(((T25-U25)-0)*S25))*((100-Q25)/100)</f>
        <v>0</v>
      </c>
      <c r="Y25" s="104"/>
      <c r="Z25" s="1967"/>
      <c r="AA25" s="104"/>
      <c r="AB25" s="104"/>
      <c r="AC25" s="104"/>
      <c r="AD25" s="104"/>
      <c r="AE25" s="104"/>
      <c r="AF25" s="104"/>
      <c r="AG25" s="104"/>
      <c r="AH25" s="104"/>
      <c r="AI25" s="104"/>
      <c r="AJ25" s="104"/>
      <c r="AK25" s="104"/>
      <c r="AL25" s="104"/>
      <c r="AM25" s="104"/>
      <c r="AN25" s="104"/>
      <c r="AO25" s="104"/>
      <c r="AP25" s="104"/>
      <c r="AQ25" s="104"/>
      <c r="AR25" s="104"/>
    </row>
    <row r="26" spans="1:44" s="1808" customFormat="1" ht="15.5">
      <c r="A26" s="2031">
        <f t="shared" si="3"/>
        <v>3</v>
      </c>
      <c r="B26" s="2032">
        <v>45580</v>
      </c>
      <c r="C26" s="2110">
        <f t="shared" si="4"/>
        <v>20</v>
      </c>
      <c r="D26" s="2033" t="s">
        <v>197</v>
      </c>
      <c r="E26" s="2050"/>
      <c r="F26" s="2032">
        <f t="shared" si="5"/>
        <v>45580</v>
      </c>
      <c r="G26" s="2036">
        <v>0.41666666666666669</v>
      </c>
      <c r="H26" s="2036">
        <v>0.70833333333333337</v>
      </c>
      <c r="I26" s="2035" t="s">
        <v>1183</v>
      </c>
      <c r="J26" s="2035" t="s">
        <v>259</v>
      </c>
      <c r="K26" s="2035" t="s">
        <v>1153</v>
      </c>
      <c r="L26" s="2035"/>
      <c r="M26" s="2052"/>
      <c r="N26" s="2040">
        <f t="shared" si="6"/>
        <v>2</v>
      </c>
      <c r="O26" s="2053"/>
      <c r="P26" s="2035"/>
      <c r="Q26" s="2045"/>
      <c r="R26" s="2038">
        <f t="shared" si="9"/>
        <v>0</v>
      </c>
      <c r="S26" s="2038"/>
      <c r="T26" s="2039" t="str">
        <f t="shared" si="1"/>
        <v>7:00</v>
      </c>
      <c r="U26" s="2040">
        <f t="shared" si="7"/>
        <v>5</v>
      </c>
      <c r="V26" s="2045"/>
      <c r="W26" s="2038">
        <f t="shared" si="2"/>
        <v>0</v>
      </c>
      <c r="X26" s="2041">
        <f t="shared" si="11"/>
        <v>0</v>
      </c>
      <c r="Y26" s="2103"/>
      <c r="Z26" s="2104"/>
      <c r="AA26" s="2103"/>
      <c r="AB26" s="104"/>
      <c r="AC26" s="104"/>
      <c r="AD26" s="104"/>
      <c r="AE26" s="104"/>
      <c r="AF26" s="104"/>
      <c r="AG26" s="104"/>
      <c r="AH26" s="104"/>
      <c r="AI26" s="104"/>
      <c r="AJ26" s="104"/>
      <c r="AK26" s="104"/>
      <c r="AL26" s="104"/>
      <c r="AM26" s="104"/>
      <c r="AN26" s="104"/>
      <c r="AO26" s="104"/>
      <c r="AP26" s="104"/>
      <c r="AQ26" s="104"/>
      <c r="AR26" s="104"/>
    </row>
    <row r="27" spans="1:44" s="1817" customFormat="1" ht="15.5">
      <c r="A27" s="2031">
        <f t="shared" si="3"/>
        <v>3</v>
      </c>
      <c r="B27" s="2032">
        <v>45587</v>
      </c>
      <c r="C27" s="2110">
        <f t="shared" si="4"/>
        <v>21</v>
      </c>
      <c r="D27" s="2033" t="s">
        <v>197</v>
      </c>
      <c r="E27" s="2050"/>
      <c r="F27" s="2032">
        <f t="shared" si="5"/>
        <v>45587</v>
      </c>
      <c r="G27" s="2036">
        <v>0.41666666666666669</v>
      </c>
      <c r="H27" s="2036">
        <v>0.70833333333333337</v>
      </c>
      <c r="I27" s="2035" t="s">
        <v>1183</v>
      </c>
      <c r="J27" s="2035" t="s">
        <v>259</v>
      </c>
      <c r="K27" s="2035" t="s">
        <v>1153</v>
      </c>
      <c r="L27" s="2035"/>
      <c r="M27" s="2052"/>
      <c r="N27" s="2040">
        <f t="shared" si="6"/>
        <v>2</v>
      </c>
      <c r="O27" s="2053"/>
      <c r="P27" s="2035"/>
      <c r="Q27" s="2038"/>
      <c r="R27" s="2038">
        <f t="shared" si="9"/>
        <v>0</v>
      </c>
      <c r="S27" s="2038"/>
      <c r="T27" s="2039" t="str">
        <f t="shared" si="1"/>
        <v>7:00</v>
      </c>
      <c r="U27" s="2040">
        <f t="shared" si="7"/>
        <v>5</v>
      </c>
      <c r="V27" s="2058"/>
      <c r="W27" s="2038">
        <f t="shared" si="2"/>
        <v>0</v>
      </c>
      <c r="X27" s="2041">
        <f t="shared" si="11"/>
        <v>0</v>
      </c>
      <c r="Y27" s="1798"/>
      <c r="Z27" s="1967"/>
      <c r="AA27" s="1798"/>
      <c r="AB27" s="1798"/>
      <c r="AC27" s="1798"/>
      <c r="AD27" s="1798"/>
      <c r="AE27" s="1798"/>
      <c r="AF27" s="1798"/>
      <c r="AG27" s="1798"/>
      <c r="AH27" s="1798"/>
      <c r="AI27" s="1798"/>
      <c r="AJ27" s="1798"/>
      <c r="AK27" s="1798"/>
      <c r="AL27" s="1798"/>
      <c r="AM27" s="1798"/>
      <c r="AN27" s="1798"/>
      <c r="AO27" s="1798"/>
      <c r="AP27" s="1798"/>
      <c r="AQ27" s="1798"/>
      <c r="AR27" s="1798"/>
    </row>
    <row r="28" spans="1:44" s="1817" customFormat="1" ht="15.5">
      <c r="A28" s="2031">
        <f t="shared" si="3"/>
        <v>3</v>
      </c>
      <c r="B28" s="2032">
        <v>45594</v>
      </c>
      <c r="C28" s="2110">
        <f t="shared" si="4"/>
        <v>22</v>
      </c>
      <c r="D28" s="2033" t="s">
        <v>197</v>
      </c>
      <c r="E28" s="2050"/>
      <c r="F28" s="2032">
        <f t="shared" si="5"/>
        <v>45594</v>
      </c>
      <c r="G28" s="2036">
        <v>0.41666666666666669</v>
      </c>
      <c r="H28" s="2036">
        <v>0.70833333333333337</v>
      </c>
      <c r="I28" s="2035" t="s">
        <v>1183</v>
      </c>
      <c r="J28" s="2035" t="s">
        <v>259</v>
      </c>
      <c r="K28" s="2035" t="s">
        <v>1153</v>
      </c>
      <c r="L28" s="2035"/>
      <c r="M28" s="2052"/>
      <c r="N28" s="2040">
        <f t="shared" si="6"/>
        <v>2</v>
      </c>
      <c r="O28" s="2053"/>
      <c r="P28" s="2035"/>
      <c r="Q28" s="2038"/>
      <c r="R28" s="2038">
        <f t="shared" si="9"/>
        <v>0</v>
      </c>
      <c r="S28" s="2048"/>
      <c r="T28" s="2039" t="str">
        <f t="shared" si="1"/>
        <v>7:00</v>
      </c>
      <c r="U28" s="2040">
        <f t="shared" si="7"/>
        <v>5</v>
      </c>
      <c r="V28" s="2045"/>
      <c r="W28" s="2038">
        <f t="shared" si="2"/>
        <v>0</v>
      </c>
      <c r="X28" s="2041">
        <f>(R28+(((T28-U28)-8)*S28))*((100-Q28)/100)</f>
        <v>0</v>
      </c>
      <c r="Y28" s="2103"/>
      <c r="Z28" s="2104"/>
      <c r="AA28" s="2103"/>
      <c r="AB28" s="104"/>
      <c r="AC28" s="104"/>
      <c r="AD28" s="104"/>
      <c r="AE28" s="104"/>
      <c r="AF28" s="104"/>
      <c r="AG28" s="104"/>
      <c r="AH28" s="1798"/>
      <c r="AI28" s="1798"/>
      <c r="AJ28" s="1798"/>
      <c r="AK28" s="1798"/>
      <c r="AL28" s="1798"/>
      <c r="AM28" s="1798"/>
      <c r="AN28" s="1798"/>
      <c r="AO28" s="1798"/>
      <c r="AP28" s="1798"/>
      <c r="AQ28" s="1798"/>
      <c r="AR28" s="1798"/>
    </row>
    <row r="29" spans="1:44" s="1492" customFormat="1" ht="15.5">
      <c r="A29" s="2031">
        <f t="shared" si="3"/>
        <v>3</v>
      </c>
      <c r="B29" s="2042">
        <v>45601</v>
      </c>
      <c r="C29" s="2110">
        <f t="shared" si="4"/>
        <v>23</v>
      </c>
      <c r="D29" s="2033" t="s">
        <v>197</v>
      </c>
      <c r="E29" s="2050"/>
      <c r="F29" s="2032">
        <f t="shared" si="5"/>
        <v>45601</v>
      </c>
      <c r="G29" s="2036">
        <v>0.41666666666666669</v>
      </c>
      <c r="H29" s="2036">
        <v>0.70833333333333337</v>
      </c>
      <c r="I29" s="2035" t="s">
        <v>1183</v>
      </c>
      <c r="J29" s="2035" t="s">
        <v>259</v>
      </c>
      <c r="K29" s="2035" t="s">
        <v>1153</v>
      </c>
      <c r="L29" s="2035"/>
      <c r="M29" s="2051"/>
      <c r="N29" s="2040">
        <f t="shared" si="6"/>
        <v>2</v>
      </c>
      <c r="O29" s="2053"/>
      <c r="P29" s="2035"/>
      <c r="Q29" s="2059"/>
      <c r="R29" s="2038">
        <f t="shared" si="9"/>
        <v>0</v>
      </c>
      <c r="S29" s="2048"/>
      <c r="T29" s="2039" t="str">
        <f t="shared" si="1"/>
        <v>7:00</v>
      </c>
      <c r="U29" s="2040">
        <f t="shared" si="7"/>
        <v>5</v>
      </c>
      <c r="V29" s="2060"/>
      <c r="W29" s="2038">
        <f t="shared" si="2"/>
        <v>0</v>
      </c>
      <c r="X29" s="2041">
        <f>(R29+(((T29-U29)-0)*S29))*((100-Q29)/100)</f>
        <v>0</v>
      </c>
      <c r="Y29" s="2102"/>
      <c r="Z29" s="91"/>
      <c r="AA29" s="2102"/>
      <c r="AB29" s="605"/>
      <c r="AC29" s="605"/>
      <c r="AD29" s="605"/>
      <c r="AE29" s="605"/>
      <c r="AF29" s="605"/>
      <c r="AG29" s="605"/>
      <c r="AH29" s="605"/>
      <c r="AI29" s="605"/>
      <c r="AJ29" s="605"/>
      <c r="AK29" s="605"/>
      <c r="AL29" s="605"/>
      <c r="AM29" s="605"/>
      <c r="AN29" s="605"/>
      <c r="AO29" s="605"/>
      <c r="AP29" s="605"/>
      <c r="AQ29" s="605"/>
      <c r="AR29" s="605"/>
    </row>
    <row r="30" spans="1:44" s="1466" customFormat="1" ht="15.5">
      <c r="A30" s="2031">
        <f t="shared" si="3"/>
        <v>3</v>
      </c>
      <c r="B30" s="2032">
        <v>45608</v>
      </c>
      <c r="C30" s="2110">
        <f t="shared" si="4"/>
        <v>24</v>
      </c>
      <c r="D30" s="2033" t="s">
        <v>197</v>
      </c>
      <c r="E30" s="2050"/>
      <c r="F30" s="2032">
        <f t="shared" si="5"/>
        <v>45608</v>
      </c>
      <c r="G30" s="2036">
        <v>0.41666666666666669</v>
      </c>
      <c r="H30" s="2036">
        <v>0.70833333333333337</v>
      </c>
      <c r="I30" s="2035" t="s">
        <v>1183</v>
      </c>
      <c r="J30" s="2035" t="s">
        <v>259</v>
      </c>
      <c r="K30" s="2035" t="s">
        <v>1153</v>
      </c>
      <c r="L30" s="2035"/>
      <c r="M30" s="2052"/>
      <c r="N30" s="2040">
        <f t="shared" si="6"/>
        <v>2</v>
      </c>
      <c r="O30" s="2053"/>
      <c r="P30" s="2035"/>
      <c r="Q30" s="2038"/>
      <c r="R30" s="2038">
        <f t="shared" si="9"/>
        <v>0</v>
      </c>
      <c r="S30" s="2048"/>
      <c r="T30" s="2039" t="str">
        <f t="shared" si="1"/>
        <v>7:00</v>
      </c>
      <c r="U30" s="2040">
        <f t="shared" si="7"/>
        <v>5</v>
      </c>
      <c r="V30" s="2046"/>
      <c r="W30" s="2038">
        <f t="shared" si="2"/>
        <v>0</v>
      </c>
      <c r="X30" s="2041">
        <f>(R30+(((T30-U30)-4)*S30))*((100-Q30)/100)</f>
        <v>0</v>
      </c>
      <c r="Y30" s="104"/>
      <c r="Z30" s="2105"/>
      <c r="AA30" s="104"/>
      <c r="AB30" s="104"/>
      <c r="AC30" s="104"/>
      <c r="AD30" s="104"/>
      <c r="AE30" s="104"/>
      <c r="AF30" s="104"/>
      <c r="AG30" s="104"/>
      <c r="AH30" s="1064"/>
      <c r="AI30" s="1064"/>
      <c r="AJ30" s="1064"/>
      <c r="AK30" s="1064"/>
      <c r="AL30" s="1064"/>
      <c r="AM30" s="1064"/>
      <c r="AN30" s="1064"/>
      <c r="AO30" s="1064"/>
      <c r="AP30" s="1064"/>
      <c r="AQ30" s="1064"/>
      <c r="AR30" s="1064"/>
    </row>
    <row r="31" spans="1:44" s="1808" customFormat="1" ht="15.5">
      <c r="A31" s="2031">
        <f t="shared" si="3"/>
        <v>3</v>
      </c>
      <c r="B31" s="2032">
        <v>45615</v>
      </c>
      <c r="C31" s="2110">
        <f t="shared" si="4"/>
        <v>25</v>
      </c>
      <c r="D31" s="2033" t="s">
        <v>197</v>
      </c>
      <c r="E31" s="2050"/>
      <c r="F31" s="2032">
        <f t="shared" si="5"/>
        <v>45615</v>
      </c>
      <c r="G31" s="2036">
        <v>0.41666666666666669</v>
      </c>
      <c r="H31" s="2036">
        <v>0.70833333333333337</v>
      </c>
      <c r="I31" s="2035" t="s">
        <v>1183</v>
      </c>
      <c r="J31" s="2035" t="s">
        <v>259</v>
      </c>
      <c r="K31" s="2035" t="s">
        <v>1153</v>
      </c>
      <c r="L31" s="2045"/>
      <c r="M31" s="2052"/>
      <c r="N31" s="2040">
        <f t="shared" si="6"/>
        <v>2</v>
      </c>
      <c r="O31" s="2062"/>
      <c r="P31" s="2035"/>
      <c r="Q31" s="2045"/>
      <c r="R31" s="2038">
        <f t="shared" si="9"/>
        <v>0</v>
      </c>
      <c r="S31" s="2038"/>
      <c r="T31" s="2039" t="str">
        <f t="shared" si="1"/>
        <v>7:00</v>
      </c>
      <c r="U31" s="2040">
        <f t="shared" si="7"/>
        <v>5</v>
      </c>
      <c r="V31" s="2045"/>
      <c r="W31" s="2038">
        <f t="shared" si="2"/>
        <v>0</v>
      </c>
      <c r="X31" s="2041">
        <f>(R31+(((T31-U31)-4)*S31))*((100-Q31)/100)</f>
        <v>0</v>
      </c>
      <c r="Y31" s="2103"/>
      <c r="Z31" s="2104"/>
      <c r="AA31" s="2103"/>
      <c r="AB31" s="104"/>
      <c r="AC31" s="104"/>
      <c r="AD31" s="104"/>
      <c r="AE31" s="104"/>
      <c r="AF31" s="104"/>
      <c r="AG31" s="104"/>
      <c r="AH31" s="104"/>
      <c r="AI31" s="104"/>
      <c r="AJ31" s="104"/>
      <c r="AK31" s="104"/>
      <c r="AL31" s="104"/>
      <c r="AM31" s="104"/>
      <c r="AN31" s="104"/>
      <c r="AO31" s="104"/>
      <c r="AP31" s="104"/>
      <c r="AQ31" s="104"/>
      <c r="AR31" s="104"/>
    </row>
    <row r="32" spans="1:44" s="1420" customFormat="1" ht="15.5">
      <c r="A32" s="2031">
        <f t="shared" si="3"/>
        <v>3</v>
      </c>
      <c r="B32" s="2042">
        <v>45622</v>
      </c>
      <c r="C32" s="2110">
        <f t="shared" si="4"/>
        <v>26</v>
      </c>
      <c r="D32" s="2033" t="s">
        <v>197</v>
      </c>
      <c r="E32" s="2044"/>
      <c r="F32" s="2032">
        <f t="shared" si="5"/>
        <v>45622</v>
      </c>
      <c r="G32" s="2036">
        <v>0.41666666666666669</v>
      </c>
      <c r="H32" s="2036">
        <v>0.70833333333333337</v>
      </c>
      <c r="I32" s="2035" t="s">
        <v>1183</v>
      </c>
      <c r="J32" s="2035" t="s">
        <v>259</v>
      </c>
      <c r="K32" s="2035" t="s">
        <v>1153</v>
      </c>
      <c r="L32" s="2045"/>
      <c r="M32" s="2061"/>
      <c r="N32" s="2040">
        <f t="shared" si="6"/>
        <v>2</v>
      </c>
      <c r="O32" s="2062"/>
      <c r="P32" s="2045"/>
      <c r="Q32" s="2033"/>
      <c r="R32" s="2038">
        <f t="shared" si="9"/>
        <v>0</v>
      </c>
      <c r="S32" s="2048"/>
      <c r="T32" s="2039" t="str">
        <f t="shared" si="1"/>
        <v>7:00</v>
      </c>
      <c r="U32" s="2040">
        <f t="shared" si="7"/>
        <v>5</v>
      </c>
      <c r="V32" s="2057"/>
      <c r="W32" s="2038">
        <f t="shared" si="2"/>
        <v>0</v>
      </c>
      <c r="X32" s="2041">
        <f>(R32+(((T32-U32)-0)*S32))*((100-Q32)/100)</f>
        <v>0</v>
      </c>
      <c r="Y32" s="82"/>
      <c r="Z32" s="1967"/>
      <c r="AA32" s="82"/>
      <c r="AB32" s="82"/>
      <c r="AC32" s="82"/>
      <c r="AD32" s="82"/>
      <c r="AE32" s="82"/>
      <c r="AF32" s="82"/>
      <c r="AG32" s="82"/>
      <c r="AH32" s="82"/>
      <c r="AI32" s="82"/>
      <c r="AJ32" s="82"/>
      <c r="AK32" s="82"/>
      <c r="AL32" s="82"/>
      <c r="AM32" s="82"/>
      <c r="AN32" s="82"/>
      <c r="AO32" s="82"/>
      <c r="AP32" s="82"/>
      <c r="AQ32" s="82"/>
      <c r="AR32" s="82"/>
    </row>
    <row r="33" spans="1:44" s="1420" customFormat="1" ht="15.5">
      <c r="A33" s="2031">
        <f t="shared" si="3"/>
        <v>3</v>
      </c>
      <c r="B33" s="2042">
        <v>45629</v>
      </c>
      <c r="C33" s="2110">
        <f t="shared" si="4"/>
        <v>27</v>
      </c>
      <c r="D33" s="2033" t="s">
        <v>197</v>
      </c>
      <c r="E33" s="2044"/>
      <c r="F33" s="2032">
        <f t="shared" si="5"/>
        <v>45629</v>
      </c>
      <c r="G33" s="2036">
        <v>0.41666666666666669</v>
      </c>
      <c r="H33" s="2036">
        <v>0.70833333333333337</v>
      </c>
      <c r="I33" s="2035" t="s">
        <v>1183</v>
      </c>
      <c r="J33" s="2035" t="s">
        <v>259</v>
      </c>
      <c r="K33" s="2035" t="s">
        <v>1153</v>
      </c>
      <c r="L33" s="2045"/>
      <c r="M33" s="2061"/>
      <c r="N33" s="2040">
        <f t="shared" si="6"/>
        <v>2</v>
      </c>
      <c r="O33" s="2062"/>
      <c r="P33" s="2045"/>
      <c r="Q33" s="2059"/>
      <c r="R33" s="2038">
        <f t="shared" si="9"/>
        <v>0</v>
      </c>
      <c r="S33" s="2038"/>
      <c r="T33" s="2039" t="str">
        <f t="shared" si="1"/>
        <v>7:00</v>
      </c>
      <c r="U33" s="2040">
        <f t="shared" si="7"/>
        <v>5</v>
      </c>
      <c r="V33" s="2063"/>
      <c r="W33" s="2038">
        <f t="shared" si="2"/>
        <v>0</v>
      </c>
      <c r="X33" s="2041">
        <f>(R33+(((T33-U33)-0)*S33))*((100-Q33)/100)</f>
        <v>0</v>
      </c>
      <c r="Y33" s="605"/>
      <c r="Z33" s="605"/>
      <c r="AA33" s="605"/>
      <c r="AB33" s="605"/>
      <c r="AC33" s="605"/>
      <c r="AD33" s="605"/>
      <c r="AE33" s="605"/>
      <c r="AF33" s="605"/>
      <c r="AG33" s="605"/>
      <c r="AH33" s="82"/>
      <c r="AI33" s="82"/>
      <c r="AJ33" s="82"/>
      <c r="AK33" s="82"/>
      <c r="AL33" s="82"/>
      <c r="AM33" s="82"/>
      <c r="AN33" s="82"/>
      <c r="AO33" s="82"/>
      <c r="AP33" s="82"/>
      <c r="AQ33" s="82"/>
      <c r="AR33" s="82"/>
    </row>
    <row r="34" spans="1:44" s="1420" customFormat="1" ht="15.5">
      <c r="A34" s="2031">
        <f t="shared" si="3"/>
        <v>3</v>
      </c>
      <c r="B34" s="2064">
        <v>45636</v>
      </c>
      <c r="C34" s="2110">
        <f t="shared" si="4"/>
        <v>28</v>
      </c>
      <c r="D34" s="2033" t="s">
        <v>197</v>
      </c>
      <c r="E34" s="2044"/>
      <c r="F34" s="2032">
        <f t="shared" si="5"/>
        <v>45636</v>
      </c>
      <c r="G34" s="2036">
        <v>0.41666666666666669</v>
      </c>
      <c r="H34" s="2036">
        <v>0.70833333333333337</v>
      </c>
      <c r="I34" s="2035" t="s">
        <v>1183</v>
      </c>
      <c r="J34" s="2035" t="s">
        <v>259</v>
      </c>
      <c r="K34" s="2035" t="s">
        <v>1153</v>
      </c>
      <c r="L34" s="2045"/>
      <c r="M34" s="2066"/>
      <c r="N34" s="2040">
        <f t="shared" si="6"/>
        <v>2</v>
      </c>
      <c r="O34" s="2067"/>
      <c r="P34" s="2065"/>
      <c r="Q34" s="2068"/>
      <c r="R34" s="2038">
        <f t="shared" si="9"/>
        <v>0</v>
      </c>
      <c r="S34" s="2069"/>
      <c r="T34" s="2039" t="str">
        <f t="shared" si="1"/>
        <v>7:00</v>
      </c>
      <c r="U34" s="2040">
        <f t="shared" si="7"/>
        <v>5</v>
      </c>
      <c r="V34" s="2065"/>
      <c r="W34" s="2070">
        <f t="shared" si="2"/>
        <v>0</v>
      </c>
      <c r="X34" s="2071">
        <f>(R34+((T34-0)*S34))*((100-Q34)/100)</f>
        <v>0</v>
      </c>
      <c r="Y34" s="2106"/>
      <c r="Z34" s="1063"/>
      <c r="AA34" s="2106"/>
      <c r="AB34" s="1064"/>
      <c r="AC34" s="1064"/>
      <c r="AD34" s="1064"/>
      <c r="AE34" s="1064"/>
      <c r="AF34" s="1064"/>
      <c r="AG34" s="1064"/>
      <c r="AH34" s="82"/>
      <c r="AI34" s="82"/>
      <c r="AJ34" s="82"/>
      <c r="AK34" s="82"/>
      <c r="AL34" s="82"/>
      <c r="AM34" s="82"/>
      <c r="AN34" s="82"/>
      <c r="AO34" s="82"/>
      <c r="AP34" s="82"/>
      <c r="AQ34" s="82"/>
      <c r="AR34" s="82"/>
    </row>
    <row r="35" spans="1:44" s="1420" customFormat="1" ht="15.5">
      <c r="A35" s="2031">
        <f t="shared" si="3"/>
        <v>3</v>
      </c>
      <c r="B35" s="2042">
        <v>45643</v>
      </c>
      <c r="C35" s="2110">
        <f t="shared" si="4"/>
        <v>29</v>
      </c>
      <c r="D35" s="2033" t="s">
        <v>197</v>
      </c>
      <c r="E35" s="2044"/>
      <c r="F35" s="2032">
        <f t="shared" si="5"/>
        <v>45643</v>
      </c>
      <c r="G35" s="2036">
        <v>0.41666666666666669</v>
      </c>
      <c r="H35" s="2036">
        <v>0.70833333333333337</v>
      </c>
      <c r="I35" s="2035" t="s">
        <v>1183</v>
      </c>
      <c r="J35" s="2035" t="s">
        <v>259</v>
      </c>
      <c r="K35" s="2035" t="s">
        <v>1153</v>
      </c>
      <c r="L35" s="2045"/>
      <c r="M35" s="2061"/>
      <c r="N35" s="2040">
        <f t="shared" si="6"/>
        <v>2</v>
      </c>
      <c r="O35" s="2062"/>
      <c r="P35" s="2045"/>
      <c r="Q35" s="2033"/>
      <c r="R35" s="2038">
        <f t="shared" si="9"/>
        <v>0</v>
      </c>
      <c r="S35" s="2038"/>
      <c r="T35" s="2039" t="str">
        <f t="shared" si="1"/>
        <v>7:00</v>
      </c>
      <c r="U35" s="2040">
        <f t="shared" si="7"/>
        <v>5</v>
      </c>
      <c r="V35" s="2057"/>
      <c r="W35" s="2038">
        <f t="shared" si="2"/>
        <v>0</v>
      </c>
      <c r="X35" s="2041">
        <f>(R35+(((T35-U35)-8)*S35))*((100-Q35)/100)</f>
        <v>0</v>
      </c>
      <c r="Y35" s="82"/>
      <c r="Z35" s="1967"/>
      <c r="AA35" s="82"/>
      <c r="AB35" s="82"/>
      <c r="AC35" s="82"/>
      <c r="AD35" s="82"/>
      <c r="AE35" s="82"/>
      <c r="AF35" s="82"/>
      <c r="AG35" s="82"/>
      <c r="AH35" s="82"/>
      <c r="AI35" s="82"/>
      <c r="AJ35" s="82"/>
      <c r="AK35" s="82"/>
      <c r="AL35" s="82"/>
      <c r="AM35" s="82"/>
      <c r="AN35" s="82"/>
      <c r="AO35" s="82"/>
      <c r="AP35" s="82"/>
      <c r="AQ35" s="82"/>
      <c r="AR35" s="82"/>
    </row>
    <row r="36" spans="1:44" s="1420" customFormat="1" ht="15.5">
      <c r="A36" s="2031">
        <f t="shared" si="3"/>
        <v>3</v>
      </c>
      <c r="B36" s="2042">
        <v>45650</v>
      </c>
      <c r="C36" s="2110">
        <f t="shared" si="4"/>
        <v>30</v>
      </c>
      <c r="D36" s="2033" t="s">
        <v>197</v>
      </c>
      <c r="E36" s="2044"/>
      <c r="F36" s="2032">
        <f t="shared" si="5"/>
        <v>45650</v>
      </c>
      <c r="G36" s="2036">
        <v>0.41666666666666669</v>
      </c>
      <c r="H36" s="2036">
        <v>0.70833333333333337</v>
      </c>
      <c r="I36" s="2035" t="s">
        <v>1183</v>
      </c>
      <c r="J36" s="2035" t="s">
        <v>259</v>
      </c>
      <c r="K36" s="2035" t="s">
        <v>1153</v>
      </c>
      <c r="L36" s="2045"/>
      <c r="M36" s="2043"/>
      <c r="N36" s="2040">
        <f t="shared" si="6"/>
        <v>2</v>
      </c>
      <c r="O36" s="2062"/>
      <c r="P36" s="2045"/>
      <c r="Q36" s="2033"/>
      <c r="R36" s="2038">
        <f t="shared" si="9"/>
        <v>0</v>
      </c>
      <c r="S36" s="2038"/>
      <c r="T36" s="2039" t="str">
        <f t="shared" si="1"/>
        <v>7:00</v>
      </c>
      <c r="U36" s="2040">
        <f t="shared" si="7"/>
        <v>5</v>
      </c>
      <c r="V36" s="2072"/>
      <c r="W36" s="2038">
        <f t="shared" si="2"/>
        <v>0</v>
      </c>
      <c r="X36" s="2041">
        <f>(R36+(((T36-U36)-8)*S36))*((100-Q36)/100)</f>
        <v>0</v>
      </c>
      <c r="Y36" s="82"/>
      <c r="Z36" s="82"/>
      <c r="AA36" s="82"/>
      <c r="AB36" s="82"/>
      <c r="AC36" s="82"/>
      <c r="AD36" s="82"/>
      <c r="AE36" s="82"/>
      <c r="AF36" s="82"/>
      <c r="AG36" s="82"/>
      <c r="AH36" s="82"/>
      <c r="AI36" s="82"/>
      <c r="AJ36" s="82"/>
      <c r="AK36" s="82"/>
      <c r="AL36" s="82"/>
      <c r="AM36" s="82"/>
      <c r="AN36" s="82"/>
      <c r="AO36" s="82"/>
      <c r="AP36" s="82"/>
      <c r="AQ36" s="82"/>
      <c r="AR36" s="82"/>
    </row>
    <row r="37" spans="1:44" s="1420" customFormat="1" ht="15.5">
      <c r="A37" s="2031">
        <f t="shared" si="3"/>
        <v>3</v>
      </c>
      <c r="B37" s="2042">
        <v>45657</v>
      </c>
      <c r="C37" s="2110">
        <f t="shared" si="4"/>
        <v>31</v>
      </c>
      <c r="D37" s="2033" t="s">
        <v>197</v>
      </c>
      <c r="E37" s="2044"/>
      <c r="F37" s="2032">
        <f t="shared" si="5"/>
        <v>45657</v>
      </c>
      <c r="G37" s="2036">
        <v>0.41666666666666669</v>
      </c>
      <c r="H37" s="2036">
        <v>0.70833333333333337</v>
      </c>
      <c r="I37" s="2035" t="s">
        <v>1183</v>
      </c>
      <c r="J37" s="2035" t="s">
        <v>259</v>
      </c>
      <c r="K37" s="2035" t="s">
        <v>1153</v>
      </c>
      <c r="L37" s="2045"/>
      <c r="M37" s="2033"/>
      <c r="N37" s="2040">
        <f t="shared" si="6"/>
        <v>2</v>
      </c>
      <c r="O37" s="2062"/>
      <c r="P37" s="2045"/>
      <c r="Q37" s="2033"/>
      <c r="R37" s="2038">
        <f t="shared" si="9"/>
        <v>0</v>
      </c>
      <c r="S37" s="2038"/>
      <c r="T37" s="2039" t="str">
        <f t="shared" si="1"/>
        <v>7:00</v>
      </c>
      <c r="U37" s="2040">
        <f t="shared" si="7"/>
        <v>5</v>
      </c>
      <c r="V37" s="2060"/>
      <c r="W37" s="2038">
        <f t="shared" si="2"/>
        <v>0</v>
      </c>
      <c r="X37" s="2041">
        <f>(R37+(((T37-U37)-0)*S37))*((100-Q37)/100)</f>
        <v>0</v>
      </c>
      <c r="Y37" s="2102"/>
      <c r="Z37" s="91"/>
      <c r="AA37" s="2102"/>
      <c r="AB37" s="82"/>
      <c r="AC37" s="82"/>
      <c r="AD37" s="82"/>
      <c r="AE37" s="82"/>
      <c r="AF37" s="82"/>
      <c r="AG37" s="82"/>
      <c r="AH37" s="82"/>
      <c r="AI37" s="82"/>
      <c r="AJ37" s="82"/>
      <c r="AK37" s="82"/>
      <c r="AL37" s="82"/>
      <c r="AM37" s="82"/>
      <c r="AN37" s="82"/>
      <c r="AO37" s="82"/>
      <c r="AP37" s="82"/>
      <c r="AQ37" s="82"/>
      <c r="AR37" s="82"/>
    </row>
    <row r="38" spans="1:44" s="1420" customFormat="1" ht="15.5">
      <c r="A38" s="2031">
        <f t="shared" si="3"/>
        <v>4</v>
      </c>
      <c r="B38" s="2042" cm="1">
        <f t="array" ref="B38:B67">_xlfn.SEQUENCE(30,1,B3+1,7)</f>
        <v>45448</v>
      </c>
      <c r="C38" s="2110">
        <f t="shared" si="4"/>
        <v>32</v>
      </c>
      <c r="D38" s="2033" t="s">
        <v>197</v>
      </c>
      <c r="E38" s="2044"/>
      <c r="F38" s="2032">
        <f t="shared" si="5"/>
        <v>45448</v>
      </c>
      <c r="G38" s="2036">
        <v>0.41666666666666669</v>
      </c>
      <c r="H38" s="2036">
        <v>0.70833333333333337</v>
      </c>
      <c r="I38" s="2035" t="s">
        <v>1183</v>
      </c>
      <c r="J38" s="2035" t="s">
        <v>259</v>
      </c>
      <c r="K38" s="2035" t="s">
        <v>1153</v>
      </c>
      <c r="L38" s="2045"/>
      <c r="M38" s="2033"/>
      <c r="N38" s="2040">
        <f t="shared" si="6"/>
        <v>2</v>
      </c>
      <c r="O38" s="2062"/>
      <c r="P38" s="2045"/>
      <c r="Q38" s="2038"/>
      <c r="R38" s="2038">
        <f t="shared" si="9"/>
        <v>0</v>
      </c>
      <c r="S38" s="2038"/>
      <c r="T38" s="2039" t="str">
        <f t="shared" si="1"/>
        <v>7:00</v>
      </c>
      <c r="U38" s="2040">
        <f t="shared" si="7"/>
        <v>5</v>
      </c>
      <c r="V38" s="2060"/>
      <c r="W38" s="2038">
        <f t="shared" si="2"/>
        <v>0</v>
      </c>
      <c r="X38" s="2041">
        <f>(R38+(((T38-U38)-0)*S38))*((100-Q38)/100)</f>
        <v>0</v>
      </c>
      <c r="Y38" s="2102"/>
      <c r="Z38" s="2107"/>
      <c r="AA38" s="2102"/>
      <c r="AB38" s="82"/>
      <c r="AC38" s="82"/>
      <c r="AD38" s="82"/>
      <c r="AE38" s="82"/>
      <c r="AF38" s="82"/>
      <c r="AG38" s="82"/>
      <c r="AH38" s="82"/>
      <c r="AI38" s="82"/>
      <c r="AJ38" s="82"/>
      <c r="AK38" s="82"/>
      <c r="AL38" s="82"/>
      <c r="AM38" s="82"/>
      <c r="AN38" s="82"/>
      <c r="AO38" s="82"/>
      <c r="AP38" s="82"/>
      <c r="AQ38" s="82"/>
      <c r="AR38" s="82"/>
    </row>
    <row r="39" spans="1:44" s="1420" customFormat="1" ht="15.5">
      <c r="A39" s="2031">
        <f t="shared" si="3"/>
        <v>4</v>
      </c>
      <c r="B39" s="2042">
        <v>45455</v>
      </c>
      <c r="C39" s="2110">
        <f t="shared" si="4"/>
        <v>33</v>
      </c>
      <c r="D39" s="2033" t="s">
        <v>197</v>
      </c>
      <c r="E39" s="2044"/>
      <c r="F39" s="2032">
        <f t="shared" si="5"/>
        <v>45455</v>
      </c>
      <c r="G39" s="2036">
        <v>0.41666666666666669</v>
      </c>
      <c r="H39" s="2036">
        <v>0.70833333333333337</v>
      </c>
      <c r="I39" s="2035" t="s">
        <v>1183</v>
      </c>
      <c r="J39" s="2035" t="s">
        <v>259</v>
      </c>
      <c r="K39" s="2035" t="s">
        <v>1153</v>
      </c>
      <c r="L39" s="2045"/>
      <c r="M39" s="2033"/>
      <c r="N39" s="2040">
        <f t="shared" si="6"/>
        <v>2</v>
      </c>
      <c r="O39" s="2062"/>
      <c r="P39" s="2045"/>
      <c r="Q39" s="2033"/>
      <c r="R39" s="2038">
        <f t="shared" si="9"/>
        <v>0</v>
      </c>
      <c r="S39" s="2038"/>
      <c r="T39" s="2039" t="str">
        <f t="shared" si="1"/>
        <v>7:00</v>
      </c>
      <c r="U39" s="2040">
        <f t="shared" si="7"/>
        <v>5</v>
      </c>
      <c r="V39" s="2060"/>
      <c r="W39" s="2038">
        <f t="shared" si="2"/>
        <v>0</v>
      </c>
      <c r="X39" s="2041">
        <f>(R39+((T39-8)*S39))*((100-Q39)/100)</f>
        <v>0</v>
      </c>
      <c r="Y39" s="2102"/>
      <c r="Z39" s="91"/>
      <c r="AA39" s="2102"/>
      <c r="AB39" s="82"/>
      <c r="AC39" s="82"/>
      <c r="AD39" s="82"/>
      <c r="AE39" s="82"/>
      <c r="AF39" s="82"/>
      <c r="AG39" s="82"/>
      <c r="AH39" s="82"/>
      <c r="AI39" s="82"/>
      <c r="AJ39" s="82"/>
      <c r="AK39" s="82"/>
      <c r="AL39" s="82"/>
      <c r="AM39" s="82"/>
      <c r="AN39" s="82"/>
      <c r="AO39" s="82"/>
      <c r="AP39" s="82"/>
      <c r="AQ39" s="82"/>
      <c r="AR39" s="82"/>
    </row>
    <row r="40" spans="1:44" s="1420" customFormat="1" ht="15.5">
      <c r="A40" s="2031">
        <f t="shared" si="3"/>
        <v>4</v>
      </c>
      <c r="B40" s="2042">
        <v>45462</v>
      </c>
      <c r="C40" s="2110">
        <f t="shared" si="4"/>
        <v>34</v>
      </c>
      <c r="D40" s="2033" t="s">
        <v>197</v>
      </c>
      <c r="E40" s="2044"/>
      <c r="F40" s="2032">
        <f t="shared" si="5"/>
        <v>45462</v>
      </c>
      <c r="G40" s="2036">
        <v>0.41666666666666669</v>
      </c>
      <c r="H40" s="2036">
        <v>0.70833333333333337</v>
      </c>
      <c r="I40" s="2035" t="s">
        <v>1183</v>
      </c>
      <c r="J40" s="2035" t="s">
        <v>259</v>
      </c>
      <c r="K40" s="2035" t="s">
        <v>1153</v>
      </c>
      <c r="L40" s="2045"/>
      <c r="M40" s="2033"/>
      <c r="N40" s="2040">
        <f t="shared" si="6"/>
        <v>2</v>
      </c>
      <c r="O40" s="2062"/>
      <c r="P40" s="2045"/>
      <c r="Q40" s="2033"/>
      <c r="R40" s="2038">
        <f t="shared" si="9"/>
        <v>0</v>
      </c>
      <c r="S40" s="2038"/>
      <c r="T40" s="2039" t="str">
        <f t="shared" si="1"/>
        <v>7:00</v>
      </c>
      <c r="U40" s="2040">
        <f t="shared" si="7"/>
        <v>5</v>
      </c>
      <c r="V40" s="2060"/>
      <c r="W40" s="2038">
        <f t="shared" si="2"/>
        <v>0</v>
      </c>
      <c r="X40" s="2041">
        <f>(R40+((T40-0)*S40))*((100-Q40)/100)</f>
        <v>0</v>
      </c>
      <c r="Y40" s="2102"/>
      <c r="Z40" s="1967"/>
      <c r="AA40" s="2102"/>
      <c r="AB40" s="82"/>
      <c r="AC40" s="82"/>
      <c r="AD40" s="82"/>
      <c r="AE40" s="82"/>
      <c r="AF40" s="82"/>
      <c r="AG40" s="82"/>
      <c r="AH40" s="82"/>
      <c r="AI40" s="82"/>
      <c r="AJ40" s="82"/>
      <c r="AK40" s="82"/>
      <c r="AL40" s="82"/>
      <c r="AM40" s="82"/>
      <c r="AN40" s="82"/>
      <c r="AO40" s="82"/>
      <c r="AP40" s="82"/>
      <c r="AQ40" s="82"/>
      <c r="AR40" s="82"/>
    </row>
    <row r="41" spans="1:44" s="1420" customFormat="1" ht="15.5">
      <c r="A41" s="2031">
        <f t="shared" si="3"/>
        <v>4</v>
      </c>
      <c r="B41" s="2042">
        <v>45469</v>
      </c>
      <c r="C41" s="2110">
        <f t="shared" si="4"/>
        <v>35</v>
      </c>
      <c r="D41" s="2033" t="s">
        <v>197</v>
      </c>
      <c r="E41" s="2044"/>
      <c r="F41" s="2032">
        <f t="shared" si="5"/>
        <v>45469</v>
      </c>
      <c r="G41" s="2036">
        <v>0.41666666666666669</v>
      </c>
      <c r="H41" s="2036">
        <v>0.70833333333333337</v>
      </c>
      <c r="I41" s="2035" t="s">
        <v>1183</v>
      </c>
      <c r="J41" s="2035" t="s">
        <v>259</v>
      </c>
      <c r="K41" s="2035" t="s">
        <v>1153</v>
      </c>
      <c r="L41" s="2045"/>
      <c r="M41" s="2033"/>
      <c r="N41" s="2040">
        <f t="shared" si="6"/>
        <v>2</v>
      </c>
      <c r="O41" s="2062"/>
      <c r="P41" s="2045"/>
      <c r="Q41" s="2033"/>
      <c r="R41" s="2038">
        <f t="shared" si="9"/>
        <v>0</v>
      </c>
      <c r="S41" s="2038"/>
      <c r="T41" s="2039" t="str">
        <f t="shared" si="1"/>
        <v>7:00</v>
      </c>
      <c r="U41" s="2040">
        <f t="shared" si="7"/>
        <v>5</v>
      </c>
      <c r="V41" s="2060"/>
      <c r="W41" s="2038">
        <f t="shared" si="2"/>
        <v>0</v>
      </c>
      <c r="X41" s="2041">
        <f>(R41+((T41-4)*S41))*((100-Q41)/100)</f>
        <v>0</v>
      </c>
      <c r="Y41" s="2102"/>
      <c r="Z41" s="91"/>
      <c r="AA41" s="210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</row>
    <row r="42" spans="1:44" s="1420" customFormat="1" ht="15.5">
      <c r="A42" s="2031">
        <f t="shared" si="3"/>
        <v>4</v>
      </c>
      <c r="B42" s="2042">
        <v>45476</v>
      </c>
      <c r="C42" s="2110">
        <f t="shared" si="4"/>
        <v>36</v>
      </c>
      <c r="D42" s="2033" t="s">
        <v>197</v>
      </c>
      <c r="E42" s="2044"/>
      <c r="F42" s="2032">
        <f t="shared" si="5"/>
        <v>45476</v>
      </c>
      <c r="G42" s="2036">
        <v>0.41666666666666669</v>
      </c>
      <c r="H42" s="2036">
        <v>0.70833333333333337</v>
      </c>
      <c r="I42" s="2035" t="s">
        <v>1183</v>
      </c>
      <c r="J42" s="2035" t="s">
        <v>259</v>
      </c>
      <c r="K42" s="2035" t="s">
        <v>1153</v>
      </c>
      <c r="L42" s="2045"/>
      <c r="M42" s="2033"/>
      <c r="N42" s="2040">
        <f t="shared" si="6"/>
        <v>2</v>
      </c>
      <c r="O42" s="2062"/>
      <c r="P42" s="2045"/>
      <c r="Q42" s="2033"/>
      <c r="R42" s="2038">
        <f t="shared" si="9"/>
        <v>0</v>
      </c>
      <c r="S42" s="2038"/>
      <c r="T42" s="2039" t="str">
        <f t="shared" si="1"/>
        <v>7:00</v>
      </c>
      <c r="U42" s="2040">
        <f t="shared" si="7"/>
        <v>5</v>
      </c>
      <c r="V42" s="2060"/>
      <c r="W42" s="2038">
        <f t="shared" si="2"/>
        <v>0</v>
      </c>
      <c r="X42" s="2041">
        <f>(R42+((T42-0)*S42))*((100-Q42)/100)</f>
        <v>0</v>
      </c>
      <c r="Y42" s="2102"/>
      <c r="Z42" s="91"/>
      <c r="AA42" s="210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</row>
    <row r="43" spans="1:44" s="1420" customFormat="1" ht="15.5">
      <c r="A43" s="2031">
        <f t="shared" si="3"/>
        <v>4</v>
      </c>
      <c r="B43" s="2042">
        <v>45483</v>
      </c>
      <c r="C43" s="2110">
        <f t="shared" si="4"/>
        <v>37</v>
      </c>
      <c r="D43" s="2033" t="s">
        <v>197</v>
      </c>
      <c r="E43" s="2044"/>
      <c r="F43" s="2032">
        <f t="shared" si="5"/>
        <v>45483</v>
      </c>
      <c r="G43" s="2036">
        <v>0.41666666666666669</v>
      </c>
      <c r="H43" s="2036">
        <v>0.70833333333333337</v>
      </c>
      <c r="I43" s="2035" t="s">
        <v>1183</v>
      </c>
      <c r="J43" s="2035" t="s">
        <v>259</v>
      </c>
      <c r="K43" s="2035" t="s">
        <v>1153</v>
      </c>
      <c r="L43" s="2045"/>
      <c r="M43" s="2033"/>
      <c r="N43" s="2040">
        <f t="shared" si="6"/>
        <v>2</v>
      </c>
      <c r="O43" s="2062"/>
      <c r="P43" s="2045"/>
      <c r="Q43" s="2033"/>
      <c r="R43" s="2038">
        <f t="shared" si="9"/>
        <v>0</v>
      </c>
      <c r="S43" s="2038"/>
      <c r="T43" s="2039" t="str">
        <f t="shared" si="1"/>
        <v>7:00</v>
      </c>
      <c r="U43" s="2040">
        <f t="shared" si="7"/>
        <v>5</v>
      </c>
      <c r="V43" s="2057"/>
      <c r="W43" s="2038">
        <f t="shared" si="2"/>
        <v>0</v>
      </c>
      <c r="X43" s="2041">
        <f>(R43+((T43-0)*S43))*((100-Q43)/100)</f>
        <v>0</v>
      </c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  <c r="AL43" s="82"/>
      <c r="AM43" s="82"/>
      <c r="AN43" s="82"/>
      <c r="AO43" s="82"/>
      <c r="AP43" s="82"/>
      <c r="AQ43" s="82"/>
      <c r="AR43" s="82"/>
    </row>
    <row r="44" spans="1:44" s="1420" customFormat="1" ht="15.5">
      <c r="A44" s="2031">
        <f t="shared" si="3"/>
        <v>4</v>
      </c>
      <c r="B44" s="2042">
        <v>45490</v>
      </c>
      <c r="C44" s="2110">
        <f t="shared" si="4"/>
        <v>38</v>
      </c>
      <c r="D44" s="2033" t="s">
        <v>197</v>
      </c>
      <c r="E44" s="2044"/>
      <c r="F44" s="2032">
        <f t="shared" si="5"/>
        <v>45490</v>
      </c>
      <c r="G44" s="2036">
        <v>0.41666666666666669</v>
      </c>
      <c r="H44" s="2036">
        <v>0.70833333333333337</v>
      </c>
      <c r="I44" s="2035" t="s">
        <v>1183</v>
      </c>
      <c r="J44" s="2035" t="s">
        <v>259</v>
      </c>
      <c r="K44" s="2035" t="s">
        <v>1153</v>
      </c>
      <c r="L44" s="2045"/>
      <c r="M44" s="2033"/>
      <c r="N44" s="2040">
        <f t="shared" si="6"/>
        <v>2</v>
      </c>
      <c r="O44" s="2062"/>
      <c r="P44" s="2045"/>
      <c r="Q44" s="2033"/>
      <c r="R44" s="2038">
        <f t="shared" si="9"/>
        <v>0</v>
      </c>
      <c r="S44" s="2038"/>
      <c r="T44" s="2039" t="str">
        <f t="shared" si="1"/>
        <v>7:00</v>
      </c>
      <c r="U44" s="2040">
        <f t="shared" si="7"/>
        <v>5</v>
      </c>
      <c r="V44" s="2057"/>
      <c r="W44" s="2038">
        <f t="shared" si="2"/>
        <v>0</v>
      </c>
      <c r="X44" s="2041">
        <f>W44</f>
        <v>0</v>
      </c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  <c r="AL44" s="82"/>
      <c r="AM44" s="82"/>
      <c r="AN44" s="82"/>
      <c r="AO44" s="82"/>
      <c r="AP44" s="82"/>
      <c r="AQ44" s="82"/>
      <c r="AR44" s="82"/>
    </row>
    <row r="45" spans="1:44" s="1420" customFormat="1" ht="15.5">
      <c r="A45" s="2031">
        <f t="shared" si="3"/>
        <v>4</v>
      </c>
      <c r="B45" s="2042">
        <v>45497</v>
      </c>
      <c r="C45" s="2110">
        <f t="shared" si="4"/>
        <v>39</v>
      </c>
      <c r="D45" s="2033" t="s">
        <v>197</v>
      </c>
      <c r="E45" s="2044"/>
      <c r="F45" s="2032">
        <f t="shared" si="5"/>
        <v>45497</v>
      </c>
      <c r="G45" s="2036">
        <v>0.41666666666666669</v>
      </c>
      <c r="H45" s="2036">
        <v>0.70833333333333337</v>
      </c>
      <c r="I45" s="2035" t="s">
        <v>1183</v>
      </c>
      <c r="J45" s="2035" t="s">
        <v>259</v>
      </c>
      <c r="K45" s="2035" t="s">
        <v>1153</v>
      </c>
      <c r="L45" s="2045"/>
      <c r="M45" s="2033"/>
      <c r="N45" s="2040">
        <f t="shared" si="6"/>
        <v>2</v>
      </c>
      <c r="O45" s="2062"/>
      <c r="P45" s="2045"/>
      <c r="Q45" s="2033"/>
      <c r="R45" s="2038">
        <f t="shared" si="9"/>
        <v>0</v>
      </c>
      <c r="S45" s="2038"/>
      <c r="T45" s="2039" t="str">
        <f t="shared" si="1"/>
        <v>7:00</v>
      </c>
      <c r="U45" s="2040">
        <f t="shared" si="7"/>
        <v>5</v>
      </c>
      <c r="V45" s="2057"/>
      <c r="W45" s="2038">
        <f t="shared" si="2"/>
        <v>0</v>
      </c>
      <c r="X45" s="2041">
        <f>W45</f>
        <v>0</v>
      </c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82"/>
      <c r="AP45" s="82"/>
      <c r="AQ45" s="82"/>
      <c r="AR45" s="82"/>
    </row>
    <row r="46" spans="1:44" s="1420" customFormat="1" ht="15.5">
      <c r="A46" s="2031">
        <f t="shared" si="3"/>
        <v>4</v>
      </c>
      <c r="B46" s="2042">
        <v>45504</v>
      </c>
      <c r="C46" s="2110">
        <f t="shared" si="4"/>
        <v>40</v>
      </c>
      <c r="D46" s="2033" t="s">
        <v>197</v>
      </c>
      <c r="E46" s="2044"/>
      <c r="F46" s="2032">
        <f t="shared" si="5"/>
        <v>45504</v>
      </c>
      <c r="G46" s="2036">
        <v>0.41666666666666669</v>
      </c>
      <c r="H46" s="2036">
        <v>0.70833333333333337</v>
      </c>
      <c r="I46" s="2035" t="s">
        <v>1183</v>
      </c>
      <c r="J46" s="2035" t="s">
        <v>259</v>
      </c>
      <c r="K46" s="2035" t="s">
        <v>1153</v>
      </c>
      <c r="L46" s="2045"/>
      <c r="M46" s="2033"/>
      <c r="N46" s="2040">
        <f t="shared" si="6"/>
        <v>2</v>
      </c>
      <c r="O46" s="2062"/>
      <c r="P46" s="2045"/>
      <c r="Q46" s="2033"/>
      <c r="R46" s="2038">
        <f t="shared" si="9"/>
        <v>0</v>
      </c>
      <c r="S46" s="2038"/>
      <c r="T46" s="2039" t="str">
        <f t="shared" si="1"/>
        <v>7:00</v>
      </c>
      <c r="U46" s="2040">
        <f t="shared" si="7"/>
        <v>5</v>
      </c>
      <c r="V46" s="2073"/>
      <c r="W46" s="2038">
        <f t="shared" si="2"/>
        <v>0</v>
      </c>
      <c r="X46" s="2041">
        <f>(R46+((T46-4)*S46))*((100-Q46)/100)</f>
        <v>0</v>
      </c>
      <c r="Y46" s="82"/>
      <c r="Z46" s="82"/>
      <c r="AA46" s="82"/>
      <c r="AB46" s="82"/>
      <c r="AC46" s="82"/>
      <c r="AD46" s="82"/>
      <c r="AE46" s="82"/>
      <c r="AF46" s="82"/>
      <c r="AG46" s="82"/>
      <c r="AH46" s="82"/>
      <c r="AI46" s="82"/>
      <c r="AJ46" s="82"/>
      <c r="AK46" s="82"/>
      <c r="AL46" s="82"/>
      <c r="AM46" s="82"/>
      <c r="AN46" s="82"/>
      <c r="AO46" s="82"/>
      <c r="AP46" s="82"/>
      <c r="AQ46" s="82"/>
      <c r="AR46" s="82"/>
    </row>
    <row r="47" spans="1:44" s="1574" customFormat="1" ht="15.5">
      <c r="A47" s="2031">
        <f t="shared" si="3"/>
        <v>4</v>
      </c>
      <c r="B47" s="2042">
        <v>45511</v>
      </c>
      <c r="C47" s="2110">
        <f t="shared" si="4"/>
        <v>41</v>
      </c>
      <c r="D47" s="2033" t="s">
        <v>197</v>
      </c>
      <c r="E47" s="2044"/>
      <c r="F47" s="2032">
        <f t="shared" si="5"/>
        <v>45511</v>
      </c>
      <c r="G47" s="2036">
        <v>0.41666666666666669</v>
      </c>
      <c r="H47" s="2036">
        <v>0.70833333333333337</v>
      </c>
      <c r="I47" s="2035" t="s">
        <v>1183</v>
      </c>
      <c r="J47" s="2035" t="s">
        <v>259</v>
      </c>
      <c r="K47" s="2035" t="s">
        <v>1153</v>
      </c>
      <c r="L47" s="2045"/>
      <c r="M47" s="2033"/>
      <c r="N47" s="2040">
        <f t="shared" si="6"/>
        <v>2</v>
      </c>
      <c r="O47" s="2062"/>
      <c r="P47" s="2045"/>
      <c r="Q47" s="2033"/>
      <c r="R47" s="2038">
        <f t="shared" si="9"/>
        <v>0</v>
      </c>
      <c r="S47" s="2038"/>
      <c r="T47" s="2039" t="str">
        <f t="shared" si="1"/>
        <v>7:00</v>
      </c>
      <c r="U47" s="2040">
        <f t="shared" si="7"/>
        <v>5</v>
      </c>
      <c r="V47" s="2060"/>
      <c r="W47" s="2038">
        <f t="shared" si="2"/>
        <v>0</v>
      </c>
      <c r="X47" s="2041">
        <f>(R47+((T47-8)*S47))*((100-Q47)/100)</f>
        <v>0</v>
      </c>
      <c r="Y47" s="2108"/>
      <c r="Z47" s="849"/>
      <c r="AA47" s="2108"/>
      <c r="AB47" s="835"/>
      <c r="AC47" s="835"/>
      <c r="AD47" s="835"/>
      <c r="AE47" s="835"/>
      <c r="AF47" s="835"/>
      <c r="AG47" s="835"/>
      <c r="AH47" s="835"/>
      <c r="AI47" s="835"/>
      <c r="AJ47" s="835"/>
      <c r="AK47" s="835"/>
      <c r="AL47" s="835"/>
      <c r="AM47" s="835"/>
      <c r="AN47" s="835"/>
      <c r="AO47" s="835"/>
      <c r="AP47" s="835"/>
      <c r="AQ47" s="835"/>
      <c r="AR47" s="835"/>
    </row>
    <row r="48" spans="1:44" s="1420" customFormat="1" ht="15.5">
      <c r="A48" s="2031">
        <f t="shared" si="3"/>
        <v>4</v>
      </c>
      <c r="B48" s="2042">
        <v>45518</v>
      </c>
      <c r="C48" s="2110">
        <f t="shared" si="4"/>
        <v>42</v>
      </c>
      <c r="D48" s="2033" t="s">
        <v>197</v>
      </c>
      <c r="E48" s="2044"/>
      <c r="F48" s="2032">
        <f t="shared" si="5"/>
        <v>45518</v>
      </c>
      <c r="G48" s="2036">
        <v>0.41666666666666669</v>
      </c>
      <c r="H48" s="2036">
        <v>0.70833333333333337</v>
      </c>
      <c r="I48" s="2035" t="s">
        <v>1183</v>
      </c>
      <c r="J48" s="2035" t="s">
        <v>259</v>
      </c>
      <c r="K48" s="2035" t="s">
        <v>1153</v>
      </c>
      <c r="L48" s="2045"/>
      <c r="M48" s="2033"/>
      <c r="N48" s="2040">
        <f t="shared" si="6"/>
        <v>2</v>
      </c>
      <c r="O48" s="2062"/>
      <c r="P48" s="2045"/>
      <c r="Q48" s="2033"/>
      <c r="R48" s="2038">
        <f t="shared" si="9"/>
        <v>0</v>
      </c>
      <c r="S48" s="2038"/>
      <c r="T48" s="2039" t="str">
        <f t="shared" si="1"/>
        <v>7:00</v>
      </c>
      <c r="U48" s="2040">
        <f t="shared" si="7"/>
        <v>5</v>
      </c>
      <c r="V48" s="2060"/>
      <c r="W48" s="2038">
        <f t="shared" si="2"/>
        <v>0</v>
      </c>
      <c r="X48" s="2041">
        <f>(R48+((T48-4)*S48))*((100-Q48)/100)</f>
        <v>0</v>
      </c>
      <c r="Y48" s="2102"/>
      <c r="Z48" s="91"/>
      <c r="AA48" s="2102"/>
      <c r="AB48" s="82"/>
      <c r="AC48" s="82"/>
      <c r="AD48" s="82"/>
      <c r="AE48" s="82"/>
      <c r="AF48" s="82"/>
      <c r="AG48" s="82"/>
      <c r="AH48" s="82"/>
      <c r="AI48" s="82"/>
      <c r="AJ48" s="82"/>
      <c r="AK48" s="82"/>
      <c r="AL48" s="82"/>
      <c r="AM48" s="82"/>
      <c r="AN48" s="82"/>
      <c r="AO48" s="82"/>
      <c r="AP48" s="82"/>
      <c r="AQ48" s="82"/>
      <c r="AR48" s="82"/>
    </row>
    <row r="49" spans="1:44" s="1420" customFormat="1" ht="15.5">
      <c r="A49" s="2031">
        <f t="shared" si="3"/>
        <v>4</v>
      </c>
      <c r="B49" s="2042">
        <v>45525</v>
      </c>
      <c r="C49" s="2110">
        <f t="shared" si="4"/>
        <v>43</v>
      </c>
      <c r="D49" s="2033" t="s">
        <v>197</v>
      </c>
      <c r="E49" s="2044"/>
      <c r="F49" s="2032">
        <f t="shared" si="5"/>
        <v>45525</v>
      </c>
      <c r="G49" s="2036">
        <v>0.41666666666666669</v>
      </c>
      <c r="H49" s="2036">
        <v>0.70833333333333337</v>
      </c>
      <c r="I49" s="2035" t="s">
        <v>1183</v>
      </c>
      <c r="J49" s="2035" t="s">
        <v>259</v>
      </c>
      <c r="K49" s="2035" t="s">
        <v>1153</v>
      </c>
      <c r="L49" s="2045"/>
      <c r="M49" s="2033"/>
      <c r="N49" s="2040">
        <f t="shared" si="6"/>
        <v>2</v>
      </c>
      <c r="O49" s="2062"/>
      <c r="P49" s="2045"/>
      <c r="Q49" s="2033"/>
      <c r="R49" s="2038">
        <f t="shared" si="9"/>
        <v>0</v>
      </c>
      <c r="S49" s="2038"/>
      <c r="T49" s="2039" t="str">
        <f t="shared" si="1"/>
        <v>7:00</v>
      </c>
      <c r="U49" s="2040">
        <f t="shared" si="7"/>
        <v>5</v>
      </c>
      <c r="V49" s="2057"/>
      <c r="W49" s="2038">
        <f t="shared" si="2"/>
        <v>0</v>
      </c>
      <c r="X49" s="2041">
        <f>(R49+((T49-0)*S49))*((100-Q49)/100)</f>
        <v>0</v>
      </c>
      <c r="Y49" s="82"/>
      <c r="Z49" s="1967"/>
      <c r="AA49" s="82"/>
      <c r="AB49" s="82"/>
      <c r="AC49" s="82"/>
      <c r="AD49" s="82"/>
      <c r="AE49" s="82"/>
      <c r="AF49" s="82"/>
      <c r="AG49" s="82"/>
      <c r="AH49" s="82"/>
      <c r="AI49" s="82"/>
      <c r="AJ49" s="82"/>
      <c r="AK49" s="82"/>
      <c r="AL49" s="82"/>
      <c r="AM49" s="82"/>
      <c r="AN49" s="82"/>
      <c r="AO49" s="82"/>
      <c r="AP49" s="82"/>
      <c r="AQ49" s="82"/>
      <c r="AR49" s="82"/>
    </row>
    <row r="50" spans="1:44" s="1420" customFormat="1" ht="15.5">
      <c r="A50" s="2031">
        <f t="shared" si="3"/>
        <v>4</v>
      </c>
      <c r="B50" s="2064">
        <v>45532</v>
      </c>
      <c r="C50" s="2110">
        <f t="shared" si="4"/>
        <v>44</v>
      </c>
      <c r="D50" s="2033" t="s">
        <v>197</v>
      </c>
      <c r="E50" s="2044"/>
      <c r="F50" s="2032">
        <f t="shared" si="5"/>
        <v>45532</v>
      </c>
      <c r="G50" s="2036">
        <v>0.41666666666666669</v>
      </c>
      <c r="H50" s="2036">
        <v>0.70833333333333337</v>
      </c>
      <c r="I50" s="2035" t="s">
        <v>1183</v>
      </c>
      <c r="J50" s="2035" t="s">
        <v>259</v>
      </c>
      <c r="K50" s="2035" t="s">
        <v>1153</v>
      </c>
      <c r="L50" s="2045"/>
      <c r="M50" s="2068"/>
      <c r="N50" s="2040">
        <f t="shared" si="6"/>
        <v>2</v>
      </c>
      <c r="O50" s="2067"/>
      <c r="P50" s="2065"/>
      <c r="Q50" s="2068"/>
      <c r="R50" s="2038">
        <f t="shared" si="9"/>
        <v>0</v>
      </c>
      <c r="S50" s="2070"/>
      <c r="T50" s="2039" t="str">
        <f t="shared" si="1"/>
        <v>7:00</v>
      </c>
      <c r="U50" s="2040">
        <f t="shared" si="7"/>
        <v>5</v>
      </c>
      <c r="V50" s="2066"/>
      <c r="W50" s="2070">
        <f t="shared" si="2"/>
        <v>0</v>
      </c>
      <c r="X50" s="2071">
        <f>(R50+((T50-0)*S50))*((100-Q50)/100)</f>
        <v>0</v>
      </c>
      <c r="Y50" s="1064"/>
      <c r="Z50" s="1064"/>
      <c r="AA50" s="1064"/>
      <c r="AB50" s="1064"/>
      <c r="AC50" s="1064"/>
      <c r="AD50" s="1064"/>
      <c r="AE50" s="1064"/>
      <c r="AF50" s="1064"/>
      <c r="AG50" s="1064"/>
      <c r="AH50" s="82"/>
      <c r="AI50" s="82"/>
      <c r="AJ50" s="82"/>
      <c r="AK50" s="82"/>
      <c r="AL50" s="82"/>
      <c r="AM50" s="82"/>
      <c r="AN50" s="82"/>
      <c r="AO50" s="82"/>
      <c r="AP50" s="82"/>
      <c r="AQ50" s="82"/>
      <c r="AR50" s="82"/>
    </row>
    <row r="51" spans="1:44" s="1420" customFormat="1" ht="15.5">
      <c r="A51" s="2031">
        <f t="shared" si="3"/>
        <v>4</v>
      </c>
      <c r="B51" s="2042">
        <v>45539</v>
      </c>
      <c r="C51" s="2110">
        <f t="shared" si="4"/>
        <v>45</v>
      </c>
      <c r="D51" s="2033" t="s">
        <v>197</v>
      </c>
      <c r="E51" s="2044"/>
      <c r="F51" s="2032">
        <f t="shared" si="5"/>
        <v>45539</v>
      </c>
      <c r="G51" s="2036">
        <v>0.41666666666666669</v>
      </c>
      <c r="H51" s="2036">
        <v>0.70833333333333337</v>
      </c>
      <c r="I51" s="2035" t="s">
        <v>1183</v>
      </c>
      <c r="J51" s="2035" t="s">
        <v>259</v>
      </c>
      <c r="K51" s="2035" t="s">
        <v>1153</v>
      </c>
      <c r="L51" s="2045"/>
      <c r="M51" s="2061"/>
      <c r="N51" s="2040">
        <f t="shared" si="6"/>
        <v>2</v>
      </c>
      <c r="O51" s="2062"/>
      <c r="P51" s="2045"/>
      <c r="Q51" s="2033"/>
      <c r="R51" s="2038">
        <f t="shared" si="9"/>
        <v>0</v>
      </c>
      <c r="S51" s="2038"/>
      <c r="T51" s="2039" t="str">
        <f t="shared" si="1"/>
        <v>7:00</v>
      </c>
      <c r="U51" s="2040">
        <f t="shared" si="7"/>
        <v>5</v>
      </c>
      <c r="V51" s="2060"/>
      <c r="W51" s="2038">
        <f t="shared" si="2"/>
        <v>0</v>
      </c>
      <c r="X51" s="2041">
        <f>(R51+((T51-0)*S51))*((100-Q51)/100)</f>
        <v>0</v>
      </c>
      <c r="Y51" s="2102"/>
      <c r="Z51" s="91"/>
      <c r="AA51" s="2102"/>
      <c r="AB51" s="82"/>
      <c r="AC51" s="82"/>
      <c r="AD51" s="82"/>
      <c r="AE51" s="82"/>
      <c r="AF51" s="82"/>
      <c r="AG51" s="82"/>
      <c r="AH51" s="82"/>
      <c r="AI51" s="82"/>
      <c r="AJ51" s="82"/>
      <c r="AK51" s="82"/>
      <c r="AL51" s="82"/>
      <c r="AM51" s="82"/>
      <c r="AN51" s="82"/>
      <c r="AO51" s="82"/>
      <c r="AP51" s="82"/>
      <c r="AQ51" s="82"/>
      <c r="AR51" s="82"/>
    </row>
    <row r="52" spans="1:44" s="1420" customFormat="1" ht="15.5">
      <c r="A52" s="2031">
        <f t="shared" si="3"/>
        <v>4</v>
      </c>
      <c r="B52" s="2042">
        <v>45546</v>
      </c>
      <c r="C52" s="2110">
        <f t="shared" si="4"/>
        <v>46</v>
      </c>
      <c r="D52" s="2033" t="s">
        <v>197</v>
      </c>
      <c r="E52" s="2044"/>
      <c r="F52" s="2032">
        <f t="shared" si="5"/>
        <v>45546</v>
      </c>
      <c r="G52" s="2036">
        <v>0.41666666666666669</v>
      </c>
      <c r="H52" s="2036">
        <v>0.70833333333333337</v>
      </c>
      <c r="I52" s="2035" t="s">
        <v>1183</v>
      </c>
      <c r="J52" s="2035" t="s">
        <v>259</v>
      </c>
      <c r="K52" s="2035" t="s">
        <v>1153</v>
      </c>
      <c r="L52" s="2045"/>
      <c r="M52" s="2061"/>
      <c r="N52" s="2040">
        <f t="shared" si="6"/>
        <v>2</v>
      </c>
      <c r="O52" s="2062"/>
      <c r="P52" s="2045"/>
      <c r="Q52" s="2033"/>
      <c r="R52" s="2038">
        <f t="shared" si="9"/>
        <v>0</v>
      </c>
      <c r="S52" s="2038"/>
      <c r="T52" s="2039" t="str">
        <f t="shared" si="1"/>
        <v>7:00</v>
      </c>
      <c r="U52" s="2040">
        <f t="shared" si="7"/>
        <v>5</v>
      </c>
      <c r="V52" s="2060"/>
      <c r="W52" s="2038">
        <f t="shared" si="2"/>
        <v>0</v>
      </c>
      <c r="X52" s="2041">
        <f>(R52+((T52-0)*S52))*((100-Q52)/100)</f>
        <v>0</v>
      </c>
      <c r="Y52" s="2102"/>
      <c r="Z52" s="91"/>
      <c r="AA52" s="2102"/>
      <c r="AB52" s="82"/>
      <c r="AC52" s="82"/>
      <c r="AD52" s="82"/>
      <c r="AE52" s="82"/>
      <c r="AF52" s="82"/>
      <c r="AG52" s="82"/>
      <c r="AH52" s="82"/>
      <c r="AI52" s="82"/>
      <c r="AJ52" s="82"/>
      <c r="AK52" s="82"/>
      <c r="AL52" s="82"/>
      <c r="AM52" s="82"/>
      <c r="AN52" s="82"/>
      <c r="AO52" s="82"/>
      <c r="AP52" s="82"/>
      <c r="AQ52" s="82"/>
      <c r="AR52" s="82"/>
    </row>
    <row r="53" spans="1:44" s="1466" customFormat="1" ht="15.5">
      <c r="A53" s="2031">
        <f t="shared" si="3"/>
        <v>4</v>
      </c>
      <c r="B53" s="2042">
        <v>45553</v>
      </c>
      <c r="C53" s="2110">
        <f t="shared" si="4"/>
        <v>47</v>
      </c>
      <c r="D53" s="2033" t="s">
        <v>197</v>
      </c>
      <c r="E53" s="2044"/>
      <c r="F53" s="2032">
        <f t="shared" si="5"/>
        <v>45553</v>
      </c>
      <c r="G53" s="2036">
        <v>0.41666666666666669</v>
      </c>
      <c r="H53" s="2036">
        <v>0.70833333333333337</v>
      </c>
      <c r="I53" s="2035" t="s">
        <v>1183</v>
      </c>
      <c r="J53" s="2035" t="s">
        <v>259</v>
      </c>
      <c r="K53" s="2035" t="s">
        <v>1153</v>
      </c>
      <c r="L53" s="2045"/>
      <c r="M53" s="2033"/>
      <c r="N53" s="2040">
        <f t="shared" si="6"/>
        <v>2</v>
      </c>
      <c r="O53" s="2062"/>
      <c r="P53" s="2045"/>
      <c r="Q53" s="2074"/>
      <c r="R53" s="2038">
        <f t="shared" si="9"/>
        <v>0</v>
      </c>
      <c r="S53" s="2038"/>
      <c r="T53" s="2039" t="str">
        <f t="shared" si="1"/>
        <v>7:00</v>
      </c>
      <c r="U53" s="2040">
        <f t="shared" si="7"/>
        <v>5</v>
      </c>
      <c r="V53" s="2075"/>
      <c r="W53" s="2038">
        <f t="shared" si="2"/>
        <v>0</v>
      </c>
      <c r="X53" s="2041">
        <f>(R53+((T53-0)*S53))*((100-Q53)/100)</f>
        <v>0</v>
      </c>
      <c r="Y53" s="82"/>
      <c r="Z53" s="82"/>
      <c r="AA53" s="82"/>
      <c r="AB53" s="82"/>
      <c r="AC53" s="82"/>
      <c r="AD53" s="82"/>
      <c r="AE53" s="82"/>
      <c r="AF53" s="82"/>
      <c r="AG53" s="82"/>
      <c r="AH53" s="1064"/>
      <c r="AI53" s="1064"/>
      <c r="AJ53" s="1064"/>
      <c r="AK53" s="1064"/>
      <c r="AL53" s="1064"/>
      <c r="AM53" s="1064"/>
      <c r="AN53" s="1064"/>
      <c r="AO53" s="1064"/>
      <c r="AP53" s="1064"/>
      <c r="AQ53" s="1064"/>
      <c r="AR53" s="1064"/>
    </row>
    <row r="54" spans="1:44" s="1420" customFormat="1" ht="15.5">
      <c r="A54" s="2031">
        <f t="shared" si="3"/>
        <v>4</v>
      </c>
      <c r="B54" s="2042">
        <v>45560</v>
      </c>
      <c r="C54" s="2110">
        <f t="shared" si="4"/>
        <v>48</v>
      </c>
      <c r="D54" s="2033" t="s">
        <v>197</v>
      </c>
      <c r="E54" s="2044"/>
      <c r="F54" s="2032">
        <f t="shared" si="5"/>
        <v>45560</v>
      </c>
      <c r="G54" s="2036">
        <v>0.41666666666666669</v>
      </c>
      <c r="H54" s="2036">
        <v>0.70833333333333337</v>
      </c>
      <c r="I54" s="2035" t="s">
        <v>1183</v>
      </c>
      <c r="J54" s="2035" t="s">
        <v>259</v>
      </c>
      <c r="K54" s="2035" t="s">
        <v>1153</v>
      </c>
      <c r="L54" s="2045"/>
      <c r="M54" s="2033"/>
      <c r="N54" s="2040">
        <f t="shared" si="6"/>
        <v>2</v>
      </c>
      <c r="O54" s="2062"/>
      <c r="P54" s="2045"/>
      <c r="Q54" s="2076"/>
      <c r="R54" s="2038">
        <f t="shared" si="9"/>
        <v>0</v>
      </c>
      <c r="S54" s="2038"/>
      <c r="T54" s="2039" t="str">
        <f t="shared" si="1"/>
        <v>7:00</v>
      </c>
      <c r="U54" s="2040">
        <f t="shared" si="7"/>
        <v>5</v>
      </c>
      <c r="V54" s="2075"/>
      <c r="W54" s="2038">
        <f t="shared" si="2"/>
        <v>0</v>
      </c>
      <c r="X54" s="2041">
        <f>(R54+((T54-8)*S54))*((100-Q54)/100)</f>
        <v>0</v>
      </c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  <c r="AL54" s="82"/>
      <c r="AM54" s="82"/>
      <c r="AN54" s="82"/>
      <c r="AO54" s="82"/>
      <c r="AP54" s="82"/>
      <c r="AQ54" s="82"/>
      <c r="AR54" s="82"/>
    </row>
    <row r="55" spans="1:44" s="1420" customFormat="1" ht="15.5">
      <c r="A55" s="2031">
        <f t="shared" si="3"/>
        <v>4</v>
      </c>
      <c r="B55" s="2042">
        <v>45567</v>
      </c>
      <c r="C55" s="2110">
        <f t="shared" si="4"/>
        <v>49</v>
      </c>
      <c r="D55" s="2033" t="s">
        <v>197</v>
      </c>
      <c r="E55" s="2044"/>
      <c r="F55" s="2032">
        <f t="shared" si="5"/>
        <v>45567</v>
      </c>
      <c r="G55" s="2036">
        <v>0.41666666666666669</v>
      </c>
      <c r="H55" s="2036">
        <v>0.70833333333333337</v>
      </c>
      <c r="I55" s="2035" t="s">
        <v>1183</v>
      </c>
      <c r="J55" s="2035" t="s">
        <v>259</v>
      </c>
      <c r="K55" s="2035" t="s">
        <v>1153</v>
      </c>
      <c r="L55" s="2045"/>
      <c r="M55" s="2033"/>
      <c r="N55" s="2040">
        <f t="shared" si="6"/>
        <v>2</v>
      </c>
      <c r="O55" s="2062"/>
      <c r="P55" s="2045"/>
      <c r="Q55" s="2059"/>
      <c r="R55" s="2038">
        <f t="shared" si="9"/>
        <v>0</v>
      </c>
      <c r="S55" s="2038"/>
      <c r="T55" s="2039" t="str">
        <f t="shared" si="1"/>
        <v>7:00</v>
      </c>
      <c r="U55" s="2040">
        <f t="shared" si="7"/>
        <v>5</v>
      </c>
      <c r="V55" s="2060"/>
      <c r="W55" s="2038">
        <f t="shared" si="2"/>
        <v>0</v>
      </c>
      <c r="X55" s="2041">
        <f>(R55+((T55-0)*S55))*((100-Q55)/100)</f>
        <v>0</v>
      </c>
      <c r="Y55" s="2102"/>
      <c r="Z55" s="426"/>
      <c r="AA55" s="2102"/>
      <c r="AB55" s="82"/>
      <c r="AC55" s="82"/>
      <c r="AD55" s="82"/>
      <c r="AE55" s="82"/>
      <c r="AF55" s="82"/>
      <c r="AG55" s="82"/>
      <c r="AH55" s="82"/>
      <c r="AI55" s="82"/>
      <c r="AJ55" s="82"/>
      <c r="AK55" s="82"/>
      <c r="AL55" s="82"/>
      <c r="AM55" s="82"/>
      <c r="AN55" s="82"/>
      <c r="AO55" s="82"/>
      <c r="AP55" s="82"/>
      <c r="AQ55" s="82"/>
      <c r="AR55" s="82"/>
    </row>
    <row r="56" spans="1:44" s="1420" customFormat="1" ht="15.5">
      <c r="A56" s="2031">
        <f t="shared" si="3"/>
        <v>4</v>
      </c>
      <c r="B56" s="2042">
        <v>45574</v>
      </c>
      <c r="C56" s="2110">
        <f t="shared" si="4"/>
        <v>50</v>
      </c>
      <c r="D56" s="2033" t="s">
        <v>197</v>
      </c>
      <c r="E56" s="2044"/>
      <c r="F56" s="2032">
        <f t="shared" si="5"/>
        <v>45574</v>
      </c>
      <c r="G56" s="2036">
        <v>0.41666666666666669</v>
      </c>
      <c r="H56" s="2036">
        <v>0.70833333333333337</v>
      </c>
      <c r="I56" s="2035" t="s">
        <v>1183</v>
      </c>
      <c r="J56" s="2035" t="s">
        <v>259</v>
      </c>
      <c r="K56" s="2035" t="s">
        <v>1153</v>
      </c>
      <c r="L56" s="2045"/>
      <c r="M56" s="2033"/>
      <c r="N56" s="2040">
        <f t="shared" si="6"/>
        <v>2</v>
      </c>
      <c r="O56" s="2062"/>
      <c r="P56" s="2045"/>
      <c r="Q56" s="2033"/>
      <c r="R56" s="2038">
        <f t="shared" si="9"/>
        <v>0</v>
      </c>
      <c r="S56" s="2038"/>
      <c r="T56" s="2039" t="str">
        <f t="shared" si="1"/>
        <v>7:00</v>
      </c>
      <c r="U56" s="2040">
        <f t="shared" si="7"/>
        <v>5</v>
      </c>
      <c r="V56" s="2057"/>
      <c r="W56" s="2038">
        <f t="shared" si="2"/>
        <v>0</v>
      </c>
      <c r="X56" s="2041">
        <f>R56+((T56-0)*S56)</f>
        <v>0</v>
      </c>
      <c r="Y56" s="82"/>
      <c r="Z56" s="82"/>
      <c r="AA56" s="82"/>
      <c r="AB56" s="82"/>
      <c r="AC56" s="82"/>
      <c r="AD56" s="82"/>
      <c r="AE56" s="82"/>
      <c r="AF56" s="82"/>
      <c r="AG56" s="82"/>
      <c r="AH56" s="82"/>
      <c r="AI56" s="82"/>
      <c r="AJ56" s="82"/>
      <c r="AK56" s="82"/>
      <c r="AL56" s="82"/>
      <c r="AM56" s="82"/>
      <c r="AN56" s="82"/>
      <c r="AO56" s="82"/>
      <c r="AP56" s="82"/>
      <c r="AQ56" s="82"/>
      <c r="AR56" s="82"/>
    </row>
    <row r="57" spans="1:44" s="1492" customFormat="1" ht="15.5">
      <c r="A57" s="2031">
        <f t="shared" si="3"/>
        <v>4</v>
      </c>
      <c r="B57" s="2042">
        <v>45581</v>
      </c>
      <c r="C57" s="2110">
        <f t="shared" si="4"/>
        <v>51</v>
      </c>
      <c r="D57" s="2033" t="s">
        <v>197</v>
      </c>
      <c r="E57" s="2044"/>
      <c r="F57" s="2032">
        <f t="shared" si="5"/>
        <v>45581</v>
      </c>
      <c r="G57" s="2036">
        <v>0.41666666666666669</v>
      </c>
      <c r="H57" s="2036">
        <v>0.70833333333333337</v>
      </c>
      <c r="I57" s="2035" t="s">
        <v>1183</v>
      </c>
      <c r="J57" s="2035" t="s">
        <v>259</v>
      </c>
      <c r="K57" s="2035" t="s">
        <v>1153</v>
      </c>
      <c r="L57" s="2045"/>
      <c r="M57" s="2033"/>
      <c r="N57" s="2040">
        <f t="shared" si="6"/>
        <v>2</v>
      </c>
      <c r="O57" s="2062"/>
      <c r="P57" s="2045"/>
      <c r="Q57" s="2059"/>
      <c r="R57" s="2038">
        <f t="shared" si="9"/>
        <v>0</v>
      </c>
      <c r="S57" s="2038"/>
      <c r="T57" s="2039" t="str">
        <f t="shared" si="1"/>
        <v>7:00</v>
      </c>
      <c r="U57" s="2040">
        <f t="shared" si="7"/>
        <v>5</v>
      </c>
      <c r="V57" s="2060"/>
      <c r="W57" s="2038">
        <f t="shared" si="2"/>
        <v>0</v>
      </c>
      <c r="X57" s="2041">
        <f t="shared" ref="X57:X62" si="12">(R57+((T57-0)*S57))*((100-Q57)/100)</f>
        <v>0</v>
      </c>
      <c r="Y57" s="2102"/>
      <c r="Z57" s="426"/>
      <c r="AA57" s="2102"/>
      <c r="AB57" s="82"/>
      <c r="AC57" s="82"/>
      <c r="AD57" s="82"/>
      <c r="AE57" s="82"/>
      <c r="AF57" s="82"/>
      <c r="AG57" s="82"/>
      <c r="AH57" s="605"/>
      <c r="AI57" s="605"/>
      <c r="AJ57" s="605"/>
      <c r="AK57" s="605"/>
      <c r="AL57" s="605"/>
      <c r="AM57" s="605"/>
      <c r="AN57" s="605"/>
      <c r="AO57" s="605"/>
      <c r="AP57" s="605"/>
      <c r="AQ57" s="605"/>
      <c r="AR57" s="605"/>
    </row>
    <row r="58" spans="1:44" s="1420" customFormat="1" ht="15.5">
      <c r="A58" s="2031">
        <f t="shared" si="3"/>
        <v>4</v>
      </c>
      <c r="B58" s="2042">
        <v>45588</v>
      </c>
      <c r="C58" s="2110">
        <f t="shared" si="4"/>
        <v>52</v>
      </c>
      <c r="D58" s="2033" t="s">
        <v>197</v>
      </c>
      <c r="E58" s="2044"/>
      <c r="F58" s="2032">
        <f t="shared" si="5"/>
        <v>45588</v>
      </c>
      <c r="G58" s="2036">
        <v>0.41666666666666669</v>
      </c>
      <c r="H58" s="2036">
        <v>0.70833333333333337</v>
      </c>
      <c r="I58" s="2035" t="s">
        <v>1183</v>
      </c>
      <c r="J58" s="2035" t="s">
        <v>259</v>
      </c>
      <c r="K58" s="2035" t="s">
        <v>1153</v>
      </c>
      <c r="L58" s="2045"/>
      <c r="M58" s="2033"/>
      <c r="N58" s="2040">
        <f t="shared" si="6"/>
        <v>2</v>
      </c>
      <c r="O58" s="2062"/>
      <c r="P58" s="2045"/>
      <c r="Q58" s="2077"/>
      <c r="R58" s="2038">
        <f t="shared" si="9"/>
        <v>0</v>
      </c>
      <c r="S58" s="2038"/>
      <c r="T58" s="2039" t="str">
        <f t="shared" si="1"/>
        <v>7:00</v>
      </c>
      <c r="U58" s="2040">
        <f t="shared" si="7"/>
        <v>5</v>
      </c>
      <c r="V58" s="2060"/>
      <c r="W58" s="2038">
        <f t="shared" si="2"/>
        <v>0</v>
      </c>
      <c r="X58" s="2041">
        <f t="shared" si="12"/>
        <v>0</v>
      </c>
      <c r="Y58" s="2102"/>
      <c r="Z58" s="91"/>
      <c r="AA58" s="210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</row>
    <row r="59" spans="1:44" s="1420" customFormat="1" ht="13" customHeight="1">
      <c r="A59" s="2031">
        <f t="shared" si="3"/>
        <v>4</v>
      </c>
      <c r="B59" s="2042">
        <v>45595</v>
      </c>
      <c r="C59" s="2110">
        <f t="shared" si="4"/>
        <v>53</v>
      </c>
      <c r="D59" s="2033" t="s">
        <v>197</v>
      </c>
      <c r="E59" s="2044"/>
      <c r="F59" s="2032">
        <f t="shared" si="5"/>
        <v>45595</v>
      </c>
      <c r="G59" s="2036">
        <v>0.41666666666666669</v>
      </c>
      <c r="H59" s="2036">
        <v>0.70833333333333337</v>
      </c>
      <c r="I59" s="2035" t="s">
        <v>1183</v>
      </c>
      <c r="J59" s="2035" t="s">
        <v>259</v>
      </c>
      <c r="K59" s="2035" t="s">
        <v>1153</v>
      </c>
      <c r="L59" s="2045"/>
      <c r="M59" s="2033"/>
      <c r="N59" s="2040">
        <f t="shared" si="6"/>
        <v>2</v>
      </c>
      <c r="O59" s="2062"/>
      <c r="P59" s="2045"/>
      <c r="Q59" s="2077"/>
      <c r="R59" s="2038">
        <f t="shared" si="9"/>
        <v>0</v>
      </c>
      <c r="S59" s="2038"/>
      <c r="T59" s="2039" t="str">
        <f t="shared" si="1"/>
        <v>7:00</v>
      </c>
      <c r="U59" s="2040">
        <f t="shared" si="7"/>
        <v>5</v>
      </c>
      <c r="V59" s="2060"/>
      <c r="W59" s="2038">
        <f t="shared" si="2"/>
        <v>0</v>
      </c>
      <c r="X59" s="2041">
        <f t="shared" si="12"/>
        <v>0</v>
      </c>
      <c r="Y59" s="2102"/>
      <c r="Z59" s="91"/>
      <c r="AA59" s="2102"/>
      <c r="AB59" s="82"/>
      <c r="AC59" s="82"/>
      <c r="AD59" s="82"/>
      <c r="AE59" s="82"/>
      <c r="AF59" s="82"/>
      <c r="AG59" s="82"/>
      <c r="AH59" s="82"/>
      <c r="AI59" s="82"/>
      <c r="AJ59" s="82"/>
      <c r="AK59" s="82"/>
      <c r="AL59" s="82"/>
      <c r="AM59" s="82"/>
      <c r="AN59" s="82"/>
      <c r="AO59" s="82"/>
      <c r="AP59" s="82"/>
      <c r="AQ59" s="82"/>
      <c r="AR59" s="82"/>
    </row>
    <row r="60" spans="1:44" s="1620" customFormat="1" ht="15.5">
      <c r="A60" s="2031">
        <f t="shared" si="3"/>
        <v>4</v>
      </c>
      <c r="B60" s="2042">
        <v>45602</v>
      </c>
      <c r="C60" s="2110">
        <f t="shared" si="4"/>
        <v>54</v>
      </c>
      <c r="D60" s="2033" t="s">
        <v>197</v>
      </c>
      <c r="E60" s="2044"/>
      <c r="F60" s="2032">
        <f t="shared" si="5"/>
        <v>45602</v>
      </c>
      <c r="G60" s="2036">
        <v>0.41666666666666669</v>
      </c>
      <c r="H60" s="2036">
        <v>0.70833333333333337</v>
      </c>
      <c r="I60" s="2035" t="s">
        <v>1183</v>
      </c>
      <c r="J60" s="2035" t="s">
        <v>259</v>
      </c>
      <c r="K60" s="2035" t="s">
        <v>1153</v>
      </c>
      <c r="L60" s="2045"/>
      <c r="M60" s="2033"/>
      <c r="N60" s="2040">
        <f t="shared" si="6"/>
        <v>2</v>
      </c>
      <c r="O60" s="2062"/>
      <c r="P60" s="2045"/>
      <c r="Q60" s="2033"/>
      <c r="R60" s="2038">
        <f t="shared" si="9"/>
        <v>0</v>
      </c>
      <c r="S60" s="2038"/>
      <c r="T60" s="2039" t="str">
        <f t="shared" si="1"/>
        <v>7:00</v>
      </c>
      <c r="U60" s="2040">
        <f t="shared" si="7"/>
        <v>5</v>
      </c>
      <c r="V60" s="2060"/>
      <c r="W60" s="2038">
        <f t="shared" si="2"/>
        <v>0</v>
      </c>
      <c r="X60" s="2041">
        <f t="shared" si="12"/>
        <v>0</v>
      </c>
      <c r="Y60" s="2102"/>
      <c r="Z60" s="91"/>
      <c r="AA60" s="2102"/>
      <c r="AB60" s="82"/>
      <c r="AC60" s="82"/>
      <c r="AD60" s="82"/>
      <c r="AE60" s="82"/>
      <c r="AF60" s="82"/>
      <c r="AG60" s="82"/>
      <c r="AH60" s="620"/>
      <c r="AI60" s="620"/>
      <c r="AJ60" s="620"/>
      <c r="AK60" s="620"/>
      <c r="AL60" s="620"/>
      <c r="AM60" s="620"/>
      <c r="AN60" s="620"/>
      <c r="AO60" s="620"/>
      <c r="AP60" s="620"/>
      <c r="AQ60" s="620"/>
      <c r="AR60" s="620"/>
    </row>
    <row r="61" spans="1:44" s="1420" customFormat="1" ht="15.5">
      <c r="A61" s="2031">
        <f t="shared" si="3"/>
        <v>4</v>
      </c>
      <c r="B61" s="2042">
        <v>45609</v>
      </c>
      <c r="C61" s="2110">
        <f t="shared" si="4"/>
        <v>55</v>
      </c>
      <c r="D61" s="2033" t="s">
        <v>197</v>
      </c>
      <c r="E61" s="2044"/>
      <c r="F61" s="2032">
        <f t="shared" si="5"/>
        <v>45609</v>
      </c>
      <c r="G61" s="2036">
        <v>0.41666666666666669</v>
      </c>
      <c r="H61" s="2036">
        <v>0.70833333333333337</v>
      </c>
      <c r="I61" s="2035" t="s">
        <v>1183</v>
      </c>
      <c r="J61" s="2035" t="s">
        <v>259</v>
      </c>
      <c r="K61" s="2035" t="s">
        <v>1153</v>
      </c>
      <c r="L61" s="2045"/>
      <c r="M61" s="2033"/>
      <c r="N61" s="2040">
        <f t="shared" si="6"/>
        <v>2</v>
      </c>
      <c r="O61" s="2062"/>
      <c r="P61" s="2045"/>
      <c r="Q61" s="2033"/>
      <c r="R61" s="2038">
        <f t="shared" si="9"/>
        <v>0</v>
      </c>
      <c r="S61" s="2078"/>
      <c r="T61" s="2039" t="str">
        <f t="shared" si="1"/>
        <v>7:00</v>
      </c>
      <c r="U61" s="2040">
        <f t="shared" si="7"/>
        <v>5</v>
      </c>
      <c r="V61" s="2060"/>
      <c r="W61" s="2038">
        <f t="shared" si="2"/>
        <v>0</v>
      </c>
      <c r="X61" s="2041">
        <f t="shared" si="12"/>
        <v>0</v>
      </c>
      <c r="Y61" s="2102"/>
      <c r="Z61" s="1967"/>
      <c r="AA61" s="2102"/>
      <c r="AB61" s="82"/>
      <c r="AC61" s="82"/>
      <c r="AD61" s="82"/>
      <c r="AE61" s="82"/>
      <c r="AF61" s="82"/>
      <c r="AG61" s="82"/>
      <c r="AH61" s="82"/>
      <c r="AI61" s="82"/>
      <c r="AJ61" s="82"/>
      <c r="AK61" s="82"/>
      <c r="AL61" s="82"/>
      <c r="AM61" s="82"/>
      <c r="AN61" s="82"/>
      <c r="AO61" s="82"/>
      <c r="AP61" s="82"/>
      <c r="AQ61" s="82"/>
      <c r="AR61" s="82"/>
    </row>
    <row r="62" spans="1:44" s="1420" customFormat="1" ht="15.5">
      <c r="A62" s="2031">
        <f t="shared" si="3"/>
        <v>4</v>
      </c>
      <c r="B62" s="2042">
        <v>45616</v>
      </c>
      <c r="C62" s="2110">
        <f t="shared" si="4"/>
        <v>56</v>
      </c>
      <c r="D62" s="2033" t="s">
        <v>197</v>
      </c>
      <c r="E62" s="2044"/>
      <c r="F62" s="2032">
        <f t="shared" si="5"/>
        <v>45616</v>
      </c>
      <c r="G62" s="2036">
        <v>0.41666666666666669</v>
      </c>
      <c r="H62" s="2036">
        <v>0.70833333333333337</v>
      </c>
      <c r="I62" s="2035" t="s">
        <v>1183</v>
      </c>
      <c r="J62" s="2035" t="s">
        <v>259</v>
      </c>
      <c r="K62" s="2035" t="s">
        <v>1153</v>
      </c>
      <c r="L62" s="2045"/>
      <c r="M62" s="2033"/>
      <c r="N62" s="2040">
        <f t="shared" si="6"/>
        <v>2</v>
      </c>
      <c r="O62" s="2062"/>
      <c r="P62" s="2045"/>
      <c r="Q62" s="2033"/>
      <c r="R62" s="2038">
        <f t="shared" si="9"/>
        <v>0</v>
      </c>
      <c r="S62" s="2038"/>
      <c r="T62" s="2039" t="str">
        <f t="shared" si="1"/>
        <v>7:00</v>
      </c>
      <c r="U62" s="2040">
        <f t="shared" si="7"/>
        <v>5</v>
      </c>
      <c r="V62" s="2057"/>
      <c r="W62" s="2038">
        <f t="shared" si="2"/>
        <v>0</v>
      </c>
      <c r="X62" s="2041">
        <f t="shared" si="12"/>
        <v>0</v>
      </c>
      <c r="Y62" s="82"/>
      <c r="Z62" s="82"/>
      <c r="AA62" s="82"/>
      <c r="AB62" s="82"/>
      <c r="AC62" s="82"/>
      <c r="AD62" s="82"/>
      <c r="AE62" s="82"/>
      <c r="AF62" s="82"/>
      <c r="AG62" s="82"/>
      <c r="AH62" s="82"/>
      <c r="AI62" s="82"/>
      <c r="AJ62" s="82"/>
      <c r="AK62" s="82"/>
      <c r="AL62" s="82"/>
      <c r="AM62" s="82"/>
      <c r="AN62" s="82"/>
      <c r="AO62" s="82"/>
      <c r="AP62" s="82"/>
      <c r="AQ62" s="82"/>
      <c r="AR62" s="82"/>
    </row>
    <row r="63" spans="1:44" s="1420" customFormat="1" ht="15.5">
      <c r="A63" s="2031">
        <f t="shared" si="3"/>
        <v>4</v>
      </c>
      <c r="B63" s="2042">
        <v>45623</v>
      </c>
      <c r="C63" s="2110">
        <f t="shared" si="4"/>
        <v>57</v>
      </c>
      <c r="D63" s="2033" t="s">
        <v>197</v>
      </c>
      <c r="E63" s="2044"/>
      <c r="F63" s="2032">
        <f t="shared" si="5"/>
        <v>45623</v>
      </c>
      <c r="G63" s="2036">
        <v>0.41666666666666669</v>
      </c>
      <c r="H63" s="2036">
        <v>0.70833333333333337</v>
      </c>
      <c r="I63" s="2035" t="s">
        <v>1183</v>
      </c>
      <c r="J63" s="2035" t="s">
        <v>259</v>
      </c>
      <c r="K63" s="2035" t="s">
        <v>1153</v>
      </c>
      <c r="L63" s="2045"/>
      <c r="M63" s="2033"/>
      <c r="N63" s="2040">
        <f t="shared" si="6"/>
        <v>2</v>
      </c>
      <c r="O63" s="2062"/>
      <c r="P63" s="2045"/>
      <c r="Q63" s="2033"/>
      <c r="R63" s="2038">
        <f t="shared" si="9"/>
        <v>0</v>
      </c>
      <c r="S63" s="2038"/>
      <c r="T63" s="2039" t="str">
        <f t="shared" si="1"/>
        <v>7:00</v>
      </c>
      <c r="U63" s="2040">
        <f t="shared" si="7"/>
        <v>5</v>
      </c>
      <c r="V63" s="2057"/>
      <c r="W63" s="2038">
        <f t="shared" si="2"/>
        <v>0</v>
      </c>
      <c r="X63" s="2041">
        <f>R63+((T63-0)*S63)</f>
        <v>0</v>
      </c>
      <c r="Y63" s="620"/>
      <c r="Z63" s="620"/>
      <c r="AA63" s="620"/>
      <c r="AB63" s="620"/>
      <c r="AC63" s="620"/>
      <c r="AD63" s="620"/>
      <c r="AE63" s="620"/>
      <c r="AF63" s="620"/>
      <c r="AG63" s="620"/>
      <c r="AH63" s="82"/>
      <c r="AI63" s="82"/>
      <c r="AJ63" s="82"/>
      <c r="AK63" s="82"/>
      <c r="AL63" s="82"/>
      <c r="AM63" s="82"/>
      <c r="AN63" s="82"/>
      <c r="AO63" s="82"/>
      <c r="AP63" s="82"/>
      <c r="AQ63" s="82"/>
      <c r="AR63" s="82"/>
    </row>
    <row r="64" spans="1:44" s="1420" customFormat="1" ht="15.5">
      <c r="A64" s="2031">
        <f t="shared" si="3"/>
        <v>4</v>
      </c>
      <c r="B64" s="2042">
        <v>45630</v>
      </c>
      <c r="C64" s="2110">
        <f t="shared" si="4"/>
        <v>58</v>
      </c>
      <c r="D64" s="2033" t="s">
        <v>197</v>
      </c>
      <c r="E64" s="2044"/>
      <c r="F64" s="2032">
        <f t="shared" si="5"/>
        <v>45630</v>
      </c>
      <c r="G64" s="2036">
        <v>0.41666666666666669</v>
      </c>
      <c r="H64" s="2036">
        <v>0.70833333333333337</v>
      </c>
      <c r="I64" s="2035" t="s">
        <v>1183</v>
      </c>
      <c r="J64" s="2035" t="s">
        <v>259</v>
      </c>
      <c r="K64" s="2035" t="s">
        <v>1153</v>
      </c>
      <c r="L64" s="2045"/>
      <c r="M64" s="2033"/>
      <c r="N64" s="2040">
        <f t="shared" si="6"/>
        <v>2</v>
      </c>
      <c r="O64" s="2062"/>
      <c r="P64" s="2045"/>
      <c r="Q64" s="2033"/>
      <c r="R64" s="2038">
        <f t="shared" si="9"/>
        <v>0</v>
      </c>
      <c r="S64" s="2038"/>
      <c r="T64" s="2039" t="str">
        <f t="shared" si="1"/>
        <v>7:00</v>
      </c>
      <c r="U64" s="2040">
        <f t="shared" si="7"/>
        <v>5</v>
      </c>
      <c r="V64" s="2060"/>
      <c r="W64" s="2038">
        <f t="shared" si="2"/>
        <v>0</v>
      </c>
      <c r="X64" s="2041">
        <f>(R64+((T64-0)*S64))*((100-Q64)/100)</f>
        <v>0</v>
      </c>
      <c r="Y64" s="2109"/>
      <c r="Z64" s="1967"/>
      <c r="AA64" s="210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</row>
    <row r="65" spans="1:44" s="1420" customFormat="1" ht="15.5">
      <c r="A65" s="2031">
        <f t="shared" si="3"/>
        <v>4</v>
      </c>
      <c r="B65" s="2042">
        <v>45637</v>
      </c>
      <c r="C65" s="2110">
        <f t="shared" si="4"/>
        <v>59</v>
      </c>
      <c r="D65" s="2033" t="s">
        <v>197</v>
      </c>
      <c r="E65" s="2044"/>
      <c r="F65" s="2032">
        <f t="shared" si="5"/>
        <v>45637</v>
      </c>
      <c r="G65" s="2036">
        <v>0.41666666666666669</v>
      </c>
      <c r="H65" s="2036">
        <v>0.70833333333333337</v>
      </c>
      <c r="I65" s="2035" t="s">
        <v>1183</v>
      </c>
      <c r="J65" s="2035" t="s">
        <v>259</v>
      </c>
      <c r="K65" s="2035" t="s">
        <v>1153</v>
      </c>
      <c r="L65" s="2045"/>
      <c r="M65" s="2061"/>
      <c r="N65" s="2040">
        <f t="shared" si="6"/>
        <v>2</v>
      </c>
      <c r="O65" s="2062"/>
      <c r="P65" s="2045"/>
      <c r="Q65" s="2033"/>
      <c r="R65" s="2038">
        <f t="shared" si="9"/>
        <v>0</v>
      </c>
      <c r="S65" s="2038"/>
      <c r="T65" s="2039" t="str">
        <f t="shared" si="1"/>
        <v>7:00</v>
      </c>
      <c r="U65" s="2040">
        <f t="shared" si="7"/>
        <v>5</v>
      </c>
      <c r="V65" s="2057"/>
      <c r="W65" s="2038">
        <f t="shared" si="2"/>
        <v>0</v>
      </c>
      <c r="X65" s="2041">
        <f>(R65+((T65-0)*S65))*((100-Q65)/100)</f>
        <v>0</v>
      </c>
      <c r="Y65" s="82"/>
      <c r="Z65" s="1967"/>
      <c r="AA65" s="82"/>
      <c r="AB65" s="82"/>
      <c r="AC65" s="82"/>
      <c r="AD65" s="82"/>
      <c r="AE65" s="82"/>
      <c r="AF65" s="82"/>
      <c r="AG65" s="82"/>
      <c r="AH65" s="82"/>
      <c r="AI65" s="82"/>
      <c r="AJ65" s="82"/>
      <c r="AK65" s="82"/>
      <c r="AL65" s="82"/>
      <c r="AM65" s="82"/>
      <c r="AN65" s="82"/>
      <c r="AO65" s="82"/>
      <c r="AP65" s="82"/>
      <c r="AQ65" s="82"/>
      <c r="AR65" s="82"/>
    </row>
    <row r="66" spans="1:44" s="1420" customFormat="1" ht="15.5">
      <c r="A66" s="2031">
        <f t="shared" si="3"/>
        <v>4</v>
      </c>
      <c r="B66" s="2042">
        <v>45644</v>
      </c>
      <c r="C66" s="2110">
        <f t="shared" si="4"/>
        <v>60</v>
      </c>
      <c r="D66" s="2033" t="s">
        <v>197</v>
      </c>
      <c r="E66" s="2044"/>
      <c r="F66" s="2032">
        <f t="shared" si="5"/>
        <v>45644</v>
      </c>
      <c r="G66" s="2036">
        <v>0.41666666666666669</v>
      </c>
      <c r="H66" s="2036">
        <v>0.70833333333333337</v>
      </c>
      <c r="I66" s="2035" t="s">
        <v>1183</v>
      </c>
      <c r="J66" s="2035" t="s">
        <v>259</v>
      </c>
      <c r="K66" s="2035" t="s">
        <v>1153</v>
      </c>
      <c r="L66" s="2045"/>
      <c r="M66" s="2033"/>
      <c r="N66" s="2040">
        <f t="shared" si="6"/>
        <v>2</v>
      </c>
      <c r="O66" s="2079"/>
      <c r="P66" s="2045"/>
      <c r="Q66" s="2033"/>
      <c r="R66" s="2038">
        <f t="shared" si="9"/>
        <v>0</v>
      </c>
      <c r="S66" s="2038"/>
      <c r="T66" s="2039" t="str">
        <f t="shared" si="1"/>
        <v>7:00</v>
      </c>
      <c r="U66" s="2040">
        <f t="shared" si="7"/>
        <v>5</v>
      </c>
      <c r="V66" s="2060"/>
      <c r="W66" s="2038">
        <f t="shared" si="2"/>
        <v>0</v>
      </c>
      <c r="X66" s="2041">
        <f>W66</f>
        <v>0</v>
      </c>
      <c r="Y66" s="2102"/>
      <c r="Z66" s="91"/>
      <c r="AA66" s="2102"/>
      <c r="AB66" s="605"/>
      <c r="AC66" s="605"/>
      <c r="AD66" s="605"/>
      <c r="AE66" s="605"/>
      <c r="AF66" s="605"/>
      <c r="AG66" s="605"/>
      <c r="AH66" s="82"/>
      <c r="AI66" s="82"/>
      <c r="AJ66" s="82"/>
      <c r="AK66" s="82"/>
      <c r="AL66" s="82"/>
      <c r="AM66" s="82"/>
      <c r="AN66" s="82"/>
      <c r="AO66" s="82"/>
      <c r="AP66" s="82"/>
      <c r="AQ66" s="82"/>
      <c r="AR66" s="82"/>
    </row>
    <row r="67" spans="1:44" s="1420" customFormat="1" ht="15.5">
      <c r="A67" s="2031">
        <f t="shared" si="3"/>
        <v>4</v>
      </c>
      <c r="B67" s="2042">
        <v>45651</v>
      </c>
      <c r="C67" s="2110">
        <f t="shared" si="4"/>
        <v>61</v>
      </c>
      <c r="D67" s="2033" t="s">
        <v>197</v>
      </c>
      <c r="E67" s="2044"/>
      <c r="F67" s="2032">
        <f t="shared" si="5"/>
        <v>45651</v>
      </c>
      <c r="G67" s="2036">
        <v>0.41666666666666669</v>
      </c>
      <c r="H67" s="2036">
        <v>0.70833333333333337</v>
      </c>
      <c r="I67" s="2035" t="s">
        <v>1183</v>
      </c>
      <c r="J67" s="2035" t="s">
        <v>259</v>
      </c>
      <c r="K67" s="2035" t="s">
        <v>1153</v>
      </c>
      <c r="L67" s="2045"/>
      <c r="M67" s="2033"/>
      <c r="N67" s="2040">
        <f t="shared" si="6"/>
        <v>2</v>
      </c>
      <c r="O67" s="2062"/>
      <c r="P67" s="2045"/>
      <c r="Q67" s="2033"/>
      <c r="R67" s="2038">
        <f t="shared" si="9"/>
        <v>0</v>
      </c>
      <c r="S67" s="2038"/>
      <c r="T67" s="2039" t="str">
        <f t="shared" si="1"/>
        <v>7:00</v>
      </c>
      <c r="U67" s="2040">
        <f t="shared" si="7"/>
        <v>5</v>
      </c>
      <c r="V67" s="2057"/>
      <c r="W67" s="2038">
        <f t="shared" si="2"/>
        <v>0</v>
      </c>
      <c r="X67" s="2041">
        <f>(R67+((T67-0)*S67))*((100-Q67)/100)</f>
        <v>0</v>
      </c>
      <c r="Y67" s="82"/>
      <c r="Z67" s="82"/>
      <c r="AA67" s="82"/>
      <c r="AB67" s="82"/>
      <c r="AC67" s="82"/>
      <c r="AD67" s="82"/>
      <c r="AE67" s="82"/>
      <c r="AF67" s="82"/>
      <c r="AG67" s="82"/>
      <c r="AH67" s="82"/>
      <c r="AI67" s="82"/>
      <c r="AJ67" s="82"/>
      <c r="AK67" s="82"/>
      <c r="AL67" s="82"/>
      <c r="AM67" s="82"/>
      <c r="AN67" s="82"/>
      <c r="AO67" s="82"/>
      <c r="AP67" s="82"/>
      <c r="AQ67" s="82"/>
      <c r="AR67" s="82"/>
    </row>
    <row r="68" spans="1:44" s="1420" customFormat="1" ht="15.5">
      <c r="A68" s="2031">
        <f t="shared" si="3"/>
        <v>5</v>
      </c>
      <c r="B68" s="2042" cm="1">
        <f t="array" ref="B68:B97">_xlfn.SEQUENCE(30,1,B3+2,7)</f>
        <v>45449</v>
      </c>
      <c r="C68" s="2110">
        <f t="shared" si="4"/>
        <v>62</v>
      </c>
      <c r="D68" s="2033" t="s">
        <v>197</v>
      </c>
      <c r="E68" s="2044"/>
      <c r="F68" s="2032">
        <f t="shared" si="5"/>
        <v>45449</v>
      </c>
      <c r="G68" s="2036">
        <v>0.41666666666666669</v>
      </c>
      <c r="H68" s="2036">
        <v>0.70833333333333337</v>
      </c>
      <c r="I68" s="2035" t="s">
        <v>1183</v>
      </c>
      <c r="J68" s="2035" t="s">
        <v>259</v>
      </c>
      <c r="K68" s="2035" t="s">
        <v>1153</v>
      </c>
      <c r="L68" s="2045"/>
      <c r="M68" s="2033"/>
      <c r="N68" s="2040">
        <f t="shared" si="6"/>
        <v>2</v>
      </c>
      <c r="O68" s="2062"/>
      <c r="P68" s="2045"/>
      <c r="Q68" s="2033"/>
      <c r="R68" s="2038">
        <f t="shared" si="9"/>
        <v>0</v>
      </c>
      <c r="S68" s="2038"/>
      <c r="T68" s="2039" t="str">
        <f t="shared" si="1"/>
        <v>7:00</v>
      </c>
      <c r="U68" s="2040">
        <f t="shared" si="7"/>
        <v>5</v>
      </c>
      <c r="V68" s="2057"/>
      <c r="W68" s="2038">
        <f t="shared" si="2"/>
        <v>0</v>
      </c>
      <c r="X68" s="2041">
        <f>(R68+((T68-0)*S68))*((100-Q68)/100)</f>
        <v>0</v>
      </c>
      <c r="Y68" s="82"/>
      <c r="Z68" s="1967"/>
      <c r="AA68" s="82"/>
      <c r="AB68" s="82"/>
      <c r="AC68" s="82"/>
      <c r="AD68" s="82"/>
      <c r="AE68" s="82"/>
      <c r="AF68" s="82"/>
      <c r="AG68" s="82"/>
      <c r="AH68" s="82"/>
      <c r="AI68" s="82"/>
      <c r="AJ68" s="82"/>
      <c r="AK68" s="82"/>
      <c r="AL68" s="82"/>
      <c r="AM68" s="82"/>
      <c r="AN68" s="82"/>
      <c r="AO68" s="82"/>
      <c r="AP68" s="82"/>
      <c r="AQ68" s="82"/>
      <c r="AR68" s="82"/>
    </row>
    <row r="69" spans="1:44" s="1420" customFormat="1" ht="15.5">
      <c r="A69" s="2031">
        <f t="shared" si="3"/>
        <v>5</v>
      </c>
      <c r="B69" s="2042">
        <v>45456</v>
      </c>
      <c r="C69" s="2110">
        <f t="shared" si="4"/>
        <v>63</v>
      </c>
      <c r="D69" s="2033" t="s">
        <v>197</v>
      </c>
      <c r="E69" s="2044"/>
      <c r="F69" s="2032">
        <f t="shared" si="5"/>
        <v>45456</v>
      </c>
      <c r="G69" s="2036">
        <v>0.41666666666666669</v>
      </c>
      <c r="H69" s="2036">
        <v>0.70833333333333337</v>
      </c>
      <c r="I69" s="2035" t="s">
        <v>1183</v>
      </c>
      <c r="J69" s="2035" t="s">
        <v>259</v>
      </c>
      <c r="K69" s="2035" t="s">
        <v>1153</v>
      </c>
      <c r="L69" s="2045"/>
      <c r="M69" s="2033"/>
      <c r="N69" s="2040">
        <f t="shared" si="6"/>
        <v>2</v>
      </c>
      <c r="O69" s="2062"/>
      <c r="P69" s="2045"/>
      <c r="Q69" s="2033"/>
      <c r="R69" s="2038">
        <f t="shared" si="9"/>
        <v>0</v>
      </c>
      <c r="S69" s="2038"/>
      <c r="T69" s="2039" t="str">
        <f t="shared" si="1"/>
        <v>7:00</v>
      </c>
      <c r="U69" s="2040">
        <f t="shared" si="7"/>
        <v>5</v>
      </c>
      <c r="V69" s="2057"/>
      <c r="W69" s="2038">
        <f t="shared" si="2"/>
        <v>0</v>
      </c>
      <c r="X69" s="2041">
        <f>W69</f>
        <v>0</v>
      </c>
      <c r="Y69" s="82"/>
      <c r="Z69" s="82"/>
      <c r="AA69" s="82"/>
      <c r="AB69" s="82"/>
      <c r="AC69" s="82"/>
      <c r="AD69" s="82"/>
      <c r="AE69" s="82"/>
      <c r="AF69" s="82"/>
      <c r="AG69" s="82"/>
      <c r="AH69" s="82"/>
      <c r="AI69" s="82"/>
      <c r="AJ69" s="82"/>
      <c r="AK69" s="82"/>
      <c r="AL69" s="82"/>
      <c r="AM69" s="82"/>
      <c r="AN69" s="82"/>
      <c r="AO69" s="82"/>
      <c r="AP69" s="82"/>
      <c r="AQ69" s="82"/>
      <c r="AR69" s="82"/>
    </row>
    <row r="70" spans="1:44" s="1420" customFormat="1" ht="15.5">
      <c r="A70" s="2031">
        <f t="shared" si="3"/>
        <v>5</v>
      </c>
      <c r="B70" s="2042">
        <v>45463</v>
      </c>
      <c r="C70" s="2110">
        <f t="shared" si="4"/>
        <v>64</v>
      </c>
      <c r="D70" s="2033" t="s">
        <v>197</v>
      </c>
      <c r="E70" s="2044"/>
      <c r="F70" s="2032">
        <f t="shared" si="5"/>
        <v>45463</v>
      </c>
      <c r="G70" s="2036">
        <v>0.41666666666666669</v>
      </c>
      <c r="H70" s="2036">
        <v>0.70833333333333337</v>
      </c>
      <c r="I70" s="2035" t="s">
        <v>1183</v>
      </c>
      <c r="J70" s="2035" t="s">
        <v>259</v>
      </c>
      <c r="K70" s="2035" t="s">
        <v>1153</v>
      </c>
      <c r="L70" s="2045"/>
      <c r="M70" s="2033"/>
      <c r="N70" s="2040">
        <f t="shared" si="6"/>
        <v>2</v>
      </c>
      <c r="O70" s="2062"/>
      <c r="P70" s="2045"/>
      <c r="Q70" s="2080"/>
      <c r="R70" s="2038">
        <f t="shared" si="9"/>
        <v>0</v>
      </c>
      <c r="S70" s="2038"/>
      <c r="T70" s="2039" t="str">
        <f t="shared" si="1"/>
        <v>7:00</v>
      </c>
      <c r="U70" s="2040">
        <f t="shared" si="7"/>
        <v>5</v>
      </c>
      <c r="V70" s="2081"/>
      <c r="W70" s="2082">
        <f t="shared" si="2"/>
        <v>0</v>
      </c>
      <c r="X70" s="2041">
        <f>W70</f>
        <v>0</v>
      </c>
      <c r="Y70" s="2102"/>
      <c r="Z70" s="1967"/>
      <c r="AA70" s="2102"/>
      <c r="AB70" s="82"/>
      <c r="AC70" s="82"/>
      <c r="AD70" s="82"/>
      <c r="AE70" s="82"/>
      <c r="AF70" s="82"/>
      <c r="AG70" s="82"/>
      <c r="AH70" s="82"/>
      <c r="AI70" s="82"/>
      <c r="AJ70" s="82"/>
      <c r="AK70" s="82"/>
      <c r="AL70" s="82"/>
      <c r="AM70" s="82"/>
      <c r="AN70" s="82"/>
      <c r="AO70" s="82"/>
      <c r="AP70" s="82"/>
      <c r="AQ70" s="82"/>
      <c r="AR70" s="82"/>
    </row>
    <row r="71" spans="1:44" s="1420" customFormat="1" ht="15.5">
      <c r="A71" s="2031">
        <f t="shared" si="3"/>
        <v>5</v>
      </c>
      <c r="B71" s="2042">
        <v>45470</v>
      </c>
      <c r="C71" s="2110">
        <f t="shared" si="4"/>
        <v>65</v>
      </c>
      <c r="D71" s="2033" t="s">
        <v>197</v>
      </c>
      <c r="E71" s="2044"/>
      <c r="F71" s="2032">
        <f t="shared" si="5"/>
        <v>45470</v>
      </c>
      <c r="G71" s="2036">
        <v>0.41666666666666669</v>
      </c>
      <c r="H71" s="2036">
        <v>0.70833333333333337</v>
      </c>
      <c r="I71" s="2035" t="s">
        <v>1183</v>
      </c>
      <c r="J71" s="2035" t="s">
        <v>259</v>
      </c>
      <c r="K71" s="2035" t="s">
        <v>1153</v>
      </c>
      <c r="L71" s="2045"/>
      <c r="M71" s="2033"/>
      <c r="N71" s="2040">
        <f t="shared" si="6"/>
        <v>2</v>
      </c>
      <c r="O71" s="2062"/>
      <c r="P71" s="2045"/>
      <c r="Q71" s="2033"/>
      <c r="R71" s="2038">
        <f t="shared" si="9"/>
        <v>0</v>
      </c>
      <c r="S71" s="2038"/>
      <c r="T71" s="2039" t="str">
        <f t="shared" ref="T71:T97" si="13">TEXT(H71-G71,"h:mm")</f>
        <v>7:00</v>
      </c>
      <c r="U71" s="2040">
        <f t="shared" si="7"/>
        <v>5</v>
      </c>
      <c r="V71" s="2057"/>
      <c r="W71" s="2038">
        <f t="shared" ref="W71:W87" si="14">T71*S71*(100-Q71)/100</f>
        <v>0</v>
      </c>
      <c r="X71" s="2041">
        <f>(R71+((T71-8)*S71))*((100-Q71)/100)</f>
        <v>0</v>
      </c>
      <c r="Y71" s="82"/>
      <c r="Z71" s="1967"/>
      <c r="AA71" s="82"/>
      <c r="AB71" s="82"/>
      <c r="AC71" s="82"/>
      <c r="AD71" s="82"/>
      <c r="AE71" s="82"/>
      <c r="AF71" s="82"/>
      <c r="AG71" s="82"/>
      <c r="AH71" s="82"/>
      <c r="AI71" s="82"/>
      <c r="AJ71" s="82"/>
      <c r="AK71" s="82"/>
      <c r="AL71" s="82"/>
      <c r="AM71" s="82"/>
      <c r="AN71" s="82"/>
      <c r="AO71" s="82"/>
      <c r="AP71" s="82"/>
      <c r="AQ71" s="82"/>
      <c r="AR71" s="82"/>
    </row>
    <row r="72" spans="1:44" s="1420" customFormat="1" ht="15.5">
      <c r="A72" s="2031">
        <f t="shared" ref="A72:A97" si="15">WEEKDAY(B72)</f>
        <v>5</v>
      </c>
      <c r="B72" s="2042">
        <v>45477</v>
      </c>
      <c r="C72" s="2110">
        <f t="shared" ref="C72:C97" si="16">ROW()-6</f>
        <v>66</v>
      </c>
      <c r="D72" s="2033" t="s">
        <v>197</v>
      </c>
      <c r="E72" s="2044"/>
      <c r="F72" s="2032">
        <f t="shared" ref="F72:F97" si="17">B72</f>
        <v>45477</v>
      </c>
      <c r="G72" s="2036">
        <v>0.41666666666666669</v>
      </c>
      <c r="H72" s="2036">
        <v>0.70833333333333337</v>
      </c>
      <c r="I72" s="2035" t="s">
        <v>1183</v>
      </c>
      <c r="J72" s="2035" t="s">
        <v>259</v>
      </c>
      <c r="K72" s="2035" t="s">
        <v>1153</v>
      </c>
      <c r="L72" s="2045"/>
      <c r="M72" s="2033"/>
      <c r="N72" s="2040">
        <f t="shared" ref="N72:N97" si="18">HOUR($N$3)</f>
        <v>2</v>
      </c>
      <c r="O72" s="2056"/>
      <c r="P72" s="2045"/>
      <c r="Q72" s="2033"/>
      <c r="R72" s="2038">
        <f t="shared" si="9"/>
        <v>0</v>
      </c>
      <c r="S72" s="2038"/>
      <c r="T72" s="2039" t="str">
        <f t="shared" si="13"/>
        <v>7:00</v>
      </c>
      <c r="U72" s="2040">
        <f t="shared" ref="U72:U97" si="19">(HOUR(T72)+(MINUTE(T72)/60))-N72</f>
        <v>5</v>
      </c>
      <c r="V72" s="2057"/>
      <c r="W72" s="2082">
        <f t="shared" si="14"/>
        <v>0</v>
      </c>
      <c r="X72" s="2041">
        <f>(R72+((T72-8)*S72))*((100-Q72)/100)</f>
        <v>0</v>
      </c>
      <c r="Y72" s="82"/>
      <c r="Z72" s="1967"/>
      <c r="AA72" s="82"/>
      <c r="AB72" s="82"/>
      <c r="AC72" s="82"/>
      <c r="AD72" s="82"/>
      <c r="AE72" s="82"/>
      <c r="AF72" s="82"/>
      <c r="AG72" s="82"/>
      <c r="AH72" s="82"/>
      <c r="AI72" s="82"/>
      <c r="AJ72" s="82"/>
      <c r="AK72" s="82"/>
      <c r="AL72" s="82"/>
      <c r="AM72" s="82"/>
      <c r="AN72" s="82"/>
      <c r="AO72" s="82"/>
      <c r="AP72" s="82"/>
      <c r="AQ72" s="82"/>
      <c r="AR72" s="82"/>
    </row>
    <row r="73" spans="1:44" s="1420" customFormat="1" ht="15.5">
      <c r="A73" s="2031">
        <f t="shared" si="15"/>
        <v>5</v>
      </c>
      <c r="B73" s="2042">
        <v>45484</v>
      </c>
      <c r="C73" s="2110">
        <f t="shared" si="16"/>
        <v>67</v>
      </c>
      <c r="D73" s="2033" t="s">
        <v>197</v>
      </c>
      <c r="E73" s="2044"/>
      <c r="F73" s="2032">
        <f t="shared" si="17"/>
        <v>45484</v>
      </c>
      <c r="G73" s="2036">
        <v>0.41666666666666669</v>
      </c>
      <c r="H73" s="2036">
        <v>0.70833333333333337</v>
      </c>
      <c r="I73" s="2035" t="s">
        <v>1183</v>
      </c>
      <c r="J73" s="2035" t="s">
        <v>259</v>
      </c>
      <c r="K73" s="2035" t="s">
        <v>1153</v>
      </c>
      <c r="L73" s="2046"/>
      <c r="M73" s="2033"/>
      <c r="N73" s="2040">
        <f t="shared" si="18"/>
        <v>2</v>
      </c>
      <c r="O73" s="2083"/>
      <c r="P73" s="2046"/>
      <c r="Q73" s="2084"/>
      <c r="R73" s="2038">
        <f t="shared" si="9"/>
        <v>0</v>
      </c>
      <c r="S73" s="2038"/>
      <c r="T73" s="2039" t="str">
        <f t="shared" si="13"/>
        <v>7:00</v>
      </c>
      <c r="U73" s="2040">
        <f t="shared" si="19"/>
        <v>5</v>
      </c>
      <c r="V73" s="2057"/>
      <c r="W73" s="2082">
        <f t="shared" si="14"/>
        <v>0</v>
      </c>
      <c r="X73" s="2041">
        <f>(R73+((T73-8)*S73))*((100-Q73)/100)</f>
        <v>0</v>
      </c>
      <c r="Y73" s="82"/>
      <c r="Z73" s="1967"/>
      <c r="AA73" s="82"/>
      <c r="AB73" s="82"/>
      <c r="AC73" s="82"/>
      <c r="AD73" s="82"/>
      <c r="AE73" s="82"/>
      <c r="AF73" s="82"/>
      <c r="AG73" s="82"/>
      <c r="AH73" s="82"/>
      <c r="AI73" s="82"/>
      <c r="AJ73" s="82"/>
      <c r="AK73" s="82"/>
      <c r="AL73" s="82"/>
      <c r="AM73" s="82"/>
      <c r="AN73" s="82"/>
      <c r="AO73" s="82"/>
      <c r="AP73" s="82"/>
      <c r="AQ73" s="82"/>
      <c r="AR73" s="82"/>
    </row>
    <row r="74" spans="1:44" s="1405" customFormat="1" ht="15.5">
      <c r="A74" s="2031">
        <f t="shared" si="15"/>
        <v>5</v>
      </c>
      <c r="B74" s="2042">
        <v>45491</v>
      </c>
      <c r="C74" s="2110">
        <f t="shared" si="16"/>
        <v>68</v>
      </c>
      <c r="D74" s="2033" t="s">
        <v>197</v>
      </c>
      <c r="E74" s="2044"/>
      <c r="F74" s="2032">
        <f t="shared" si="17"/>
        <v>45491</v>
      </c>
      <c r="G74" s="2036">
        <v>0.41666666666666669</v>
      </c>
      <c r="H74" s="2036">
        <v>0.70833333333333337</v>
      </c>
      <c r="I74" s="2035" t="s">
        <v>1183</v>
      </c>
      <c r="J74" s="2035" t="s">
        <v>259</v>
      </c>
      <c r="K74" s="2035" t="s">
        <v>1153</v>
      </c>
      <c r="L74" s="2045"/>
      <c r="M74" s="2033"/>
      <c r="N74" s="2040">
        <f t="shared" si="18"/>
        <v>2</v>
      </c>
      <c r="O74" s="2062"/>
      <c r="P74" s="2045"/>
      <c r="Q74" s="2033"/>
      <c r="R74" s="2038">
        <f t="shared" si="9"/>
        <v>0</v>
      </c>
      <c r="S74" s="2038"/>
      <c r="T74" s="2039" t="str">
        <f t="shared" si="13"/>
        <v>7:00</v>
      </c>
      <c r="U74" s="2040">
        <f t="shared" si="19"/>
        <v>5</v>
      </c>
      <c r="V74" s="2057"/>
      <c r="W74" s="2038">
        <f t="shared" si="14"/>
        <v>0</v>
      </c>
      <c r="X74" s="2041">
        <f>W74</f>
        <v>0</v>
      </c>
      <c r="Y74" s="82"/>
      <c r="Z74" s="82"/>
      <c r="AA74" s="82"/>
      <c r="AB74" s="82"/>
      <c r="AC74" s="82"/>
      <c r="AD74" s="82"/>
      <c r="AE74" s="82"/>
      <c r="AF74" s="82"/>
      <c r="AG74" s="82"/>
      <c r="AH74"/>
      <c r="AI74"/>
      <c r="AJ74"/>
      <c r="AK74"/>
      <c r="AL74"/>
      <c r="AM74"/>
      <c r="AN74"/>
      <c r="AO74"/>
      <c r="AP74"/>
      <c r="AQ74"/>
      <c r="AR74"/>
    </row>
    <row r="75" spans="1:44" s="1420" customFormat="1" ht="15.5">
      <c r="A75" s="2031">
        <f t="shared" si="15"/>
        <v>5</v>
      </c>
      <c r="B75" s="2042">
        <v>45498</v>
      </c>
      <c r="C75" s="2110">
        <f t="shared" si="16"/>
        <v>69</v>
      </c>
      <c r="D75" s="2033" t="s">
        <v>197</v>
      </c>
      <c r="E75" s="2044"/>
      <c r="F75" s="2032">
        <f t="shared" si="17"/>
        <v>45498</v>
      </c>
      <c r="G75" s="2036">
        <v>0.41666666666666669</v>
      </c>
      <c r="H75" s="2036">
        <v>0.70833333333333337</v>
      </c>
      <c r="I75" s="2035" t="s">
        <v>1183</v>
      </c>
      <c r="J75" s="2035" t="s">
        <v>259</v>
      </c>
      <c r="K75" s="2035" t="s">
        <v>1153</v>
      </c>
      <c r="L75" s="2046"/>
      <c r="M75" s="2033"/>
      <c r="N75" s="2040">
        <f t="shared" si="18"/>
        <v>2</v>
      </c>
      <c r="O75" s="2083"/>
      <c r="P75" s="2046"/>
      <c r="Q75" s="2033"/>
      <c r="R75" s="2038">
        <f t="shared" si="9"/>
        <v>0</v>
      </c>
      <c r="S75" s="2038"/>
      <c r="T75" s="2039" t="str">
        <f t="shared" si="13"/>
        <v>7:00</v>
      </c>
      <c r="U75" s="2040">
        <f t="shared" si="19"/>
        <v>5</v>
      </c>
      <c r="V75" s="2057"/>
      <c r="W75" s="2038">
        <f t="shared" si="14"/>
        <v>0</v>
      </c>
      <c r="X75" s="2041">
        <f>(R75+((T75-0)*S75))*((100-Q75)/100)</f>
        <v>0</v>
      </c>
      <c r="Y75" s="82"/>
      <c r="Z75" s="82"/>
      <c r="AA75" s="82"/>
      <c r="AB75" s="82"/>
      <c r="AC75" s="82"/>
      <c r="AD75" s="82"/>
      <c r="AE75" s="82"/>
      <c r="AF75" s="82"/>
      <c r="AG75" s="82"/>
      <c r="AH75" s="82"/>
      <c r="AI75" s="82"/>
      <c r="AJ75" s="82"/>
      <c r="AK75" s="82"/>
      <c r="AL75" s="82"/>
      <c r="AM75" s="82"/>
      <c r="AN75" s="82"/>
      <c r="AO75" s="82"/>
      <c r="AP75" s="82"/>
      <c r="AQ75" s="82"/>
      <c r="AR75" s="82"/>
    </row>
    <row r="76" spans="1:44" s="1420" customFormat="1" ht="15.5">
      <c r="A76" s="2031">
        <f t="shared" si="15"/>
        <v>5</v>
      </c>
      <c r="B76" s="2042">
        <v>45505</v>
      </c>
      <c r="C76" s="2110">
        <f t="shared" si="16"/>
        <v>70</v>
      </c>
      <c r="D76" s="2033" t="s">
        <v>197</v>
      </c>
      <c r="E76" s="2044"/>
      <c r="F76" s="2032">
        <f t="shared" si="17"/>
        <v>45505</v>
      </c>
      <c r="G76" s="2036">
        <v>0.41666666666666669</v>
      </c>
      <c r="H76" s="2036">
        <v>0.70833333333333337</v>
      </c>
      <c r="I76" s="2035" t="s">
        <v>1183</v>
      </c>
      <c r="J76" s="2035" t="s">
        <v>259</v>
      </c>
      <c r="K76" s="2035" t="s">
        <v>1153</v>
      </c>
      <c r="L76" s="2046"/>
      <c r="M76" s="2033"/>
      <c r="N76" s="2040">
        <f t="shared" si="18"/>
        <v>2</v>
      </c>
      <c r="O76" s="2083"/>
      <c r="P76" s="2045"/>
      <c r="Q76" s="2033"/>
      <c r="R76" s="2038">
        <f t="shared" si="9"/>
        <v>0</v>
      </c>
      <c r="S76" s="2038"/>
      <c r="T76" s="2039" t="str">
        <f t="shared" si="13"/>
        <v>7:00</v>
      </c>
      <c r="U76" s="2040">
        <f t="shared" si="19"/>
        <v>5</v>
      </c>
      <c r="V76" s="2057"/>
      <c r="W76" s="2038">
        <f t="shared" si="14"/>
        <v>0</v>
      </c>
      <c r="X76" s="2041">
        <f>(R76+((T76-0)*S76))*((100-Q76)/100)</f>
        <v>0</v>
      </c>
      <c r="Y76" s="82"/>
      <c r="Z76" s="1967"/>
      <c r="AA76" s="82"/>
      <c r="AB76" s="82"/>
      <c r="AC76" s="82"/>
      <c r="AD76" s="82"/>
      <c r="AE76" s="82"/>
      <c r="AF76" s="82"/>
      <c r="AG76" s="82"/>
      <c r="AH76" s="82"/>
      <c r="AI76" s="82"/>
      <c r="AJ76" s="82"/>
      <c r="AK76" s="82"/>
      <c r="AL76" s="82"/>
      <c r="AM76" s="82"/>
      <c r="AN76" s="82"/>
      <c r="AO76" s="82"/>
      <c r="AP76" s="82"/>
      <c r="AQ76" s="82"/>
      <c r="AR76" s="82"/>
    </row>
    <row r="77" spans="1:44" s="1420" customFormat="1" ht="15.5">
      <c r="A77" s="2031">
        <f t="shared" si="15"/>
        <v>5</v>
      </c>
      <c r="B77" s="2042">
        <v>45512</v>
      </c>
      <c r="C77" s="2110">
        <f t="shared" si="16"/>
        <v>71</v>
      </c>
      <c r="D77" s="2033" t="s">
        <v>197</v>
      </c>
      <c r="E77" s="2044"/>
      <c r="F77" s="2032">
        <f t="shared" si="17"/>
        <v>45512</v>
      </c>
      <c r="G77" s="2036">
        <v>0.41666666666666669</v>
      </c>
      <c r="H77" s="2036">
        <v>0.70833333333333337</v>
      </c>
      <c r="I77" s="2035" t="s">
        <v>1183</v>
      </c>
      <c r="J77" s="2035" t="s">
        <v>259</v>
      </c>
      <c r="K77" s="2035" t="s">
        <v>1153</v>
      </c>
      <c r="L77" s="2046"/>
      <c r="M77" s="2033"/>
      <c r="N77" s="2040">
        <f t="shared" si="18"/>
        <v>2</v>
      </c>
      <c r="O77" s="2083"/>
      <c r="P77" s="2045"/>
      <c r="Q77" s="2033"/>
      <c r="R77" s="2038">
        <f t="shared" si="9"/>
        <v>0</v>
      </c>
      <c r="S77" s="2049"/>
      <c r="T77" s="2039" t="str">
        <f t="shared" si="13"/>
        <v>7:00</v>
      </c>
      <c r="U77" s="2040">
        <f t="shared" si="19"/>
        <v>5</v>
      </c>
      <c r="V77" s="2057"/>
      <c r="W77" s="2038">
        <f t="shared" si="14"/>
        <v>0</v>
      </c>
      <c r="X77" s="2041">
        <f>(R77+((T77-0)*S77))*((100-Q77)/100)</f>
        <v>0</v>
      </c>
      <c r="Y77" s="82"/>
      <c r="Z77" s="1967"/>
      <c r="AA77" s="82"/>
      <c r="AB77" s="82"/>
      <c r="AC77" s="82"/>
      <c r="AD77" s="82"/>
      <c r="AE77" s="82"/>
      <c r="AF77" s="82"/>
      <c r="AG77" s="82"/>
      <c r="AH77" s="82"/>
      <c r="AI77" s="82"/>
      <c r="AJ77" s="82"/>
      <c r="AK77" s="82"/>
      <c r="AL77" s="82"/>
      <c r="AM77" s="82"/>
      <c r="AN77" s="82"/>
      <c r="AO77" s="82"/>
      <c r="AP77" s="82"/>
      <c r="AQ77" s="82"/>
      <c r="AR77" s="82"/>
    </row>
    <row r="78" spans="1:44" s="1420" customFormat="1" ht="15.5">
      <c r="A78" s="2031">
        <f t="shared" si="15"/>
        <v>5</v>
      </c>
      <c r="B78" s="2042">
        <v>45519</v>
      </c>
      <c r="C78" s="2110">
        <f t="shared" si="16"/>
        <v>72</v>
      </c>
      <c r="D78" s="2033" t="s">
        <v>197</v>
      </c>
      <c r="E78" s="2044"/>
      <c r="F78" s="2032">
        <f t="shared" si="17"/>
        <v>45519</v>
      </c>
      <c r="G78" s="2036">
        <v>0.41666666666666669</v>
      </c>
      <c r="H78" s="2036">
        <v>0.70833333333333337</v>
      </c>
      <c r="I78" s="2035" t="s">
        <v>1183</v>
      </c>
      <c r="J78" s="2035" t="s">
        <v>259</v>
      </c>
      <c r="K78" s="2035" t="s">
        <v>1153</v>
      </c>
      <c r="L78" s="2046"/>
      <c r="M78" s="2033"/>
      <c r="N78" s="2040">
        <f t="shared" si="18"/>
        <v>2</v>
      </c>
      <c r="O78" s="2083"/>
      <c r="P78" s="2045"/>
      <c r="Q78" s="2033"/>
      <c r="R78" s="2038">
        <f t="shared" si="9"/>
        <v>0</v>
      </c>
      <c r="S78" s="2078"/>
      <c r="T78" s="2039" t="str">
        <f t="shared" si="13"/>
        <v>7:00</v>
      </c>
      <c r="U78" s="2040">
        <f t="shared" si="19"/>
        <v>5</v>
      </c>
      <c r="V78" s="2057"/>
      <c r="W78" s="2038">
        <f t="shared" si="14"/>
        <v>0</v>
      </c>
      <c r="X78" s="2041">
        <f>R78+((T78-0)*S78)</f>
        <v>0</v>
      </c>
      <c r="Y78" s="82"/>
      <c r="Z78" s="82"/>
      <c r="AA78" s="82"/>
      <c r="AB78" s="82"/>
      <c r="AC78" s="82"/>
      <c r="AD78" s="82"/>
      <c r="AE78" s="82"/>
      <c r="AF78" s="82"/>
      <c r="AG78" s="82"/>
      <c r="AH78" s="82"/>
      <c r="AI78" s="82"/>
      <c r="AJ78" s="82"/>
      <c r="AK78" s="82"/>
      <c r="AL78" s="82"/>
      <c r="AM78" s="82"/>
      <c r="AN78" s="82"/>
      <c r="AO78" s="82"/>
      <c r="AP78" s="82"/>
      <c r="AQ78" s="82"/>
      <c r="AR78" s="82"/>
    </row>
    <row r="79" spans="1:44" s="1420" customFormat="1" ht="15.5">
      <c r="A79" s="2031">
        <f t="shared" si="15"/>
        <v>5</v>
      </c>
      <c r="B79" s="2042">
        <v>45526</v>
      </c>
      <c r="C79" s="2110">
        <f t="shared" si="16"/>
        <v>73</v>
      </c>
      <c r="D79" s="2033" t="s">
        <v>197</v>
      </c>
      <c r="E79" s="2044"/>
      <c r="F79" s="2032">
        <f t="shared" si="17"/>
        <v>45526</v>
      </c>
      <c r="G79" s="2036">
        <v>0.41666666666666669</v>
      </c>
      <c r="H79" s="2036">
        <v>0.70833333333333337</v>
      </c>
      <c r="I79" s="2035" t="s">
        <v>1183</v>
      </c>
      <c r="J79" s="2035" t="s">
        <v>259</v>
      </c>
      <c r="K79" s="2035" t="s">
        <v>1153</v>
      </c>
      <c r="L79" s="2045"/>
      <c r="M79" s="2033"/>
      <c r="N79" s="2040">
        <f t="shared" si="18"/>
        <v>2</v>
      </c>
      <c r="O79" s="2083"/>
      <c r="P79" s="2045"/>
      <c r="Q79" s="2033"/>
      <c r="R79" s="2038">
        <f t="shared" si="9"/>
        <v>0</v>
      </c>
      <c r="S79" s="2078"/>
      <c r="T79" s="2039" t="str">
        <f t="shared" si="13"/>
        <v>7:00</v>
      </c>
      <c r="U79" s="2040">
        <f t="shared" si="19"/>
        <v>5</v>
      </c>
      <c r="V79" s="2057"/>
      <c r="W79" s="2038">
        <f t="shared" si="14"/>
        <v>0</v>
      </c>
      <c r="X79" s="2041">
        <f>(R79+((T79-0)*S79))*((100-Q79)/100)</f>
        <v>0</v>
      </c>
      <c r="Y79" s="82"/>
      <c r="Z79" s="82"/>
      <c r="AA79" s="82"/>
      <c r="AB79" s="82"/>
      <c r="AC79" s="82"/>
      <c r="AD79" s="82"/>
      <c r="AE79" s="82"/>
      <c r="AF79" s="82"/>
      <c r="AG79" s="82"/>
      <c r="AH79" s="82"/>
      <c r="AI79" s="82"/>
      <c r="AJ79" s="82"/>
      <c r="AK79" s="82"/>
      <c r="AL79" s="82"/>
      <c r="AM79" s="82"/>
      <c r="AN79" s="82"/>
      <c r="AO79" s="82"/>
      <c r="AP79" s="82"/>
      <c r="AQ79" s="82"/>
      <c r="AR79" s="82"/>
    </row>
    <row r="80" spans="1:44" s="1420" customFormat="1" ht="15.5">
      <c r="A80" s="2031">
        <f t="shared" si="15"/>
        <v>5</v>
      </c>
      <c r="B80" s="2042">
        <v>45533</v>
      </c>
      <c r="C80" s="2110">
        <f t="shared" si="16"/>
        <v>74</v>
      </c>
      <c r="D80" s="2033" t="s">
        <v>197</v>
      </c>
      <c r="E80" s="2044"/>
      <c r="F80" s="2032">
        <f t="shared" si="17"/>
        <v>45533</v>
      </c>
      <c r="G80" s="2036">
        <v>0.41666666666666669</v>
      </c>
      <c r="H80" s="2036">
        <v>0.70833333333333337</v>
      </c>
      <c r="I80" s="2035" t="s">
        <v>1183</v>
      </c>
      <c r="J80" s="2035" t="s">
        <v>259</v>
      </c>
      <c r="K80" s="2035" t="s">
        <v>1153</v>
      </c>
      <c r="L80" s="2045"/>
      <c r="M80" s="2033"/>
      <c r="N80" s="2040">
        <f t="shared" si="18"/>
        <v>2</v>
      </c>
      <c r="O80" s="2056"/>
      <c r="P80" s="2045"/>
      <c r="Q80" s="2033"/>
      <c r="R80" s="2038">
        <f t="shared" si="9"/>
        <v>0</v>
      </c>
      <c r="S80" s="2049"/>
      <c r="T80" s="2039" t="str">
        <f t="shared" si="13"/>
        <v>7:00</v>
      </c>
      <c r="U80" s="2040">
        <f t="shared" si="19"/>
        <v>5</v>
      </c>
      <c r="V80" s="2057"/>
      <c r="W80" s="2038">
        <f t="shared" si="14"/>
        <v>0</v>
      </c>
      <c r="X80" s="2041">
        <f>R80+((T80-4)*S80)</f>
        <v>0</v>
      </c>
      <c r="Y80" s="82"/>
      <c r="Z80" s="82"/>
      <c r="AA80" s="82"/>
      <c r="AB80" s="82"/>
      <c r="AC80" s="82"/>
      <c r="AD80" s="82"/>
      <c r="AE80" s="82"/>
      <c r="AF80" s="82"/>
      <c r="AG80" s="82"/>
      <c r="AH80" s="82"/>
      <c r="AI80" s="82"/>
      <c r="AJ80" s="82"/>
      <c r="AK80" s="82"/>
      <c r="AL80" s="82"/>
      <c r="AM80" s="82"/>
      <c r="AN80" s="82"/>
      <c r="AO80" s="82"/>
      <c r="AP80" s="82"/>
      <c r="AQ80" s="82"/>
      <c r="AR80" s="82"/>
    </row>
    <row r="81" spans="1:44" s="1420" customFormat="1" ht="17.25" customHeight="1">
      <c r="A81" s="2031">
        <f t="shared" si="15"/>
        <v>5</v>
      </c>
      <c r="B81" s="2042">
        <v>45540</v>
      </c>
      <c r="C81" s="2110">
        <f t="shared" si="16"/>
        <v>75</v>
      </c>
      <c r="D81" s="2033" t="s">
        <v>197</v>
      </c>
      <c r="E81" s="2044"/>
      <c r="F81" s="2032">
        <f t="shared" si="17"/>
        <v>45540</v>
      </c>
      <c r="G81" s="2036">
        <v>0.41666666666666669</v>
      </c>
      <c r="H81" s="2036">
        <v>0.70833333333333337</v>
      </c>
      <c r="I81" s="2035" t="s">
        <v>1183</v>
      </c>
      <c r="J81" s="2035" t="s">
        <v>259</v>
      </c>
      <c r="K81" s="2035" t="s">
        <v>1153</v>
      </c>
      <c r="L81" s="2085"/>
      <c r="M81" s="2033"/>
      <c r="N81" s="2040">
        <f t="shared" si="18"/>
        <v>2</v>
      </c>
      <c r="O81" s="2086"/>
      <c r="P81" s="2087"/>
      <c r="Q81" s="2033"/>
      <c r="R81" s="2038">
        <f t="shared" ref="R81:R87" si="20">IF((T81-U81)&gt;=8,S81*6,IF(AND((T81-U81)&lt;8,(T81-U81)&gt;=4),S81*3,0))</f>
        <v>0</v>
      </c>
      <c r="S81" s="2049"/>
      <c r="T81" s="2039" t="str">
        <f t="shared" si="13"/>
        <v>7:00</v>
      </c>
      <c r="U81" s="2040">
        <f t="shared" si="19"/>
        <v>5</v>
      </c>
      <c r="V81" s="2060"/>
      <c r="W81" s="2038">
        <f t="shared" si="14"/>
        <v>0</v>
      </c>
      <c r="X81" s="2041">
        <f>R81+((T81-4)*S81)</f>
        <v>0</v>
      </c>
      <c r="Y81" s="2102"/>
      <c r="Z81" s="1967"/>
      <c r="AA81" s="2102"/>
      <c r="AB81" s="82"/>
      <c r="AC81" s="82"/>
      <c r="AD81" s="82"/>
      <c r="AE81" s="82"/>
      <c r="AF81" s="82"/>
      <c r="AG81" s="82"/>
      <c r="AH81" s="82"/>
      <c r="AI81" s="82"/>
      <c r="AJ81" s="82"/>
      <c r="AK81" s="82"/>
      <c r="AL81" s="82"/>
      <c r="AM81" s="82"/>
      <c r="AN81" s="82"/>
      <c r="AO81" s="82"/>
      <c r="AP81" s="82"/>
      <c r="AQ81" s="82"/>
      <c r="AR81" s="82"/>
    </row>
    <row r="82" spans="1:44" s="1420" customFormat="1" ht="15.5">
      <c r="A82" s="2031">
        <f t="shared" si="15"/>
        <v>5</v>
      </c>
      <c r="B82" s="2032">
        <v>45547</v>
      </c>
      <c r="C82" s="2110">
        <f t="shared" si="16"/>
        <v>76</v>
      </c>
      <c r="D82" s="2033" t="s">
        <v>197</v>
      </c>
      <c r="E82" s="2044"/>
      <c r="F82" s="2032">
        <f t="shared" si="17"/>
        <v>45547</v>
      </c>
      <c r="G82" s="2036">
        <v>0.41666666666666669</v>
      </c>
      <c r="H82" s="2036">
        <v>0.70833333333333337</v>
      </c>
      <c r="I82" s="2035" t="s">
        <v>1183</v>
      </c>
      <c r="J82" s="2035" t="s">
        <v>259</v>
      </c>
      <c r="K82" s="2035" t="s">
        <v>1153</v>
      </c>
      <c r="L82" s="2046"/>
      <c r="M82" s="2033"/>
      <c r="N82" s="2040">
        <f t="shared" si="18"/>
        <v>2</v>
      </c>
      <c r="O82" s="2083"/>
      <c r="P82" s="2045"/>
      <c r="Q82" s="2033"/>
      <c r="R82" s="2038">
        <f t="shared" si="20"/>
        <v>0</v>
      </c>
      <c r="S82" s="2078"/>
      <c r="T82" s="2039" t="str">
        <f t="shared" si="13"/>
        <v>7:00</v>
      </c>
      <c r="U82" s="2040">
        <f t="shared" si="19"/>
        <v>5</v>
      </c>
      <c r="V82" s="2057"/>
      <c r="W82" s="2038">
        <f t="shared" si="14"/>
        <v>0</v>
      </c>
      <c r="X82" s="2041">
        <f>(R82+((T82-8)*S82))*((100-Q82)/100)</f>
        <v>0</v>
      </c>
      <c r="Y82" s="82"/>
      <c r="Z82" s="1967"/>
      <c r="AA82" s="82"/>
      <c r="AB82" s="82"/>
      <c r="AC82" s="82"/>
      <c r="AD82" s="82"/>
      <c r="AE82" s="82"/>
      <c r="AF82" s="82"/>
      <c r="AG82" s="82"/>
      <c r="AH82" s="82"/>
      <c r="AI82" s="82"/>
      <c r="AJ82" s="82"/>
      <c r="AK82" s="82"/>
      <c r="AL82" s="82"/>
      <c r="AM82" s="82"/>
      <c r="AN82" s="82"/>
      <c r="AO82" s="82"/>
      <c r="AP82" s="82"/>
      <c r="AQ82" s="82"/>
      <c r="AR82" s="82"/>
    </row>
    <row r="83" spans="1:44" s="1420" customFormat="1" ht="15.5">
      <c r="A83" s="2031">
        <f t="shared" si="15"/>
        <v>5</v>
      </c>
      <c r="B83" s="2032">
        <v>45554</v>
      </c>
      <c r="C83" s="2110">
        <f t="shared" si="16"/>
        <v>77</v>
      </c>
      <c r="D83" s="2033" t="s">
        <v>197</v>
      </c>
      <c r="E83" s="2044"/>
      <c r="F83" s="2032">
        <f t="shared" si="17"/>
        <v>45554</v>
      </c>
      <c r="G83" s="2036">
        <v>0.41666666666666669</v>
      </c>
      <c r="H83" s="2036">
        <v>0.70833333333333337</v>
      </c>
      <c r="I83" s="2035" t="s">
        <v>1183</v>
      </c>
      <c r="J83" s="2035" t="s">
        <v>259</v>
      </c>
      <c r="K83" s="2035" t="s">
        <v>1153</v>
      </c>
      <c r="L83" s="2046"/>
      <c r="M83" s="2033"/>
      <c r="N83" s="2040">
        <f t="shared" si="18"/>
        <v>2</v>
      </c>
      <c r="O83" s="2083"/>
      <c r="P83" s="2045"/>
      <c r="Q83" s="2033"/>
      <c r="R83" s="2038">
        <f t="shared" si="20"/>
        <v>0</v>
      </c>
      <c r="S83" s="2078"/>
      <c r="T83" s="2039" t="str">
        <f t="shared" si="13"/>
        <v>7:00</v>
      </c>
      <c r="U83" s="2040">
        <f t="shared" si="19"/>
        <v>5</v>
      </c>
      <c r="V83" s="2057"/>
      <c r="W83" s="2038">
        <f t="shared" si="14"/>
        <v>0</v>
      </c>
      <c r="X83" s="2041">
        <f>(R83+((T83-0)*S83))*((100-Q83)/100)</f>
        <v>0</v>
      </c>
      <c r="Y83" s="82"/>
      <c r="Z83" s="1967"/>
      <c r="AA83" s="82"/>
      <c r="AB83" s="82"/>
      <c r="AC83" s="82"/>
      <c r="AD83" s="82"/>
      <c r="AE83" s="82"/>
      <c r="AF83" s="82"/>
      <c r="AG83" s="82"/>
      <c r="AH83" s="82"/>
      <c r="AI83" s="82"/>
      <c r="AJ83" s="82"/>
      <c r="AK83" s="82"/>
      <c r="AL83" s="82"/>
      <c r="AM83" s="82"/>
      <c r="AN83" s="82"/>
      <c r="AO83" s="82"/>
      <c r="AP83" s="82"/>
      <c r="AQ83" s="82"/>
      <c r="AR83" s="82"/>
    </row>
    <row r="84" spans="1:44" s="1420" customFormat="1" ht="15.5">
      <c r="A84" s="2031">
        <f t="shared" si="15"/>
        <v>5</v>
      </c>
      <c r="B84" s="2032">
        <v>45561</v>
      </c>
      <c r="C84" s="2110">
        <f t="shared" si="16"/>
        <v>78</v>
      </c>
      <c r="D84" s="2033" t="s">
        <v>197</v>
      </c>
      <c r="E84" s="2044"/>
      <c r="F84" s="2032">
        <f t="shared" si="17"/>
        <v>45561</v>
      </c>
      <c r="G84" s="2036">
        <v>0.41666666666666669</v>
      </c>
      <c r="H84" s="2036">
        <v>0.70833333333333337</v>
      </c>
      <c r="I84" s="2035" t="s">
        <v>1183</v>
      </c>
      <c r="J84" s="2035" t="s">
        <v>259</v>
      </c>
      <c r="K84" s="2035" t="s">
        <v>1153</v>
      </c>
      <c r="L84" s="2046"/>
      <c r="M84" s="2033"/>
      <c r="N84" s="2040">
        <f t="shared" si="18"/>
        <v>2</v>
      </c>
      <c r="O84" s="2083"/>
      <c r="P84" s="2045"/>
      <c r="Q84" s="2033"/>
      <c r="R84" s="2038">
        <f t="shared" si="20"/>
        <v>0</v>
      </c>
      <c r="S84" s="2078"/>
      <c r="T84" s="2039" t="str">
        <f t="shared" si="13"/>
        <v>7:00</v>
      </c>
      <c r="U84" s="2040">
        <f t="shared" si="19"/>
        <v>5</v>
      </c>
      <c r="V84" s="2057"/>
      <c r="W84" s="2038">
        <f t="shared" si="14"/>
        <v>0</v>
      </c>
      <c r="X84" s="2041">
        <f>R84+((T84-0)*S84)</f>
        <v>0</v>
      </c>
      <c r="Y84" s="82"/>
      <c r="Z84" s="82"/>
      <c r="AA84" s="82"/>
      <c r="AB84" s="82"/>
      <c r="AC84" s="82"/>
      <c r="AD84" s="82"/>
      <c r="AE84" s="82"/>
      <c r="AF84" s="82"/>
      <c r="AG84" s="82"/>
      <c r="AH84" s="82"/>
      <c r="AI84" s="82"/>
      <c r="AJ84" s="82"/>
      <c r="AK84" s="82"/>
      <c r="AL84" s="82"/>
      <c r="AM84" s="82"/>
      <c r="AN84" s="82"/>
      <c r="AO84" s="82"/>
      <c r="AP84" s="82"/>
      <c r="AQ84" s="82"/>
      <c r="AR84" s="82"/>
    </row>
    <row r="85" spans="1:44" s="1420" customFormat="1" ht="15.5">
      <c r="A85" s="2031">
        <f t="shared" si="15"/>
        <v>5</v>
      </c>
      <c r="B85" s="2042">
        <v>45568</v>
      </c>
      <c r="C85" s="2110">
        <f t="shared" si="16"/>
        <v>79</v>
      </c>
      <c r="D85" s="2033" t="s">
        <v>197</v>
      </c>
      <c r="E85" s="2088"/>
      <c r="F85" s="2032">
        <f t="shared" si="17"/>
        <v>45568</v>
      </c>
      <c r="G85" s="2036">
        <v>0.41666666666666669</v>
      </c>
      <c r="H85" s="2036">
        <v>0.70833333333333337</v>
      </c>
      <c r="I85" s="2035" t="s">
        <v>1183</v>
      </c>
      <c r="J85" s="2035" t="s">
        <v>259</v>
      </c>
      <c r="K85" s="2035" t="s">
        <v>1153</v>
      </c>
      <c r="L85" s="2046"/>
      <c r="M85" s="2033"/>
      <c r="N85" s="2040">
        <f t="shared" si="18"/>
        <v>2</v>
      </c>
      <c r="O85" s="2083"/>
      <c r="P85" s="2045"/>
      <c r="Q85" s="2033"/>
      <c r="R85" s="2038">
        <f t="shared" si="20"/>
        <v>0</v>
      </c>
      <c r="S85" s="2078"/>
      <c r="T85" s="2039" t="str">
        <f t="shared" si="13"/>
        <v>7:00</v>
      </c>
      <c r="U85" s="2040">
        <f t="shared" si="19"/>
        <v>5</v>
      </c>
      <c r="V85" s="2057"/>
      <c r="W85" s="2038">
        <f t="shared" si="14"/>
        <v>0</v>
      </c>
      <c r="X85" s="2048">
        <f>R85+((T85-0)*S85)</f>
        <v>0</v>
      </c>
      <c r="Y85" s="82"/>
      <c r="Z85" s="1967"/>
      <c r="AA85" s="82"/>
      <c r="AB85" s="82"/>
      <c r="AC85" s="82"/>
      <c r="AD85" s="82"/>
      <c r="AE85" s="82"/>
      <c r="AF85" s="82"/>
      <c r="AG85" s="82"/>
      <c r="AH85" s="82"/>
      <c r="AI85" s="82"/>
      <c r="AJ85" s="82"/>
      <c r="AK85" s="82"/>
      <c r="AL85" s="82"/>
      <c r="AM85" s="82"/>
      <c r="AN85" s="82"/>
      <c r="AO85" s="82"/>
      <c r="AP85" s="82"/>
      <c r="AQ85" s="82"/>
      <c r="AR85" s="82"/>
    </row>
    <row r="86" spans="1:44" s="1420" customFormat="1" ht="15.5">
      <c r="A86" s="2031">
        <f t="shared" si="15"/>
        <v>5</v>
      </c>
      <c r="B86" s="2042">
        <v>45575</v>
      </c>
      <c r="C86" s="2110">
        <f t="shared" si="16"/>
        <v>80</v>
      </c>
      <c r="D86" s="2033" t="s">
        <v>197</v>
      </c>
      <c r="E86" s="2088"/>
      <c r="F86" s="2032">
        <f t="shared" si="17"/>
        <v>45575</v>
      </c>
      <c r="G86" s="2036">
        <v>0.41666666666666669</v>
      </c>
      <c r="H86" s="2036">
        <v>0.70833333333333337</v>
      </c>
      <c r="I86" s="2035" t="s">
        <v>1183</v>
      </c>
      <c r="J86" s="2035" t="s">
        <v>259</v>
      </c>
      <c r="K86" s="2035" t="s">
        <v>1153</v>
      </c>
      <c r="L86" s="2046"/>
      <c r="M86" s="2033"/>
      <c r="N86" s="2040">
        <f t="shared" si="18"/>
        <v>2</v>
      </c>
      <c r="O86" s="2083"/>
      <c r="P86" s="2045"/>
      <c r="Q86" s="2033"/>
      <c r="R86" s="2038">
        <f t="shared" si="20"/>
        <v>0</v>
      </c>
      <c r="S86" s="2078"/>
      <c r="T86" s="2039" t="str">
        <f t="shared" si="13"/>
        <v>7:00</v>
      </c>
      <c r="U86" s="2040">
        <f t="shared" si="19"/>
        <v>5</v>
      </c>
      <c r="V86" s="2057"/>
      <c r="W86" s="2038">
        <f t="shared" si="14"/>
        <v>0</v>
      </c>
      <c r="X86" s="2048">
        <f>R86+((T86-0)*S86)</f>
        <v>0</v>
      </c>
      <c r="Y86" s="82"/>
      <c r="Z86" s="1967"/>
      <c r="AA86" s="82"/>
      <c r="AB86" s="82"/>
      <c r="AC86" s="82"/>
      <c r="AD86" s="82"/>
      <c r="AE86" s="82"/>
      <c r="AF86" s="82"/>
      <c r="AG86" s="82"/>
      <c r="AH86" s="82"/>
      <c r="AI86" s="82"/>
      <c r="AJ86" s="82"/>
      <c r="AK86" s="82"/>
      <c r="AL86" s="82"/>
      <c r="AM86" s="82"/>
      <c r="AN86" s="82"/>
      <c r="AO86" s="82"/>
      <c r="AP86" s="82"/>
      <c r="AQ86" s="82"/>
      <c r="AR86" s="82"/>
    </row>
    <row r="87" spans="1:44" s="1420" customFormat="1" ht="15.5">
      <c r="A87" s="2031">
        <f t="shared" si="15"/>
        <v>5</v>
      </c>
      <c r="B87" s="2042">
        <v>45582</v>
      </c>
      <c r="C87" s="2110">
        <f t="shared" si="16"/>
        <v>81</v>
      </c>
      <c r="D87" s="2033" t="s">
        <v>197</v>
      </c>
      <c r="E87" s="2088"/>
      <c r="F87" s="2032">
        <f t="shared" si="17"/>
        <v>45582</v>
      </c>
      <c r="G87" s="2036">
        <v>0.41666666666666669</v>
      </c>
      <c r="H87" s="2036">
        <v>0.70833333333333337</v>
      </c>
      <c r="I87" s="2035" t="s">
        <v>1183</v>
      </c>
      <c r="J87" s="2035" t="s">
        <v>259</v>
      </c>
      <c r="K87" s="2035" t="s">
        <v>1153</v>
      </c>
      <c r="L87" s="2046"/>
      <c r="M87" s="2033"/>
      <c r="N87" s="2040">
        <f t="shared" si="18"/>
        <v>2</v>
      </c>
      <c r="O87" s="2083"/>
      <c r="P87" s="2045"/>
      <c r="Q87" s="2033"/>
      <c r="R87" s="2038">
        <f t="shared" si="20"/>
        <v>0</v>
      </c>
      <c r="S87" s="2078"/>
      <c r="T87" s="2039" t="str">
        <f t="shared" si="13"/>
        <v>7:00</v>
      </c>
      <c r="U87" s="2040">
        <f t="shared" si="19"/>
        <v>5</v>
      </c>
      <c r="V87" s="2057"/>
      <c r="W87" s="2038">
        <f t="shared" si="14"/>
        <v>0</v>
      </c>
      <c r="X87" s="2048">
        <f>R87+((T87-0)*S87)</f>
        <v>0</v>
      </c>
      <c r="Y87" s="82"/>
      <c r="Z87" s="82"/>
      <c r="AA87" s="82"/>
      <c r="AB87" s="82"/>
      <c r="AC87" s="82"/>
      <c r="AD87" s="82"/>
      <c r="AE87" s="82"/>
      <c r="AF87" s="82"/>
      <c r="AG87" s="82"/>
      <c r="AH87" s="82"/>
      <c r="AI87" s="82"/>
      <c r="AJ87" s="82"/>
      <c r="AK87" s="82"/>
      <c r="AL87" s="82"/>
      <c r="AM87" s="82"/>
      <c r="AN87" s="82"/>
      <c r="AO87" s="82"/>
      <c r="AP87" s="82"/>
      <c r="AQ87" s="82"/>
      <c r="AR87" s="82"/>
    </row>
    <row r="88" spans="1:44" s="1064" customFormat="1" ht="15.5">
      <c r="A88" s="2031">
        <f t="shared" si="15"/>
        <v>5</v>
      </c>
      <c r="B88" s="2089">
        <v>45589</v>
      </c>
      <c r="C88" s="2110">
        <f t="shared" si="16"/>
        <v>82</v>
      </c>
      <c r="D88" s="2033" t="s">
        <v>197</v>
      </c>
      <c r="E88" s="2088"/>
      <c r="F88" s="2032">
        <f t="shared" si="17"/>
        <v>45589</v>
      </c>
      <c r="G88" s="2036">
        <v>0.41666666666666669</v>
      </c>
      <c r="H88" s="2036">
        <v>0.70833333333333337</v>
      </c>
      <c r="I88" s="2035" t="s">
        <v>1183</v>
      </c>
      <c r="J88" s="2035" t="s">
        <v>259</v>
      </c>
      <c r="K88" s="2035" t="s">
        <v>1153</v>
      </c>
      <c r="L88" s="2090"/>
      <c r="M88" s="2066"/>
      <c r="N88" s="2040">
        <f t="shared" si="18"/>
        <v>2</v>
      </c>
      <c r="O88" s="2066"/>
      <c r="P88" s="2066"/>
      <c r="Q88" s="2065"/>
      <c r="R88" s="2070"/>
      <c r="S88" s="2070"/>
      <c r="T88" s="2039" t="str">
        <f t="shared" si="13"/>
        <v>7:00</v>
      </c>
      <c r="U88" s="2040">
        <f t="shared" si="19"/>
        <v>5</v>
      </c>
      <c r="V88" s="2066"/>
      <c r="W88" s="2091"/>
      <c r="X88" s="2092"/>
      <c r="AA88" s="1067"/>
    </row>
    <row r="89" spans="1:44" s="1825" customFormat="1" ht="15.5">
      <c r="A89" s="2031">
        <f t="shared" si="15"/>
        <v>5</v>
      </c>
      <c r="B89" s="2093">
        <v>45596</v>
      </c>
      <c r="C89" s="2110">
        <f t="shared" si="16"/>
        <v>83</v>
      </c>
      <c r="D89" s="2033" t="s">
        <v>197</v>
      </c>
      <c r="E89" s="2094"/>
      <c r="F89" s="2032">
        <f t="shared" si="17"/>
        <v>45596</v>
      </c>
      <c r="G89" s="2036">
        <v>0.41666666666666669</v>
      </c>
      <c r="H89" s="2036">
        <v>0.70833333333333337</v>
      </c>
      <c r="I89" s="2035" t="s">
        <v>1183</v>
      </c>
      <c r="J89" s="2035" t="s">
        <v>259</v>
      </c>
      <c r="K89" s="2035" t="s">
        <v>1153</v>
      </c>
      <c r="L89" s="2090"/>
      <c r="M89" s="2090"/>
      <c r="N89" s="2040">
        <f t="shared" si="18"/>
        <v>2</v>
      </c>
      <c r="O89" s="2090"/>
      <c r="P89" s="2090"/>
      <c r="Q89" s="2090"/>
      <c r="R89" s="2095"/>
      <c r="S89" s="2090"/>
      <c r="T89" s="2039" t="str">
        <f t="shared" si="13"/>
        <v>7:00</v>
      </c>
      <c r="U89" s="2040">
        <f t="shared" si="19"/>
        <v>5</v>
      </c>
      <c r="V89" s="2090"/>
      <c r="W89" s="2090"/>
      <c r="X89" s="2095"/>
      <c r="Y89" s="104"/>
      <c r="Z89" s="104"/>
      <c r="AA89" s="104"/>
      <c r="AB89" s="104"/>
      <c r="AC89" s="104"/>
      <c r="AD89" s="104"/>
      <c r="AE89" s="104"/>
      <c r="AF89" s="104"/>
      <c r="AG89" s="104"/>
      <c r="AH89" s="104"/>
      <c r="AI89" s="104"/>
      <c r="AJ89" s="104"/>
      <c r="AK89" s="104"/>
      <c r="AL89" s="104"/>
      <c r="AM89" s="104"/>
      <c r="AN89" s="104"/>
      <c r="AO89" s="104"/>
      <c r="AP89" s="104"/>
      <c r="AQ89" s="104"/>
      <c r="AR89" s="104"/>
    </row>
    <row r="90" spans="1:44" ht="15.5">
      <c r="A90" s="2031">
        <f t="shared" si="15"/>
        <v>5</v>
      </c>
      <c r="B90" s="2093">
        <v>45603</v>
      </c>
      <c r="C90" s="2110">
        <f t="shared" si="16"/>
        <v>84</v>
      </c>
      <c r="D90" s="2033" t="s">
        <v>197</v>
      </c>
      <c r="E90" s="2094"/>
      <c r="F90" s="2032">
        <f t="shared" si="17"/>
        <v>45603</v>
      </c>
      <c r="G90" s="2036">
        <v>0.41666666666666669</v>
      </c>
      <c r="H90" s="2036">
        <v>0.70833333333333337</v>
      </c>
      <c r="I90" s="2035" t="s">
        <v>1183</v>
      </c>
      <c r="J90" s="2035" t="s">
        <v>259</v>
      </c>
      <c r="K90" s="2035" t="s">
        <v>1153</v>
      </c>
      <c r="L90" s="2090"/>
      <c r="M90" s="2090"/>
      <c r="N90" s="2040">
        <f t="shared" si="18"/>
        <v>2</v>
      </c>
      <c r="O90" s="2090"/>
      <c r="P90" s="2090"/>
      <c r="Q90" s="2090"/>
      <c r="R90" s="2095"/>
      <c r="S90" s="2090"/>
      <c r="T90" s="2039" t="str">
        <f t="shared" si="13"/>
        <v>7:00</v>
      </c>
      <c r="U90" s="2040">
        <f t="shared" si="19"/>
        <v>5</v>
      </c>
      <c r="V90" s="2090"/>
      <c r="W90" s="2090"/>
      <c r="X90" s="2096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8"/>
      <c r="AL90" s="68"/>
      <c r="AM90" s="68"/>
      <c r="AN90" s="68"/>
      <c r="AO90" s="68"/>
      <c r="AP90" s="68"/>
      <c r="AQ90" s="68"/>
      <c r="AR90" s="68"/>
    </row>
    <row r="91" spans="1:44" ht="15.5">
      <c r="A91" s="2031">
        <f t="shared" si="15"/>
        <v>5</v>
      </c>
      <c r="B91" s="2093">
        <v>45610</v>
      </c>
      <c r="C91" s="2110">
        <f t="shared" si="16"/>
        <v>85</v>
      </c>
      <c r="D91" s="2033" t="s">
        <v>197</v>
      </c>
      <c r="E91" s="2094"/>
      <c r="F91" s="2032">
        <f t="shared" si="17"/>
        <v>45610</v>
      </c>
      <c r="G91" s="2036">
        <v>0.41666666666666669</v>
      </c>
      <c r="H91" s="2036">
        <v>0.70833333333333337</v>
      </c>
      <c r="I91" s="2035" t="s">
        <v>1183</v>
      </c>
      <c r="J91" s="2035" t="s">
        <v>259</v>
      </c>
      <c r="K91" s="2035" t="s">
        <v>1153</v>
      </c>
      <c r="L91" s="2090"/>
      <c r="M91" s="2090"/>
      <c r="N91" s="2040">
        <f t="shared" si="18"/>
        <v>2</v>
      </c>
      <c r="O91" s="2090"/>
      <c r="P91" s="2090"/>
      <c r="Q91" s="2090"/>
      <c r="R91" s="2095"/>
      <c r="S91" s="2096"/>
      <c r="T91" s="2039" t="str">
        <f t="shared" si="13"/>
        <v>7:00</v>
      </c>
      <c r="U91" s="2040">
        <f t="shared" si="19"/>
        <v>5</v>
      </c>
      <c r="V91" s="2090"/>
      <c r="W91" s="2090"/>
      <c r="X91" s="2097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8"/>
      <c r="AL91" s="68"/>
      <c r="AM91" s="68"/>
      <c r="AN91" s="68"/>
      <c r="AO91" s="68"/>
      <c r="AP91" s="68"/>
      <c r="AQ91" s="68"/>
      <c r="AR91" s="68"/>
    </row>
    <row r="92" spans="1:44" ht="15.5">
      <c r="A92" s="2031">
        <f t="shared" si="15"/>
        <v>5</v>
      </c>
      <c r="B92" s="2093">
        <v>45617</v>
      </c>
      <c r="C92" s="2110">
        <f t="shared" si="16"/>
        <v>86</v>
      </c>
      <c r="D92" s="2033" t="s">
        <v>197</v>
      </c>
      <c r="E92" s="2094"/>
      <c r="F92" s="2032">
        <f t="shared" si="17"/>
        <v>45617</v>
      </c>
      <c r="G92" s="2036">
        <v>0.41666666666666669</v>
      </c>
      <c r="H92" s="2036">
        <v>0.70833333333333337</v>
      </c>
      <c r="I92" s="2035" t="s">
        <v>1183</v>
      </c>
      <c r="J92" s="2035" t="s">
        <v>259</v>
      </c>
      <c r="K92" s="2035" t="s">
        <v>1153</v>
      </c>
      <c r="L92" s="2090"/>
      <c r="M92" s="2090"/>
      <c r="N92" s="2040">
        <f t="shared" si="18"/>
        <v>2</v>
      </c>
      <c r="O92" s="2090"/>
      <c r="P92" s="2090"/>
      <c r="Q92" s="2090"/>
      <c r="R92" s="2090"/>
      <c r="S92" s="2096"/>
      <c r="T92" s="2039" t="str">
        <f t="shared" si="13"/>
        <v>7:00</v>
      </c>
      <c r="U92" s="2040">
        <f t="shared" si="19"/>
        <v>5</v>
      </c>
      <c r="V92" s="2090"/>
      <c r="W92" s="2096"/>
      <c r="X92" s="2090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8"/>
      <c r="AL92" s="68"/>
      <c r="AM92" s="68"/>
      <c r="AN92" s="68"/>
      <c r="AO92" s="68"/>
      <c r="AP92" s="68"/>
      <c r="AQ92" s="68"/>
      <c r="AR92" s="68"/>
    </row>
    <row r="93" spans="1:44" ht="15.5">
      <c r="A93" s="2031">
        <f t="shared" si="15"/>
        <v>5</v>
      </c>
      <c r="B93" s="2093">
        <v>45624</v>
      </c>
      <c r="C93" s="2110">
        <f t="shared" si="16"/>
        <v>87</v>
      </c>
      <c r="D93" s="2033" t="s">
        <v>197</v>
      </c>
      <c r="E93" s="2094"/>
      <c r="F93" s="2032">
        <f t="shared" si="17"/>
        <v>45624</v>
      </c>
      <c r="G93" s="2036">
        <v>0.41666666666666669</v>
      </c>
      <c r="H93" s="2036">
        <v>0.70833333333333337</v>
      </c>
      <c r="I93" s="2035" t="s">
        <v>1183</v>
      </c>
      <c r="J93" s="2035" t="s">
        <v>259</v>
      </c>
      <c r="K93" s="2035" t="s">
        <v>1153</v>
      </c>
      <c r="L93" s="2090"/>
      <c r="M93" s="2090"/>
      <c r="N93" s="2040">
        <f t="shared" si="18"/>
        <v>2</v>
      </c>
      <c r="O93" s="2090"/>
      <c r="P93" s="2090"/>
      <c r="Q93" s="2090"/>
      <c r="R93" s="2090"/>
      <c r="S93" s="2090"/>
      <c r="T93" s="2039" t="str">
        <f t="shared" si="13"/>
        <v>7:00</v>
      </c>
      <c r="U93" s="2040">
        <f t="shared" si="19"/>
        <v>5</v>
      </c>
      <c r="V93" s="2090" t="s">
        <v>1184</v>
      </c>
      <c r="W93" s="2096"/>
      <c r="X93" s="2090"/>
      <c r="Y93" s="1827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8"/>
      <c r="AL93" s="68"/>
      <c r="AM93" s="68"/>
      <c r="AN93" s="68"/>
      <c r="AO93" s="68"/>
      <c r="AP93" s="68"/>
      <c r="AQ93" s="68"/>
      <c r="AR93" s="68"/>
    </row>
    <row r="94" spans="1:44" ht="15.5">
      <c r="A94" s="2031">
        <f t="shared" si="15"/>
        <v>5</v>
      </c>
      <c r="B94" s="2093">
        <v>45631</v>
      </c>
      <c r="C94" s="2110">
        <f t="shared" si="16"/>
        <v>88</v>
      </c>
      <c r="D94" s="2033" t="s">
        <v>197</v>
      </c>
      <c r="E94" s="2094"/>
      <c r="F94" s="2032">
        <f t="shared" si="17"/>
        <v>45631</v>
      </c>
      <c r="G94" s="2036">
        <v>0.41666666666666669</v>
      </c>
      <c r="H94" s="2036">
        <v>0.70833333333333337</v>
      </c>
      <c r="I94" s="2035" t="s">
        <v>1183</v>
      </c>
      <c r="J94" s="2035" t="s">
        <v>259</v>
      </c>
      <c r="K94" s="2035" t="s">
        <v>1153</v>
      </c>
      <c r="L94" s="2090"/>
      <c r="M94" s="2090"/>
      <c r="N94" s="2040">
        <f t="shared" si="18"/>
        <v>2</v>
      </c>
      <c r="O94" s="2090"/>
      <c r="P94" s="2090"/>
      <c r="Q94" s="2090"/>
      <c r="R94" s="2090"/>
      <c r="S94" s="2090"/>
      <c r="T94" s="2039" t="str">
        <f t="shared" si="13"/>
        <v>7:00</v>
      </c>
      <c r="U94" s="2040">
        <f t="shared" si="19"/>
        <v>5</v>
      </c>
      <c r="V94" s="2090"/>
      <c r="W94" s="2090"/>
      <c r="X94" s="2090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8"/>
      <c r="AL94" s="68"/>
      <c r="AM94" s="68"/>
      <c r="AN94" s="68"/>
      <c r="AO94" s="68"/>
      <c r="AP94" s="68"/>
      <c r="AQ94" s="68"/>
      <c r="AR94" s="68"/>
    </row>
    <row r="95" spans="1:44" ht="15.5">
      <c r="A95" s="2031">
        <f t="shared" si="15"/>
        <v>5</v>
      </c>
      <c r="B95" s="2093">
        <v>45638</v>
      </c>
      <c r="C95" s="2110">
        <f t="shared" si="16"/>
        <v>89</v>
      </c>
      <c r="D95" s="2033" t="s">
        <v>197</v>
      </c>
      <c r="E95" s="2094"/>
      <c r="F95" s="2032">
        <f t="shared" si="17"/>
        <v>45638</v>
      </c>
      <c r="G95" s="2036">
        <v>0.41666666666666669</v>
      </c>
      <c r="H95" s="2036">
        <v>0.70833333333333337</v>
      </c>
      <c r="I95" s="2035" t="s">
        <v>1183</v>
      </c>
      <c r="J95" s="2035" t="s">
        <v>259</v>
      </c>
      <c r="K95" s="2035" t="s">
        <v>1153</v>
      </c>
      <c r="L95" s="2090"/>
      <c r="M95" s="2090"/>
      <c r="N95" s="2040">
        <f t="shared" si="18"/>
        <v>2</v>
      </c>
      <c r="O95" s="2090"/>
      <c r="P95" s="2090"/>
      <c r="Q95" s="2090"/>
      <c r="R95" s="2095"/>
      <c r="S95" s="2090"/>
      <c r="T95" s="2039" t="str">
        <f t="shared" si="13"/>
        <v>7:00</v>
      </c>
      <c r="U95" s="2040">
        <f t="shared" si="19"/>
        <v>5</v>
      </c>
      <c r="V95" s="2090"/>
      <c r="W95" s="2090"/>
      <c r="X95" s="2095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8"/>
      <c r="AL95" s="68"/>
      <c r="AM95" s="68"/>
      <c r="AN95" s="68"/>
      <c r="AO95" s="68"/>
      <c r="AP95" s="68"/>
      <c r="AQ95" s="68"/>
      <c r="AR95" s="68"/>
    </row>
    <row r="96" spans="1:44" ht="15.5">
      <c r="A96" s="2031">
        <f t="shared" si="15"/>
        <v>5</v>
      </c>
      <c r="B96" s="2093">
        <v>45645</v>
      </c>
      <c r="C96" s="2110">
        <f t="shared" si="16"/>
        <v>90</v>
      </c>
      <c r="D96" s="2033" t="s">
        <v>197</v>
      </c>
      <c r="E96" s="2094"/>
      <c r="F96" s="2032">
        <f t="shared" si="17"/>
        <v>45645</v>
      </c>
      <c r="G96" s="2036">
        <v>0.41666666666666669</v>
      </c>
      <c r="H96" s="2036">
        <v>0.70833333333333337</v>
      </c>
      <c r="I96" s="2035" t="s">
        <v>1183</v>
      </c>
      <c r="J96" s="2035" t="s">
        <v>259</v>
      </c>
      <c r="K96" s="2035" t="s">
        <v>1153</v>
      </c>
      <c r="L96" s="2090"/>
      <c r="M96" s="2090"/>
      <c r="N96" s="2040">
        <f t="shared" si="18"/>
        <v>2</v>
      </c>
      <c r="O96" s="2090" t="s">
        <v>1185</v>
      </c>
      <c r="P96" s="2090"/>
      <c r="Q96" s="2090"/>
      <c r="R96" s="2095"/>
      <c r="S96" s="2090"/>
      <c r="T96" s="2039" t="str">
        <f t="shared" si="13"/>
        <v>7:00</v>
      </c>
      <c r="U96" s="2040">
        <f t="shared" si="19"/>
        <v>5</v>
      </c>
      <c r="V96" s="2090"/>
      <c r="W96" s="2090"/>
      <c r="X96" s="2095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8"/>
      <c r="AL96" s="68"/>
      <c r="AM96" s="68"/>
      <c r="AN96" s="68"/>
      <c r="AO96" s="68"/>
      <c r="AP96" s="68"/>
      <c r="AQ96" s="68"/>
      <c r="AR96" s="68"/>
    </row>
    <row r="97" spans="1:44" ht="15.5">
      <c r="A97" s="2031">
        <f t="shared" si="15"/>
        <v>5</v>
      </c>
      <c r="B97" s="2093">
        <v>45652</v>
      </c>
      <c r="C97" s="2110">
        <f t="shared" si="16"/>
        <v>91</v>
      </c>
      <c r="D97" s="2033" t="s">
        <v>197</v>
      </c>
      <c r="E97" s="2094"/>
      <c r="F97" s="2032">
        <f t="shared" si="17"/>
        <v>45652</v>
      </c>
      <c r="G97" s="2036">
        <v>0.41666666666666669</v>
      </c>
      <c r="H97" s="2036">
        <v>0.70833333333333337</v>
      </c>
      <c r="I97" s="2035" t="s">
        <v>1183</v>
      </c>
      <c r="J97" s="2035" t="s">
        <v>259</v>
      </c>
      <c r="K97" s="2035" t="s">
        <v>1153</v>
      </c>
      <c r="L97" s="2090"/>
      <c r="M97" s="2090"/>
      <c r="N97" s="2040">
        <f t="shared" si="18"/>
        <v>2</v>
      </c>
      <c r="O97" s="2090" t="s">
        <v>1186</v>
      </c>
      <c r="P97" s="2090"/>
      <c r="Q97" s="2090"/>
      <c r="R97" s="2095"/>
      <c r="S97" s="2090"/>
      <c r="T97" s="2039" t="str">
        <f t="shared" si="13"/>
        <v>7:00</v>
      </c>
      <c r="U97" s="2040">
        <f t="shared" si="19"/>
        <v>5</v>
      </c>
      <c r="V97" s="2090"/>
      <c r="W97" s="2090"/>
      <c r="X97" s="2095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8"/>
      <c r="AL97" s="68"/>
      <c r="AM97" s="68"/>
      <c r="AN97" s="68"/>
      <c r="AO97" s="68"/>
      <c r="AP97" s="68"/>
      <c r="AQ97" s="68"/>
      <c r="AR97" s="68"/>
    </row>
    <row r="98" spans="1:44">
      <c r="A98" s="68"/>
      <c r="B98" s="2015"/>
      <c r="C98" s="2015"/>
      <c r="D98" s="66"/>
      <c r="E98" s="56"/>
      <c r="F98" s="67"/>
      <c r="G98" s="68"/>
      <c r="H98" s="68"/>
      <c r="I98" s="68"/>
      <c r="J98" s="59"/>
      <c r="K98" s="59"/>
      <c r="L98" s="68"/>
      <c r="M98" s="68"/>
      <c r="N98" s="68"/>
      <c r="O98" s="68"/>
      <c r="P98" s="68"/>
      <c r="Q98" s="68"/>
      <c r="R98" s="1782"/>
      <c r="S98" s="68"/>
      <c r="T98" s="68"/>
      <c r="U98" s="68"/>
      <c r="V98" s="68"/>
      <c r="W98" s="68"/>
      <c r="X98" s="1782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8"/>
      <c r="AL98" s="68"/>
      <c r="AM98" s="68"/>
      <c r="AN98" s="68"/>
      <c r="AO98" s="68"/>
      <c r="AP98" s="68"/>
      <c r="AQ98" s="68"/>
      <c r="AR98" s="68"/>
    </row>
    <row r="99" spans="1:44">
      <c r="A99" s="68"/>
      <c r="B99" s="2015"/>
      <c r="C99" s="2015"/>
      <c r="D99" s="66"/>
      <c r="E99" s="56"/>
      <c r="F99" s="67"/>
      <c r="G99" s="68"/>
      <c r="H99" s="68"/>
      <c r="I99" s="68"/>
      <c r="J99" s="59"/>
      <c r="K99" s="59"/>
      <c r="L99" s="68"/>
      <c r="M99" s="68"/>
      <c r="N99" s="68"/>
      <c r="O99" s="68"/>
      <c r="P99" s="68"/>
      <c r="Q99" s="68"/>
      <c r="R99" s="1782"/>
      <c r="S99" s="68"/>
      <c r="T99" s="68"/>
      <c r="U99" s="68"/>
      <c r="V99" s="68"/>
      <c r="W99" s="68"/>
      <c r="X99" s="1782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8"/>
      <c r="AL99" s="68"/>
      <c r="AM99" s="68"/>
      <c r="AN99" s="68"/>
      <c r="AO99" s="68"/>
      <c r="AP99" s="68"/>
      <c r="AQ99" s="68"/>
      <c r="AR99" s="68"/>
    </row>
    <row r="100" spans="1:44">
      <c r="A100" s="68"/>
      <c r="B100" s="2015"/>
      <c r="C100" s="2015"/>
      <c r="D100" s="66"/>
      <c r="E100" s="56"/>
      <c r="F100" s="67"/>
      <c r="G100" s="68"/>
      <c r="H100" s="68"/>
      <c r="I100" s="68"/>
      <c r="J100" s="59"/>
      <c r="K100" s="59"/>
      <c r="L100" s="68"/>
      <c r="M100" s="68"/>
      <c r="N100" s="68"/>
      <c r="O100" s="68"/>
      <c r="P100" s="68"/>
      <c r="Q100" s="68"/>
      <c r="R100" s="1782"/>
      <c r="S100" s="68"/>
      <c r="T100" s="68"/>
      <c r="U100" s="68"/>
      <c r="V100" s="68"/>
      <c r="W100" s="68"/>
      <c r="X100" s="1782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8"/>
      <c r="AL100" s="68"/>
      <c r="AM100" s="68"/>
      <c r="AN100" s="68"/>
      <c r="AO100" s="68"/>
      <c r="AP100" s="68"/>
      <c r="AQ100" s="68"/>
      <c r="AR100" s="68"/>
    </row>
    <row r="1048576" spans="4:6" ht="26">
      <c r="D1048576" s="66"/>
      <c r="E1048576" s="1908" t="s">
        <v>43</v>
      </c>
      <c r="F1048576" s="67"/>
    </row>
  </sheetData>
  <autoFilter ref="A6:AR97" xr:uid="{55A351BD-0058-477A-95DF-BDADA372773A}"/>
  <pageMargins left="0.7" right="0.7" top="0.75" bottom="0.75" header="0.3" footer="0.3"/>
  <pageSetup scale="27" fitToHeight="0"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5C3C4-E731-4115-BD13-760DFCBCEED1}">
  <sheetPr codeName="Sheet30">
    <tabColor rgb="FFFFFF00"/>
    <pageSetUpPr fitToPage="1"/>
  </sheetPr>
  <dimension ref="A1:AG1048576"/>
  <sheetViews>
    <sheetView tabSelected="1" zoomScale="90" zoomScaleNormal="90" workbookViewId="0">
      <selection activeCell="G100" sqref="G100"/>
    </sheetView>
  </sheetViews>
  <sheetFormatPr defaultColWidth="9.1796875" defaultRowHeight="14.5" outlineLevelCol="1"/>
  <cols>
    <col min="1" max="2" width="8.81640625" style="837" customWidth="1"/>
    <col min="3" max="3" width="14.26953125" style="1911" customWidth="1"/>
    <col min="4" max="4" width="27.26953125" style="1909" customWidth="1"/>
    <col min="5" max="5" width="13.81640625" style="1787" customWidth="1"/>
    <col min="6" max="6" width="13.1796875" style="837" customWidth="1"/>
    <col min="7" max="7" width="13.453125" style="837" customWidth="1"/>
    <col min="8" max="8" width="38.26953125" style="837" customWidth="1" outlineLevel="1"/>
    <col min="9" max="9" width="13.81640625" style="838" customWidth="1" outlineLevel="1"/>
    <col min="10" max="10" width="11.36328125" style="838" customWidth="1" outlineLevel="1"/>
    <col min="11" max="11" width="15.81640625" style="837" customWidth="1" outlineLevel="1"/>
    <col min="12" max="12" width="15.54296875" style="837" customWidth="1" outlineLevel="1"/>
    <col min="13" max="13" width="15" style="837" customWidth="1"/>
    <col min="14" max="14" width="22.26953125" style="837" customWidth="1"/>
    <col min="15" max="15" width="12.54296875" style="837" customWidth="1"/>
    <col min="16" max="16" width="13.1796875" style="837" customWidth="1"/>
    <col min="17" max="17" width="30" style="1828" customWidth="1"/>
    <col min="18" max="18" width="22.90625" style="837" customWidth="1"/>
    <col min="19" max="19" width="9.1796875" style="837" bestFit="1" customWidth="1"/>
    <col min="20" max="20" width="14.7265625" style="837" customWidth="1"/>
    <col min="21" max="21" width="27.81640625" style="837" customWidth="1"/>
    <col min="22" max="22" width="16.54296875" style="837" hidden="1" customWidth="1"/>
    <col min="23" max="23" width="19" style="1828" customWidth="1"/>
    <col min="24" max="24" width="13.1796875" style="837" bestFit="1" customWidth="1"/>
    <col min="25" max="25" width="28.1796875" style="837" customWidth="1"/>
    <col min="26" max="26" width="13.7265625" style="837" customWidth="1"/>
    <col min="27" max="30" width="9.1796875" style="837" customWidth="1"/>
    <col min="31" max="16384" width="9.1796875" style="837"/>
  </cols>
  <sheetData>
    <row r="1" spans="1:33">
      <c r="A1" s="68"/>
      <c r="B1" s="68"/>
      <c r="C1" s="66"/>
      <c r="D1" s="56"/>
      <c r="E1" s="67"/>
      <c r="F1" s="68"/>
      <c r="G1" s="68"/>
      <c r="H1" s="68"/>
      <c r="I1" s="59"/>
      <c r="J1" s="59"/>
      <c r="K1" s="68"/>
      <c r="L1" s="68"/>
      <c r="M1" s="68"/>
      <c r="N1" s="68"/>
      <c r="O1" s="68"/>
      <c r="P1" s="68"/>
      <c r="Q1" s="1782"/>
      <c r="R1" s="68"/>
      <c r="S1" s="68"/>
      <c r="T1" s="68"/>
      <c r="U1" s="68"/>
      <c r="V1" s="68"/>
      <c r="W1" s="1782"/>
      <c r="X1" s="68"/>
      <c r="Y1" s="68"/>
      <c r="Z1" s="68"/>
      <c r="AA1" s="68"/>
      <c r="AB1" s="68"/>
      <c r="AC1" s="68"/>
      <c r="AD1" s="68"/>
      <c r="AE1" s="68"/>
      <c r="AF1" s="68"/>
      <c r="AG1" s="68"/>
    </row>
    <row r="2" spans="1:33" s="1787" customFormat="1" ht="20.25" customHeight="1">
      <c r="A2" s="390" t="s">
        <v>0</v>
      </c>
      <c r="B2" s="391"/>
      <c r="C2" s="390"/>
      <c r="D2" s="389"/>
      <c r="E2" s="391"/>
      <c r="F2" s="391"/>
      <c r="G2" s="391"/>
      <c r="H2" s="391"/>
      <c r="I2" s="52"/>
      <c r="J2" s="389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1783"/>
      <c r="X2" s="1784"/>
      <c r="Y2" s="391"/>
      <c r="Z2" s="1785"/>
      <c r="AA2" s="67"/>
      <c r="AB2" s="67"/>
      <c r="AC2" s="67"/>
      <c r="AD2" s="67"/>
      <c r="AE2" s="1786"/>
      <c r="AF2" s="68" t="s">
        <v>1</v>
      </c>
      <c r="AG2" s="67"/>
    </row>
    <row r="3" spans="1:33" s="1787" customFormat="1" ht="20.25" customHeight="1">
      <c r="A3" s="393" t="s">
        <v>2</v>
      </c>
      <c r="B3" s="394"/>
      <c r="C3" s="393"/>
      <c r="D3" s="392"/>
      <c r="E3" s="394"/>
      <c r="F3" s="394"/>
      <c r="G3" s="394"/>
      <c r="H3" s="394"/>
      <c r="I3" s="60"/>
      <c r="J3" s="392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4"/>
      <c r="W3" s="1788"/>
      <c r="X3" s="1789"/>
      <c r="Y3" s="394"/>
      <c r="Z3" s="1790"/>
      <c r="AA3" s="67"/>
      <c r="AB3" s="67"/>
      <c r="AC3" s="67"/>
      <c r="AD3" s="67"/>
      <c r="AE3" s="1791"/>
      <c r="AF3" s="68" t="s">
        <v>3</v>
      </c>
      <c r="AG3" s="67"/>
    </row>
    <row r="4" spans="1:33" s="1787" customFormat="1" ht="20.25" customHeight="1">
      <c r="A4" s="393" t="s">
        <v>2215</v>
      </c>
      <c r="B4" s="394"/>
      <c r="C4" s="393"/>
      <c r="D4" s="392"/>
      <c r="E4" s="394"/>
      <c r="F4" s="394"/>
      <c r="G4" s="394"/>
      <c r="H4" s="394"/>
      <c r="I4" s="60"/>
      <c r="J4" s="392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1788"/>
      <c r="X4" s="1789"/>
      <c r="Y4" s="394"/>
      <c r="Z4" s="1790"/>
      <c r="AA4" s="67"/>
      <c r="AB4" s="67"/>
      <c r="AC4" s="67"/>
      <c r="AD4" s="67"/>
      <c r="AE4" s="1792"/>
      <c r="AF4" s="68" t="s">
        <v>5</v>
      </c>
      <c r="AG4" s="67"/>
    </row>
    <row r="5" spans="1:33" s="1787" customFormat="1" ht="6" customHeight="1">
      <c r="A5" s="67"/>
      <c r="B5" s="67"/>
      <c r="C5" s="66"/>
      <c r="D5" s="56"/>
      <c r="E5" s="67"/>
      <c r="F5" s="67"/>
      <c r="G5" s="67"/>
      <c r="H5" s="67"/>
      <c r="I5" s="66"/>
      <c r="J5" s="66"/>
      <c r="K5" s="67"/>
      <c r="L5" s="67"/>
      <c r="M5" s="68"/>
      <c r="N5" s="68"/>
      <c r="O5" s="68"/>
      <c r="P5" s="67"/>
      <c r="Q5" s="1793"/>
      <c r="R5" s="67"/>
      <c r="S5" s="67"/>
      <c r="T5" s="67"/>
      <c r="U5" s="67"/>
      <c r="V5" s="67"/>
      <c r="W5" s="1793"/>
      <c r="X5" s="1794"/>
      <c r="Y5" s="67"/>
      <c r="Z5" s="1795"/>
      <c r="AA5" s="67"/>
      <c r="AB5" s="67"/>
      <c r="AC5" s="67"/>
      <c r="AD5" s="67"/>
      <c r="AE5" s="67"/>
      <c r="AF5" s="67"/>
      <c r="AG5" s="67"/>
    </row>
    <row r="6" spans="1:33" s="1871" customFormat="1" ht="51" customHeight="1">
      <c r="A6" s="2158" t="s">
        <v>2214</v>
      </c>
      <c r="B6" s="2158" t="s">
        <v>1255</v>
      </c>
      <c r="C6" s="2159" t="s">
        <v>7</v>
      </c>
      <c r="D6" s="2160" t="s">
        <v>8</v>
      </c>
      <c r="E6" s="2161" t="s">
        <v>9</v>
      </c>
      <c r="F6" s="2158" t="s">
        <v>10</v>
      </c>
      <c r="G6" s="2162" t="s">
        <v>11</v>
      </c>
      <c r="H6" s="2158" t="s">
        <v>1143</v>
      </c>
      <c r="I6" s="2163" t="s">
        <v>13</v>
      </c>
      <c r="J6" s="2164" t="s">
        <v>14</v>
      </c>
      <c r="K6" s="2165" t="s">
        <v>15</v>
      </c>
      <c r="L6" s="2162" t="s">
        <v>16</v>
      </c>
      <c r="M6" s="2162" t="s">
        <v>17</v>
      </c>
      <c r="N6" s="2158" t="s">
        <v>18</v>
      </c>
      <c r="O6" s="2301" t="s">
        <v>19</v>
      </c>
      <c r="P6" s="2162" t="s">
        <v>20</v>
      </c>
      <c r="Q6" s="2166" t="s">
        <v>21</v>
      </c>
      <c r="R6" s="2162" t="s">
        <v>22</v>
      </c>
      <c r="S6" s="2162" t="s">
        <v>23</v>
      </c>
      <c r="T6" s="2162" t="s">
        <v>1145</v>
      </c>
      <c r="U6" s="2162" t="s">
        <v>24</v>
      </c>
      <c r="V6" s="2167" t="s">
        <v>25</v>
      </c>
      <c r="W6" s="2168" t="s">
        <v>1146</v>
      </c>
      <c r="X6" s="2162" t="s">
        <v>2207</v>
      </c>
      <c r="Y6" s="1868"/>
      <c r="Z6" s="1868"/>
      <c r="AA6" s="1867" t="s">
        <v>27</v>
      </c>
      <c r="AB6" s="1869" t="s">
        <v>28</v>
      </c>
      <c r="AC6" s="1870" t="s">
        <v>29</v>
      </c>
      <c r="AD6" s="1867" t="s">
        <v>30</v>
      </c>
      <c r="AE6" s="1868"/>
      <c r="AF6" s="1868"/>
      <c r="AG6" s="1868"/>
    </row>
    <row r="7" spans="1:33" s="1375" customFormat="1" ht="27.75" hidden="1" customHeight="1">
      <c r="A7" s="2169" t="str">
        <f>UPPER(C7)</f>
        <v>CHANEL</v>
      </c>
      <c r="B7" s="2170">
        <f>IF(C7="",0,COUNTA($C$7:C7))</f>
        <v>1</v>
      </c>
      <c r="C7" s="2171" t="s">
        <v>1187</v>
      </c>
      <c r="D7" s="2172" t="s">
        <v>32</v>
      </c>
      <c r="E7" s="2173" t="s">
        <v>1226</v>
      </c>
      <c r="F7" s="2174">
        <v>0.41666666666666669</v>
      </c>
      <c r="G7" s="2174">
        <v>0.5</v>
      </c>
      <c r="H7" s="2175" t="s">
        <v>1227</v>
      </c>
      <c r="I7" s="2175" t="s">
        <v>35</v>
      </c>
      <c r="J7" s="2175"/>
      <c r="K7" s="2175" t="s">
        <v>37</v>
      </c>
      <c r="L7" s="2175"/>
      <c r="M7" s="2175"/>
      <c r="N7" s="2175" t="s">
        <v>1228</v>
      </c>
      <c r="O7" s="2176"/>
      <c r="P7" s="2287"/>
      <c r="Q7" s="736">
        <f>IF((S7-T7)&gt;=8,R7*6,IF(AND((S7-T7)&lt;8,(S7-T7)&gt;=4),R7*3,0))</f>
        <v>0</v>
      </c>
      <c r="R7" s="2284">
        <v>950000</v>
      </c>
      <c r="S7" s="2300">
        <f>HOUR(TEXT(G7-F7,"hh:mm"))+(MINUTE(TEXT(G7-F7,"hh:mm"))/60)</f>
        <v>2</v>
      </c>
      <c r="T7" s="2178"/>
      <c r="U7" s="2285"/>
      <c r="V7" s="2286">
        <f>S7*R7*(100-P7)/100</f>
        <v>1900000</v>
      </c>
      <c r="W7" s="2179">
        <f>(Q7+(((S7-T7)-0)*R7))*((100-P7)/100)</f>
        <v>1900000</v>
      </c>
      <c r="X7" s="2288">
        <v>45446</v>
      </c>
      <c r="Y7" s="1419"/>
      <c r="Z7" s="1419"/>
      <c r="AA7" s="1419"/>
      <c r="AB7" s="1419"/>
      <c r="AC7" s="1419"/>
      <c r="AD7" s="1419"/>
      <c r="AE7" s="1419"/>
      <c r="AF7" s="1419"/>
      <c r="AG7" s="1372"/>
    </row>
    <row r="8" spans="1:33" s="1389" customFormat="1" ht="13" hidden="1" customHeight="1">
      <c r="A8" s="2169" t="str">
        <f>UPPER(C8)</f>
        <v>LGS</v>
      </c>
      <c r="B8" s="2170">
        <f>IF(C8="",0,COUNTA($C$7:C8))</f>
        <v>2</v>
      </c>
      <c r="C8" s="2181" t="s">
        <v>38</v>
      </c>
      <c r="D8" s="2182" t="s">
        <v>32</v>
      </c>
      <c r="E8" s="2294" t="s">
        <v>1229</v>
      </c>
      <c r="F8" s="2174">
        <v>0.41666666666666669</v>
      </c>
      <c r="G8" s="2174">
        <v>0.47916666666666669</v>
      </c>
      <c r="H8" s="2176" t="s">
        <v>1147</v>
      </c>
      <c r="I8" s="2175" t="s">
        <v>35</v>
      </c>
      <c r="J8" s="2175" t="s">
        <v>1195</v>
      </c>
      <c r="K8" s="2175" t="s">
        <v>366</v>
      </c>
      <c r="L8" s="2175"/>
      <c r="M8" s="2175" t="s">
        <v>1196</v>
      </c>
      <c r="N8" s="2174" t="s">
        <v>1230</v>
      </c>
      <c r="O8" s="2175" t="s">
        <v>1160</v>
      </c>
      <c r="P8" s="2184"/>
      <c r="Q8" s="736">
        <f>IF((S8-T8)&gt;=8,R8*6,IF(AND((S8-T8)&lt;8,(S8-T8)&gt;=4),R8*3,0))</f>
        <v>0</v>
      </c>
      <c r="R8" s="2284">
        <v>950000</v>
      </c>
      <c r="S8" s="2300">
        <f t="shared" ref="S8:S23" si="0">HOUR(TEXT(G8-F8,"hh:mm"))+(MINUTE(TEXT(G8-F8,"hh:mm"))/60)</f>
        <v>1.5</v>
      </c>
      <c r="T8" s="2177">
        <v>1.5</v>
      </c>
      <c r="U8" s="2184"/>
      <c r="V8" s="736">
        <f>S8*R8*(100-P8)/100</f>
        <v>1425000</v>
      </c>
      <c r="W8" s="2304">
        <f>(Q8+(((S8-T8)-0)*R8))*((100-P8)/100)</f>
        <v>0</v>
      </c>
      <c r="X8" s="2288">
        <v>45447</v>
      </c>
      <c r="Y8" s="1372"/>
      <c r="Z8" s="1372"/>
      <c r="AA8" s="1372"/>
      <c r="AB8" s="1373"/>
      <c r="AC8" s="1374"/>
      <c r="AD8" s="1372"/>
      <c r="AE8" s="1372"/>
      <c r="AF8" s="1372"/>
      <c r="AG8" s="1372"/>
    </row>
    <row r="9" spans="1:33" s="1375" customFormat="1" ht="27" hidden="1" customHeight="1">
      <c r="A9" s="2169" t="str">
        <f>UPPER(C9)</f>
        <v>CHANEL</v>
      </c>
      <c r="B9" s="2170">
        <f>IF(C9="",0,COUNTA($C$7:C9))</f>
        <v>3</v>
      </c>
      <c r="C9" s="2171" t="s">
        <v>1187</v>
      </c>
      <c r="D9" s="2172" t="s">
        <v>32</v>
      </c>
      <c r="E9" s="2173" t="s">
        <v>1231</v>
      </c>
      <c r="F9" s="2174">
        <v>0.41666666666666669</v>
      </c>
      <c r="G9" s="2174">
        <v>0.45833333333333331</v>
      </c>
      <c r="H9" s="2175" t="s">
        <v>1161</v>
      </c>
      <c r="I9" s="2175" t="s">
        <v>35</v>
      </c>
      <c r="J9" s="2175" t="s">
        <v>1162</v>
      </c>
      <c r="K9" s="2175" t="s">
        <v>37</v>
      </c>
      <c r="L9" s="2175"/>
      <c r="M9" s="2175" t="s">
        <v>1164</v>
      </c>
      <c r="N9" s="2175" t="s">
        <v>1232</v>
      </c>
      <c r="O9" s="2176" t="s">
        <v>1160</v>
      </c>
      <c r="P9" s="2184"/>
      <c r="Q9" s="736">
        <f>IF((S9-T9)&gt;=8,R9*6,IF(AND((S9-T9)&lt;8,(S9-T9)&gt;=4),R9*3,0))</f>
        <v>0</v>
      </c>
      <c r="R9" s="2284">
        <v>950000</v>
      </c>
      <c r="S9" s="2300">
        <f t="shared" si="0"/>
        <v>1</v>
      </c>
      <c r="T9" s="2178">
        <v>1</v>
      </c>
      <c r="U9" s="2184"/>
      <c r="V9" s="736">
        <f>S9*R9*(100-P9)/100</f>
        <v>950000</v>
      </c>
      <c r="W9" s="2179">
        <f>(Q9+(((S9-T9)-0)*R9))*((100-P9)/100)</f>
        <v>0</v>
      </c>
      <c r="X9" s="2288">
        <v>45448</v>
      </c>
      <c r="Y9" s="1372"/>
      <c r="Z9" s="1372"/>
      <c r="AA9" s="1372"/>
      <c r="AB9" s="1373"/>
      <c r="AC9" s="1374"/>
      <c r="AD9" s="1372"/>
      <c r="AE9" s="1372"/>
      <c r="AF9" s="1372"/>
      <c r="AG9" s="1372"/>
    </row>
    <row r="10" spans="1:33" s="1420" customFormat="1" ht="26" hidden="1">
      <c r="A10" s="2169" t="str">
        <f>UPPER(C10)</f>
        <v>CHANEL</v>
      </c>
      <c r="B10" s="2170">
        <f>IF(C10="",0,COUNTA($C$7:C10))</f>
        <v>4</v>
      </c>
      <c r="C10" s="2171" t="s">
        <v>1187</v>
      </c>
      <c r="D10" s="2185" t="s">
        <v>43</v>
      </c>
      <c r="E10" s="2173" t="s">
        <v>1231</v>
      </c>
      <c r="F10" s="2174">
        <v>0.625</v>
      </c>
      <c r="G10" s="2174">
        <v>0.66666666666666663</v>
      </c>
      <c r="H10" s="2175" t="s">
        <v>1189</v>
      </c>
      <c r="I10" s="2175" t="s">
        <v>35</v>
      </c>
      <c r="J10" s="2175" t="s">
        <v>1162</v>
      </c>
      <c r="K10" s="2175" t="s">
        <v>133</v>
      </c>
      <c r="L10" s="2186"/>
      <c r="M10" s="2175" t="s">
        <v>1164</v>
      </c>
      <c r="N10" s="2175" t="s">
        <v>1233</v>
      </c>
      <c r="O10" s="2176" t="s">
        <v>1160</v>
      </c>
      <c r="P10" s="2184"/>
      <c r="Q10" s="736">
        <f>IF((S10-T10)&gt;=8,R10*6,IF(AND((S10-T10)&lt;8,(S10-T10)&gt;=4),R10*3,0))</f>
        <v>0</v>
      </c>
      <c r="R10" s="736">
        <v>500000</v>
      </c>
      <c r="S10" s="2300">
        <f t="shared" si="0"/>
        <v>1</v>
      </c>
      <c r="T10" s="2178">
        <v>1</v>
      </c>
      <c r="U10" s="2184"/>
      <c r="V10" s="736">
        <f>S10*R10*(100-P10)/100</f>
        <v>500000</v>
      </c>
      <c r="W10" s="2179">
        <f>(Q10+(((S10-T10)-0)*R10))*((100-P10)/100)</f>
        <v>0</v>
      </c>
      <c r="X10" s="2288">
        <v>45448</v>
      </c>
      <c r="Y10" s="1372"/>
      <c r="Z10" s="1372"/>
      <c r="AA10" s="1372"/>
      <c r="AB10" s="1373"/>
      <c r="AC10" s="1374"/>
      <c r="AD10" s="1372"/>
      <c r="AE10" s="1372"/>
      <c r="AF10" s="1372"/>
      <c r="AG10" s="1372"/>
    </row>
    <row r="11" spans="1:33" s="1420" customFormat="1" ht="34.5" hidden="1" customHeight="1">
      <c r="A11" s="2187" t="str">
        <f>UPPER(C11)</f>
        <v>CHANEL</v>
      </c>
      <c r="B11" s="2170">
        <f>IF(C11="",0,COUNTA($C$7:C11))</f>
        <v>5</v>
      </c>
      <c r="C11" s="2188" t="s">
        <v>1187</v>
      </c>
      <c r="D11" s="2189" t="s">
        <v>32</v>
      </c>
      <c r="E11" s="2190">
        <v>45450</v>
      </c>
      <c r="F11" s="2191">
        <v>0.375</v>
      </c>
      <c r="G11" s="2191">
        <v>0.625</v>
      </c>
      <c r="H11" s="2175" t="s">
        <v>1161</v>
      </c>
      <c r="I11" s="2175" t="s">
        <v>35</v>
      </c>
      <c r="J11" s="2175" t="s">
        <v>1234</v>
      </c>
      <c r="K11" s="2175" t="s">
        <v>167</v>
      </c>
      <c r="L11" s="2175"/>
      <c r="M11" s="2192" t="s">
        <v>1164</v>
      </c>
      <c r="N11" s="2175" t="s">
        <v>1235</v>
      </c>
      <c r="O11" s="2176" t="s">
        <v>1160</v>
      </c>
      <c r="P11" s="2210"/>
      <c r="Q11" s="521">
        <f>IF((S11-T11)&gt;=8,R11*6,IF(AND((S11-T11)&lt;8,(S11-T11)&gt;=4),R11*3,0))</f>
        <v>0</v>
      </c>
      <c r="R11" s="2284">
        <v>950000</v>
      </c>
      <c r="S11" s="2300">
        <f t="shared" si="0"/>
        <v>6</v>
      </c>
      <c r="T11" s="2194">
        <v>3</v>
      </c>
      <c r="U11" s="2211"/>
      <c r="V11" s="521">
        <f>S11*R11*(100-P11)/100</f>
        <v>5700000</v>
      </c>
      <c r="W11" s="2196">
        <f>(Q11+(((S11-T11)-0)*R11))*((100-P11)/100)</f>
        <v>2850000</v>
      </c>
      <c r="X11" s="2299">
        <v>45450</v>
      </c>
      <c r="Y11" s="1418"/>
      <c r="Z11" s="1417"/>
      <c r="AA11" s="1419"/>
      <c r="AB11" s="1419"/>
      <c r="AC11" s="1419"/>
      <c r="AD11" s="1419"/>
      <c r="AE11" s="1419"/>
      <c r="AF11" s="1419"/>
      <c r="AG11" s="1419"/>
    </row>
    <row r="12" spans="1:33" s="1420" customFormat="1" ht="35.25" hidden="1" customHeight="1">
      <c r="A12" s="2197" t="str">
        <f>UPPER(C12)</f>
        <v>CHANEL</v>
      </c>
      <c r="B12" s="2170">
        <f>IF(C12="",0,COUNTA($C$7:C12))</f>
        <v>6</v>
      </c>
      <c r="C12" s="2204" t="s">
        <v>1187</v>
      </c>
      <c r="D12" s="2205" t="s">
        <v>32</v>
      </c>
      <c r="E12" s="2206" t="s">
        <v>1188</v>
      </c>
      <c r="F12" s="2174">
        <v>0.58333333333333337</v>
      </c>
      <c r="G12" s="2174">
        <v>0.66666666666666663</v>
      </c>
      <c r="H12" s="2207" t="s">
        <v>1189</v>
      </c>
      <c r="I12" s="2175" t="s">
        <v>35</v>
      </c>
      <c r="J12" s="2175" t="s">
        <v>1162</v>
      </c>
      <c r="K12" s="2175" t="s">
        <v>450</v>
      </c>
      <c r="L12" s="2186"/>
      <c r="M12" s="2175" t="s">
        <v>1164</v>
      </c>
      <c r="N12" s="2175" t="s">
        <v>1190</v>
      </c>
      <c r="O12" s="2176" t="s">
        <v>1160</v>
      </c>
      <c r="P12" s="2214"/>
      <c r="Q12" s="521">
        <f>IF((S12-T12)&gt;=8,R12*6,IF(AND((S12-T12)&lt;8,(S12-T12)&gt;=4),R12*3,0))</f>
        <v>0</v>
      </c>
      <c r="R12" s="2284">
        <v>950000</v>
      </c>
      <c r="S12" s="2300">
        <f t="shared" si="0"/>
        <v>2</v>
      </c>
      <c r="T12" s="2194"/>
      <c r="U12" s="2195"/>
      <c r="V12" s="736">
        <f>S12*R12*(100-P12)/100</f>
        <v>1900000</v>
      </c>
      <c r="W12" s="2196">
        <f>(Q12+(((S12-T12)-0)*R12))*((100-P12)/100)</f>
        <v>1900000</v>
      </c>
      <c r="X12" s="2299">
        <v>45454</v>
      </c>
      <c r="Y12" s="1431"/>
      <c r="Z12" s="1419"/>
      <c r="AA12" s="1419"/>
      <c r="AB12" s="1419"/>
      <c r="AC12" s="1419"/>
      <c r="AD12" s="1419"/>
      <c r="AE12" s="1419"/>
      <c r="AF12" s="1419"/>
      <c r="AG12" s="1419"/>
    </row>
    <row r="13" spans="1:33" s="1420" customFormat="1" ht="13">
      <c r="A13" s="2197" t="s">
        <v>124</v>
      </c>
      <c r="B13" s="2170">
        <f>IF(C13="",0,COUNTA($C$7:C13))</f>
        <v>7</v>
      </c>
      <c r="C13" s="2204" t="s">
        <v>124</v>
      </c>
      <c r="D13" s="2205" t="s">
        <v>32</v>
      </c>
      <c r="E13" s="2206" t="s">
        <v>1188</v>
      </c>
      <c r="F13" s="2174">
        <v>0.41666666666666669</v>
      </c>
      <c r="G13" s="2174">
        <v>0.45833333333333331</v>
      </c>
      <c r="H13" s="2207" t="s">
        <v>1191</v>
      </c>
      <c r="I13" s="2175" t="s">
        <v>35</v>
      </c>
      <c r="J13" s="2175" t="s">
        <v>1192</v>
      </c>
      <c r="K13" s="2208" t="s">
        <v>37</v>
      </c>
      <c r="L13" s="2186"/>
      <c r="M13" s="2175"/>
      <c r="N13" s="2175" t="s">
        <v>1193</v>
      </c>
      <c r="O13" s="2176" t="s">
        <v>1160</v>
      </c>
      <c r="P13" s="2214"/>
      <c r="Q13" s="521">
        <f>IF((S13-T13)&gt;=8,R13*6,IF(AND((S13-T13)&lt;8,(S13-T13)&gt;=4),R13*3,0))</f>
        <v>0</v>
      </c>
      <c r="R13" s="2284">
        <v>950000</v>
      </c>
      <c r="S13" s="2300">
        <f t="shared" si="0"/>
        <v>1</v>
      </c>
      <c r="T13" s="2194"/>
      <c r="U13" s="2195"/>
      <c r="V13" s="736">
        <f>S13*R13*(100-P13)/100</f>
        <v>950000</v>
      </c>
      <c r="W13" s="2179">
        <f>(Q13+(((S13-T13)-0)*R13))*((100-P13)/100)</f>
        <v>950000</v>
      </c>
      <c r="X13" s="2295">
        <v>45454</v>
      </c>
      <c r="Y13" s="1806">
        <f>(Q13+((S13-0)*R13))*((100-P13)/100)</f>
        <v>950000</v>
      </c>
      <c r="Z13" s="1805"/>
      <c r="AA13" s="1816"/>
      <c r="AB13" s="1816"/>
      <c r="AC13" s="1816"/>
      <c r="AD13" s="1816"/>
      <c r="AE13" s="1816"/>
      <c r="AF13" s="1816"/>
      <c r="AG13" s="1419"/>
    </row>
    <row r="14" spans="1:33" s="1420" customFormat="1" ht="39.75" hidden="1" customHeight="1">
      <c r="A14" s="2197" t="str">
        <f>UPPER(C14)</f>
        <v>LGS</v>
      </c>
      <c r="B14" s="2170">
        <f>IF(C14="",0,COUNTA($C$7:C14))</f>
        <v>8</v>
      </c>
      <c r="C14" s="2204" t="s">
        <v>38</v>
      </c>
      <c r="D14" s="2205" t="s">
        <v>32</v>
      </c>
      <c r="E14" s="2206" t="s">
        <v>1194</v>
      </c>
      <c r="F14" s="2174">
        <v>0.41666666666666669</v>
      </c>
      <c r="G14" s="2174">
        <v>0.47916666666666669</v>
      </c>
      <c r="H14" s="2207" t="s">
        <v>1147</v>
      </c>
      <c r="I14" s="2175" t="s">
        <v>35</v>
      </c>
      <c r="J14" s="2175" t="s">
        <v>1195</v>
      </c>
      <c r="K14" s="2208" t="s">
        <v>46</v>
      </c>
      <c r="L14" s="2186"/>
      <c r="M14" s="2175" t="s">
        <v>1196</v>
      </c>
      <c r="N14" s="2175" t="s">
        <v>1197</v>
      </c>
      <c r="O14" s="2176" t="s">
        <v>1160</v>
      </c>
      <c r="P14" s="2209"/>
      <c r="Q14" s="521">
        <f>IF((S14-T14)&gt;=8,R14*6,IF(AND((S14-T14)&lt;8,(S14-T14)&gt;=4),R14*3,0))</f>
        <v>0</v>
      </c>
      <c r="R14" s="2284">
        <v>950000</v>
      </c>
      <c r="S14" s="2300">
        <f t="shared" si="0"/>
        <v>1.5</v>
      </c>
      <c r="T14" s="2194">
        <v>1.5</v>
      </c>
      <c r="U14" s="2209"/>
      <c r="V14" s="2203">
        <f>S14*R14*(100-P14)/100</f>
        <v>1425000</v>
      </c>
      <c r="W14" s="2304">
        <f>(Q14+(((S14-T14)-0)*R14))*((100-P14)/100)</f>
        <v>0</v>
      </c>
      <c r="X14" s="2295">
        <v>45457</v>
      </c>
      <c r="Y14" s="1806"/>
      <c r="Z14" s="1805"/>
      <c r="AA14" s="1816"/>
      <c r="AB14" s="1816"/>
      <c r="AC14" s="1816"/>
      <c r="AD14" s="1816"/>
      <c r="AE14" s="1816"/>
      <c r="AF14" s="1816"/>
      <c r="AG14" s="1419"/>
    </row>
    <row r="15" spans="1:33" s="1420" customFormat="1" ht="36.75" hidden="1" customHeight="1">
      <c r="A15" s="2197" t="s">
        <v>47</v>
      </c>
      <c r="B15" s="2170">
        <f>IF(C15="",0,COUNTA($C$7:C15))</f>
        <v>9</v>
      </c>
      <c r="C15" s="2198" t="s">
        <v>47</v>
      </c>
      <c r="D15" s="2199" t="s">
        <v>32</v>
      </c>
      <c r="E15" s="2200" t="s">
        <v>1194</v>
      </c>
      <c r="F15" s="2174">
        <v>0.58333333333333337</v>
      </c>
      <c r="G15" s="2174">
        <v>0.64583333333333337</v>
      </c>
      <c r="H15" s="2201" t="s">
        <v>1189</v>
      </c>
      <c r="I15" s="2175" t="s">
        <v>35</v>
      </c>
      <c r="J15" s="2175" t="s">
        <v>1162</v>
      </c>
      <c r="K15" s="2208" t="s">
        <v>64</v>
      </c>
      <c r="L15" s="2175"/>
      <c r="M15" s="2175" t="s">
        <v>1164</v>
      </c>
      <c r="N15" s="2174" t="s">
        <v>1198</v>
      </c>
      <c r="O15" s="2176" t="s">
        <v>1160</v>
      </c>
      <c r="P15" s="2202"/>
      <c r="Q15" s="521">
        <f>IF((S15-T15)&gt;=8,R15*6,IF(AND((S15-T15)&lt;8,(S15-T15)&gt;=4),R15*3,0))</f>
        <v>0</v>
      </c>
      <c r="R15" s="2284">
        <v>950000</v>
      </c>
      <c r="S15" s="2300">
        <f t="shared" si="0"/>
        <v>1.5</v>
      </c>
      <c r="T15" s="2194"/>
      <c r="U15" s="2202"/>
      <c r="V15" s="2203">
        <f>S15*R15*(100-P15)/100</f>
        <v>1425000</v>
      </c>
      <c r="W15" s="2179">
        <f>(Q15+(((S15-T15)-0)*R15))*((100-P15)/100)</f>
        <v>1425000</v>
      </c>
      <c r="X15" s="2295">
        <v>45457</v>
      </c>
      <c r="Y15" s="1473"/>
      <c r="Z15" s="1419"/>
      <c r="AA15" s="1419"/>
      <c r="AB15" s="1419"/>
      <c r="AC15" s="1419"/>
      <c r="AD15" s="1419"/>
      <c r="AE15" s="1419"/>
      <c r="AF15" s="1419"/>
      <c r="AG15" s="1419"/>
    </row>
    <row r="16" spans="1:33" s="1817" customFormat="1" ht="46.5" hidden="1" customHeight="1">
      <c r="A16" s="2197" t="s">
        <v>89</v>
      </c>
      <c r="B16" s="2170">
        <f>IF(C16="",0,COUNTA($C$7:C16))</f>
        <v>10</v>
      </c>
      <c r="C16" s="2171" t="s">
        <v>89</v>
      </c>
      <c r="D16" s="2212" t="s">
        <v>43</v>
      </c>
      <c r="E16" s="2173" t="s">
        <v>1236</v>
      </c>
      <c r="F16" s="2213">
        <v>0.4375</v>
      </c>
      <c r="G16" s="2213">
        <v>0.45833333333333331</v>
      </c>
      <c r="H16" s="2175" t="s">
        <v>1237</v>
      </c>
      <c r="I16" s="2175" t="s">
        <v>35</v>
      </c>
      <c r="J16" s="2175" t="s">
        <v>1238</v>
      </c>
      <c r="K16" s="2208" t="s">
        <v>76</v>
      </c>
      <c r="L16" s="2175"/>
      <c r="M16" s="2175"/>
      <c r="N16" s="2175" t="s">
        <v>1236</v>
      </c>
      <c r="O16" s="2176" t="s">
        <v>1160</v>
      </c>
      <c r="P16" s="2210"/>
      <c r="Q16" s="521">
        <f>IF((S16-T16)&gt;=8,R16*6,IF(AND((S16-T16)&lt;8,(S16-T16)&gt;=4),R16*3,0))</f>
        <v>0</v>
      </c>
      <c r="R16" s="736">
        <v>500000</v>
      </c>
      <c r="S16" s="2300">
        <f t="shared" si="0"/>
        <v>0.5</v>
      </c>
      <c r="T16" s="2194"/>
      <c r="U16" s="2211"/>
      <c r="V16" s="521">
        <f>S16*R16*(100-P16)/100</f>
        <v>250000</v>
      </c>
      <c r="W16" s="2304">
        <f>(Q16+(((S16-T16)-0)*R16))*((100-P16)/100)</f>
        <v>250000</v>
      </c>
      <c r="X16" s="2288">
        <v>45462</v>
      </c>
      <c r="Y16" s="1473"/>
      <c r="Z16" s="1419"/>
      <c r="AA16" s="1419"/>
      <c r="AB16" s="1419"/>
      <c r="AC16" s="1419"/>
      <c r="AD16" s="1419"/>
      <c r="AE16" s="1419"/>
      <c r="AF16" s="1419"/>
      <c r="AG16" s="1816"/>
    </row>
    <row r="17" spans="1:33" s="1808" customFormat="1" ht="45" hidden="1" customHeight="1">
      <c r="A17" s="2197" t="str">
        <f>UPPER(C17)</f>
        <v>BOOKING.COM</v>
      </c>
      <c r="B17" s="2170">
        <f>IF(C17="",0,COUNTA($C$7:C17))</f>
        <v>11</v>
      </c>
      <c r="C17" s="2204" t="s">
        <v>554</v>
      </c>
      <c r="D17" s="2172" t="s">
        <v>198</v>
      </c>
      <c r="E17" s="2206" t="s">
        <v>1199</v>
      </c>
      <c r="F17" s="2174">
        <v>0.40625</v>
      </c>
      <c r="G17" s="2174">
        <v>0.54166666666666663</v>
      </c>
      <c r="H17" s="2175" t="s">
        <v>1200</v>
      </c>
      <c r="I17" s="2175" t="s">
        <v>35</v>
      </c>
      <c r="J17" s="2175" t="s">
        <v>1201</v>
      </c>
      <c r="K17" s="2208" t="s">
        <v>1202</v>
      </c>
      <c r="L17" s="2175"/>
      <c r="M17" s="2219" t="s">
        <v>1203</v>
      </c>
      <c r="N17" s="2174" t="s">
        <v>1204</v>
      </c>
      <c r="O17" s="2176" t="s">
        <v>1160</v>
      </c>
      <c r="P17" s="2214"/>
      <c r="Q17" s="521">
        <f>IF((S17-T17)&gt;=8,R17*6,IF(AND((S17-T17)&lt;8,(S17-T17)&gt;=4),R17*3,0))</f>
        <v>0</v>
      </c>
      <c r="R17" s="736">
        <v>2200000</v>
      </c>
      <c r="S17" s="2300">
        <f t="shared" si="0"/>
        <v>3.25</v>
      </c>
      <c r="T17" s="2194"/>
      <c r="U17" s="2214"/>
      <c r="V17" s="521">
        <f>S17*R17*(100-P17)/100</f>
        <v>7150000</v>
      </c>
      <c r="W17" s="2179">
        <f>(Q17+(((S17-T17)-0)*R17))*((100-P17)/100)</f>
        <v>7150000</v>
      </c>
      <c r="X17" s="2295">
        <v>45463</v>
      </c>
      <c r="Y17" s="1473"/>
      <c r="Z17" s="1419"/>
      <c r="AA17" s="1419"/>
      <c r="AB17" s="1419"/>
      <c r="AC17" s="1419"/>
      <c r="AD17" s="1419"/>
      <c r="AE17" s="1419"/>
      <c r="AF17" s="1419"/>
      <c r="AG17" s="1816"/>
    </row>
    <row r="18" spans="1:33" s="1420" customFormat="1" ht="61.5" hidden="1" customHeight="1">
      <c r="A18" s="2197" t="s">
        <v>107</v>
      </c>
      <c r="B18" s="2170">
        <f>IF(C18="",0,COUNTA($C$7:C18))</f>
        <v>12</v>
      </c>
      <c r="C18" s="2204" t="s">
        <v>1245</v>
      </c>
      <c r="D18" s="2172" t="s">
        <v>43</v>
      </c>
      <c r="E18" s="2206" t="s">
        <v>1199</v>
      </c>
      <c r="F18" s="2174">
        <v>0.63541666666666663</v>
      </c>
      <c r="G18" s="2174">
        <v>0.67708333333333337</v>
      </c>
      <c r="H18" s="2175" t="s">
        <v>1246</v>
      </c>
      <c r="I18" s="2175" t="s">
        <v>35</v>
      </c>
      <c r="J18" s="2175" t="s">
        <v>1247</v>
      </c>
      <c r="K18" s="2208" t="s">
        <v>76</v>
      </c>
      <c r="L18" s="2175"/>
      <c r="M18" s="2175"/>
      <c r="N18" s="2175" t="s">
        <v>1248</v>
      </c>
      <c r="O18" s="2176" t="s">
        <v>1249</v>
      </c>
      <c r="P18" s="2210"/>
      <c r="Q18" s="521">
        <f>IF((S18-T18)&gt;=8,R18*6,IF(AND((S18-T18)&lt;8,(S18-T18)&gt;=4),R18*3,0))</f>
        <v>0</v>
      </c>
      <c r="R18" s="736">
        <v>500000</v>
      </c>
      <c r="S18" s="2300">
        <f t="shared" si="0"/>
        <v>1</v>
      </c>
      <c r="T18" s="2194"/>
      <c r="U18" s="2211"/>
      <c r="V18" s="521">
        <f>S18*R18*(100-P18)/100</f>
        <v>500000</v>
      </c>
      <c r="W18" s="2304">
        <f>(Q18+(((S18-T18)-0)*R18))*((100-P18)/100)</f>
        <v>500000</v>
      </c>
      <c r="X18" s="2295">
        <v>45463</v>
      </c>
      <c r="Y18" s="1433"/>
      <c r="Z18" s="1372"/>
      <c r="AA18" s="1372"/>
      <c r="AB18" s="1373"/>
      <c r="AC18" s="1374"/>
      <c r="AD18" s="1491"/>
      <c r="AE18" s="1491"/>
      <c r="AF18" s="1491"/>
      <c r="AG18" s="1816"/>
    </row>
    <row r="19" spans="1:33" s="1420" customFormat="1" ht="45" hidden="1" customHeight="1">
      <c r="A19" s="2197" t="str">
        <f>UPPER(C19)</f>
        <v>BOOKING.COM</v>
      </c>
      <c r="B19" s="2170">
        <f>IF(C19="",0,COUNTA($C$7:C19))</f>
        <v>13</v>
      </c>
      <c r="C19" s="2215" t="s">
        <v>554</v>
      </c>
      <c r="D19" s="2216" t="s">
        <v>198</v>
      </c>
      <c r="E19" s="2217" t="s">
        <v>1205</v>
      </c>
      <c r="F19" s="2174">
        <v>0.375</v>
      </c>
      <c r="G19" s="2174">
        <v>0.72916666666666663</v>
      </c>
      <c r="H19" s="2218" t="s">
        <v>1200</v>
      </c>
      <c r="I19" s="2175" t="s">
        <v>35</v>
      </c>
      <c r="J19" s="2175" t="s">
        <v>1206</v>
      </c>
      <c r="K19" s="2175" t="s">
        <v>513</v>
      </c>
      <c r="L19" s="2175"/>
      <c r="M19" s="2175" t="s">
        <v>1207</v>
      </c>
      <c r="N19" s="2174" t="s">
        <v>1208</v>
      </c>
      <c r="O19" s="2175" t="s">
        <v>1160</v>
      </c>
      <c r="P19" s="2175"/>
      <c r="Q19" s="736">
        <f>IF((S19-T19)&gt;=8,R19*6,IF(AND((S19-T19)&lt;8,(S19-T19)&gt;=4),R19*3,0))</f>
        <v>13200000</v>
      </c>
      <c r="R19" s="736">
        <v>2200000</v>
      </c>
      <c r="S19" s="2300">
        <f t="shared" si="0"/>
        <v>8.5</v>
      </c>
      <c r="T19" s="2194"/>
      <c r="U19" s="2194"/>
      <c r="V19" s="521">
        <f>S19*R19*(100-P19)/100</f>
        <v>18700000</v>
      </c>
      <c r="W19" s="2305">
        <f>(Q19+(((S19-T19)-8)*R19))*((100-P19)/100)</f>
        <v>14300000</v>
      </c>
      <c r="X19" s="2296">
        <v>45464</v>
      </c>
      <c r="Y19" s="2157"/>
      <c r="Z19" s="1372"/>
      <c r="AA19" s="1372"/>
      <c r="AB19" s="1372"/>
      <c r="AC19" s="1373"/>
      <c r="AD19" s="1374"/>
      <c r="AE19" s="1372"/>
      <c r="AF19" s="1372"/>
      <c r="AG19" s="1419"/>
    </row>
    <row r="20" spans="1:33" s="1420" customFormat="1" ht="36" hidden="1" customHeight="1">
      <c r="A20" s="2169" t="s">
        <v>1209</v>
      </c>
      <c r="B20" s="2170">
        <f>IF(C20="",0,COUNTA($C$7:C20))</f>
        <v>14</v>
      </c>
      <c r="C20" s="2215" t="s">
        <v>1209</v>
      </c>
      <c r="D20" s="2216" t="s">
        <v>43</v>
      </c>
      <c r="E20" s="2217" t="s">
        <v>1205</v>
      </c>
      <c r="F20" s="2174">
        <v>0.58333333333333337</v>
      </c>
      <c r="G20" s="2174">
        <v>0.625</v>
      </c>
      <c r="H20" s="2218" t="s">
        <v>1210</v>
      </c>
      <c r="I20" s="2175" t="s">
        <v>35</v>
      </c>
      <c r="J20" s="2175" t="s">
        <v>1211</v>
      </c>
      <c r="K20" s="2175" t="s">
        <v>76</v>
      </c>
      <c r="L20" s="2175"/>
      <c r="M20" s="2175"/>
      <c r="N20" s="2174" t="s">
        <v>1212</v>
      </c>
      <c r="O20" s="2175" t="s">
        <v>1160</v>
      </c>
      <c r="P20" s="2202"/>
      <c r="Q20" s="521">
        <f>IF((S20-T20)&gt;=8,R20*6,IF(AND((S20-T20)&lt;8,(S20-T20)&gt;=4),R20*3,0))</f>
        <v>0</v>
      </c>
      <c r="R20" s="736">
        <v>500000</v>
      </c>
      <c r="S20" s="2300">
        <f t="shared" si="0"/>
        <v>1</v>
      </c>
      <c r="T20" s="2194"/>
      <c r="U20" s="2202"/>
      <c r="V20" s="2203">
        <f>S20*R20*(100-P20)/100</f>
        <v>500000</v>
      </c>
      <c r="W20" s="2196">
        <f>(Q20+(((S20-T20)-0)*R20))*((100-P20)/100)</f>
        <v>500000</v>
      </c>
      <c r="X20" s="2296">
        <v>45464</v>
      </c>
      <c r="Y20" s="2155">
        <f>(Q20+((S20-0)*R20))*((100-P20)/100)</f>
        <v>500000</v>
      </c>
      <c r="Z20" s="1419"/>
      <c r="AA20" s="1419"/>
      <c r="AB20" s="1419"/>
      <c r="AC20" s="1419"/>
      <c r="AD20" s="1419"/>
      <c r="AE20" s="1419"/>
      <c r="AF20" s="1419"/>
      <c r="AG20" s="1419"/>
    </row>
    <row r="21" spans="1:33" s="1420" customFormat="1" ht="38.25" hidden="1" customHeight="1">
      <c r="A21" s="2169" t="s">
        <v>47</v>
      </c>
      <c r="B21" s="2170">
        <f>IF(C21="",0,COUNTA($C$7:C21))</f>
        <v>15</v>
      </c>
      <c r="C21" s="2215" t="s">
        <v>47</v>
      </c>
      <c r="D21" s="2216" t="s">
        <v>32</v>
      </c>
      <c r="E21" s="2217" t="s">
        <v>1205</v>
      </c>
      <c r="F21" s="2174">
        <v>0.45833333333333331</v>
      </c>
      <c r="G21" s="2174">
        <v>0.5</v>
      </c>
      <c r="H21" s="2176" t="s">
        <v>1213</v>
      </c>
      <c r="I21" s="2175" t="s">
        <v>35</v>
      </c>
      <c r="J21" s="2175" t="s">
        <v>1166</v>
      </c>
      <c r="K21" s="2175" t="s">
        <v>37</v>
      </c>
      <c r="L21" s="2175"/>
      <c r="M21" s="2175" t="s">
        <v>1164</v>
      </c>
      <c r="N21" s="2174" t="s">
        <v>1214</v>
      </c>
      <c r="O21" s="2175" t="s">
        <v>1160</v>
      </c>
      <c r="P21" s="2202"/>
      <c r="Q21" s="521">
        <f>IF((S21-T21)&gt;=8,R21*6,IF(AND((S21-T21)&lt;8,(S21-T21)&gt;=4),R21*3,0))</f>
        <v>0</v>
      </c>
      <c r="R21" s="2284">
        <v>950000</v>
      </c>
      <c r="S21" s="2300">
        <f t="shared" si="0"/>
        <v>1</v>
      </c>
      <c r="T21" s="2194"/>
      <c r="U21" s="2202"/>
      <c r="V21" s="2203">
        <f>S21*R21*(100-P21)/100</f>
        <v>950000</v>
      </c>
      <c r="W21" s="2196">
        <f>(Q21+(((S21-T21)-0)*R21))*((100-P21)/100)</f>
        <v>950000</v>
      </c>
      <c r="X21" s="2296">
        <v>45464</v>
      </c>
      <c r="Y21" s="2155"/>
      <c r="Z21" s="1419"/>
      <c r="AA21" s="1419"/>
      <c r="AB21" s="1419"/>
      <c r="AC21" s="1419"/>
      <c r="AD21" s="1419"/>
      <c r="AE21" s="1419"/>
      <c r="AF21" s="1419"/>
      <c r="AG21" s="1419"/>
    </row>
    <row r="22" spans="1:33" s="1466" customFormat="1" ht="31.5" hidden="1" customHeight="1">
      <c r="A22" s="2169" t="s">
        <v>47</v>
      </c>
      <c r="B22" s="2170">
        <f>IF(C22="",0,COUNTA($C$7:C22))</f>
        <v>16</v>
      </c>
      <c r="C22" s="2215" t="s">
        <v>47</v>
      </c>
      <c r="D22" s="2216" t="s">
        <v>32</v>
      </c>
      <c r="E22" s="2217" t="s">
        <v>1205</v>
      </c>
      <c r="F22" s="2174">
        <v>0.375</v>
      </c>
      <c r="G22" s="2174">
        <v>0.41666666666666669</v>
      </c>
      <c r="H22" s="2175" t="s">
        <v>1213</v>
      </c>
      <c r="I22" s="2175" t="s">
        <v>35</v>
      </c>
      <c r="J22" s="2175" t="s">
        <v>1166</v>
      </c>
      <c r="K22" s="2175" t="s">
        <v>64</v>
      </c>
      <c r="L22" s="2175"/>
      <c r="M22" s="2175" t="s">
        <v>1164</v>
      </c>
      <c r="N22" s="2174" t="s">
        <v>1215</v>
      </c>
      <c r="O22" s="2175" t="s">
        <v>1160</v>
      </c>
      <c r="P22" s="2202"/>
      <c r="Q22" s="521">
        <f>IF((S22-T22)&gt;=8,R22*6,IF(AND((S22-T22)&lt;8,(S22-T22)&gt;=4),R22*3,0))</f>
        <v>0</v>
      </c>
      <c r="R22" s="2284">
        <v>950000</v>
      </c>
      <c r="S22" s="2300">
        <f t="shared" si="0"/>
        <v>1</v>
      </c>
      <c r="T22" s="2194"/>
      <c r="U22" s="2202"/>
      <c r="V22" s="2203">
        <f>S22*R22*(100-P22)/100</f>
        <v>950000</v>
      </c>
      <c r="W22" s="2196">
        <f>(Q22+(((S22-T22)-0)*R22))*((100-P22)/100)</f>
        <v>950000</v>
      </c>
      <c r="X22" s="2297">
        <v>45464</v>
      </c>
      <c r="Y22" s="2155">
        <f>(Q22+((S22-0)*R22))*((100-P22)/100)</f>
        <v>950000</v>
      </c>
      <c r="Z22" s="1419"/>
      <c r="AA22" s="1419"/>
      <c r="AB22" s="1419"/>
      <c r="AC22" s="1419"/>
      <c r="AD22" s="1419"/>
      <c r="AE22" s="1419"/>
      <c r="AF22" s="1419"/>
      <c r="AG22" s="1419"/>
    </row>
    <row r="23" spans="1:33" s="1420" customFormat="1" ht="30" hidden="1" customHeight="1">
      <c r="A23" s="2169" t="str">
        <f>UPPER(C23)</f>
        <v>CHANEL</v>
      </c>
      <c r="B23" s="2170">
        <f>IF(C23="",0,COUNTA($C$7:C23))</f>
        <v>17</v>
      </c>
      <c r="C23" s="2181" t="s">
        <v>1187</v>
      </c>
      <c r="D23" s="2182" t="s">
        <v>32</v>
      </c>
      <c r="E23" s="2183" t="s">
        <v>1250</v>
      </c>
      <c r="F23" s="2174">
        <v>0.6875</v>
      </c>
      <c r="G23" s="2174">
        <v>0.77083333333333337</v>
      </c>
      <c r="H23" s="2175" t="s">
        <v>1213</v>
      </c>
      <c r="I23" s="2175" t="s">
        <v>35</v>
      </c>
      <c r="J23" s="2175" t="s">
        <v>1166</v>
      </c>
      <c r="K23" s="2175" t="s">
        <v>1149</v>
      </c>
      <c r="L23" s="2186"/>
      <c r="M23" s="2175" t="s">
        <v>1164</v>
      </c>
      <c r="N23" s="2175" t="s">
        <v>1251</v>
      </c>
      <c r="O23" s="2175" t="s">
        <v>1249</v>
      </c>
      <c r="P23" s="2214"/>
      <c r="Q23" s="521">
        <f>IF((S23-T23)&gt;=8,R23*6,IF(AND((S23-T23)&lt;8,(S23-T23)&gt;=4),R23*3,0))</f>
        <v>0</v>
      </c>
      <c r="R23" s="2284">
        <v>950000</v>
      </c>
      <c r="S23" s="2300">
        <f t="shared" si="0"/>
        <v>2</v>
      </c>
      <c r="T23" s="2194"/>
      <c r="U23" s="2214"/>
      <c r="V23" s="521">
        <f>S23*R23*(100-P23)/100</f>
        <v>1900000</v>
      </c>
      <c r="W23" s="2196">
        <f>(Q23+(((S23-T23)-0)*R23))*((100-P23)/100)</f>
        <v>1900000</v>
      </c>
      <c r="X23" s="2294">
        <v>45467</v>
      </c>
      <c r="Y23" s="2157"/>
      <c r="Z23" s="1372"/>
      <c r="AA23" s="1372"/>
      <c r="AB23" s="1373"/>
      <c r="AC23" s="1374"/>
      <c r="AD23" s="1372"/>
      <c r="AE23" s="1372"/>
      <c r="AF23" s="1372"/>
      <c r="AG23" s="1419"/>
    </row>
    <row r="24" spans="1:33" s="1420" customFormat="1" ht="13" hidden="1">
      <c r="A24" s="2169" t="str">
        <f>UPPER(C24)</f>
        <v>CHANEL</v>
      </c>
      <c r="B24" s="2180"/>
      <c r="C24" s="2181" t="s">
        <v>1187</v>
      </c>
      <c r="D24" s="2182" t="s">
        <v>32</v>
      </c>
      <c r="E24" s="2183" t="s">
        <v>1241</v>
      </c>
      <c r="F24" s="2174">
        <v>0.60416666666666663</v>
      </c>
      <c r="G24" s="2174">
        <v>0.6875</v>
      </c>
      <c r="H24" s="2175" t="s">
        <v>1213</v>
      </c>
      <c r="I24" s="2175" t="s">
        <v>35</v>
      </c>
      <c r="J24" s="2175" t="s">
        <v>1166</v>
      </c>
      <c r="K24" s="2175" t="s">
        <v>37</v>
      </c>
      <c r="L24" s="2175"/>
      <c r="M24" s="2175" t="s">
        <v>1164</v>
      </c>
      <c r="N24" s="2220" t="s">
        <v>1242</v>
      </c>
      <c r="O24" s="2175" t="s">
        <v>1243</v>
      </c>
      <c r="P24" s="2210"/>
      <c r="Q24" s="521"/>
      <c r="R24" s="521"/>
      <c r="S24" s="2177"/>
      <c r="T24" s="2194"/>
      <c r="U24" s="2211"/>
      <c r="V24" s="521">
        <f>S24*R24*(100-P24)/100</f>
        <v>0</v>
      </c>
      <c r="W24" s="2196">
        <f>(Q24+(((S24-T24)-0)*R24))*((100-P24)/100)</f>
        <v>0</v>
      </c>
      <c r="X24" s="2294">
        <v>45468</v>
      </c>
      <c r="Y24" s="2156"/>
      <c r="Z24" s="1419"/>
      <c r="AA24" s="1419"/>
      <c r="AB24" s="1419"/>
      <c r="AC24" s="1419"/>
      <c r="AD24" s="1419"/>
      <c r="AE24" s="1419"/>
      <c r="AF24" s="1419"/>
      <c r="AG24" s="1419"/>
    </row>
    <row r="25" spans="1:33" s="1808" customFormat="1" ht="26" hidden="1">
      <c r="A25" s="2169" t="s">
        <v>266</v>
      </c>
      <c r="B25" s="2180">
        <v>24</v>
      </c>
      <c r="C25" s="2181" t="s">
        <v>266</v>
      </c>
      <c r="D25" s="2182" t="s">
        <v>43</v>
      </c>
      <c r="E25" s="2183">
        <v>45468</v>
      </c>
      <c r="F25" s="2174">
        <v>0.375</v>
      </c>
      <c r="G25" s="2174">
        <v>0.47916666666666669</v>
      </c>
      <c r="H25" s="1912" t="s">
        <v>2208</v>
      </c>
      <c r="I25" s="1912" t="s">
        <v>35</v>
      </c>
      <c r="J25" s="1912" t="s">
        <v>2209</v>
      </c>
      <c r="K25" s="1912" t="s">
        <v>133</v>
      </c>
      <c r="L25" s="2222"/>
      <c r="M25" s="2175"/>
      <c r="N25" s="2220" t="s">
        <v>2210</v>
      </c>
      <c r="O25" s="2175" t="s">
        <v>1160</v>
      </c>
      <c r="P25" s="2210"/>
      <c r="Q25" s="521">
        <f>IF((S25-T25)&gt;=8,R25*6,IF(AND((S25-T25)&lt;8,(S25-T25)&gt;=4),R25*3,0))</f>
        <v>0</v>
      </c>
      <c r="R25" s="521"/>
      <c r="S25" s="2177">
        <f>(G25-F25)/100</f>
        <v>1.0416666666666669E-3</v>
      </c>
      <c r="T25" s="2194"/>
      <c r="U25" s="2211"/>
      <c r="V25" s="521">
        <f>S25*R25*(100-P25)/100</f>
        <v>0</v>
      </c>
      <c r="W25" s="2196">
        <f>(Q25+(((S25-T25)-4)*R25))*((100-P25)/100)</f>
        <v>0</v>
      </c>
      <c r="X25" s="2294">
        <v>45468</v>
      </c>
      <c r="Y25" s="2156"/>
      <c r="Z25" s="1419"/>
      <c r="AA25" s="1419"/>
      <c r="AB25" s="1419"/>
      <c r="AC25" s="1419"/>
      <c r="AD25" s="1419"/>
      <c r="AE25" s="1419"/>
      <c r="AF25" s="1419"/>
      <c r="AG25" s="1419"/>
    </row>
    <row r="26" spans="1:33" s="1808" customFormat="1" ht="26" hidden="1">
      <c r="A26" s="2169" t="str">
        <f>UPPER(C26)</f>
        <v>CHANEL</v>
      </c>
      <c r="B26" s="2180"/>
      <c r="C26" s="2181" t="s">
        <v>1187</v>
      </c>
      <c r="D26" s="2182" t="s">
        <v>32</v>
      </c>
      <c r="E26" s="2183" t="s">
        <v>1244</v>
      </c>
      <c r="F26" s="2174">
        <v>0.5625</v>
      </c>
      <c r="G26" s="2174">
        <v>0.66666666666666663</v>
      </c>
      <c r="H26" s="2176" t="s">
        <v>1213</v>
      </c>
      <c r="I26" s="2175" t="s">
        <v>35</v>
      </c>
      <c r="J26" s="2175" t="s">
        <v>1166</v>
      </c>
      <c r="K26" s="2175" t="s">
        <v>37</v>
      </c>
      <c r="L26" s="2175"/>
      <c r="M26" s="2175" t="s">
        <v>1164</v>
      </c>
      <c r="N26" s="2220" t="s">
        <v>1242</v>
      </c>
      <c r="O26" s="2175" t="s">
        <v>1160</v>
      </c>
      <c r="P26" s="2210"/>
      <c r="Q26" s="521">
        <f>IF((S26-T26)&gt;=8,R26*6,IF(AND((S26-T26)&lt;8,(S26-T26)&gt;=4),R26*3,0))</f>
        <v>0</v>
      </c>
      <c r="R26" s="521"/>
      <c r="S26" s="2177">
        <f>(G26-F26)/100</f>
        <v>1.0416666666666662E-3</v>
      </c>
      <c r="T26" s="2194"/>
      <c r="U26" s="2211"/>
      <c r="V26" s="521">
        <f>S26*R26*(100-P26)/100</f>
        <v>0</v>
      </c>
      <c r="W26" s="2196">
        <f>(Q26+(((S26-T26)-0)*R26))*((100-P26)/100)</f>
        <v>0</v>
      </c>
      <c r="X26" s="2294">
        <v>45469</v>
      </c>
      <c r="Y26" s="1810"/>
      <c r="Z26" s="1805"/>
      <c r="AA26" s="1816"/>
      <c r="AB26" s="1816"/>
      <c r="AC26" s="1816"/>
      <c r="AD26" s="1816"/>
      <c r="AE26" s="1816"/>
      <c r="AF26" s="1816"/>
      <c r="AG26" s="1419"/>
    </row>
    <row r="27" spans="1:33" s="1817" customFormat="1" ht="26" hidden="1">
      <c r="A27" s="2169" t="str">
        <f>UPPER(C27)</f>
        <v>CHANEL</v>
      </c>
      <c r="B27" s="2180"/>
      <c r="C27" s="2181" t="s">
        <v>1187</v>
      </c>
      <c r="D27" s="2182" t="s">
        <v>43</v>
      </c>
      <c r="E27" s="2183" t="s">
        <v>1239</v>
      </c>
      <c r="F27" s="2174">
        <v>0.66666666666666663</v>
      </c>
      <c r="G27" s="2174">
        <v>0.72916666666666663</v>
      </c>
      <c r="H27" s="2176" t="s">
        <v>1189</v>
      </c>
      <c r="I27" s="2175" t="s">
        <v>35</v>
      </c>
      <c r="J27" s="2175" t="s">
        <v>1162</v>
      </c>
      <c r="K27" s="2175" t="s">
        <v>46</v>
      </c>
      <c r="L27" s="2175"/>
      <c r="M27" s="2175" t="s">
        <v>1164</v>
      </c>
      <c r="N27" s="2220" t="s">
        <v>1240</v>
      </c>
      <c r="O27" s="2175" t="s">
        <v>1160</v>
      </c>
      <c r="P27" s="2210"/>
      <c r="Q27" s="521">
        <f>IF((S27-T27)&gt;=8,R27*6,IF(AND((S27-T27)&lt;8,(S27-T27)&gt;=4),R27*3,0))</f>
        <v>0</v>
      </c>
      <c r="R27" s="521"/>
      <c r="S27" s="2177">
        <f>(G27-F27)/100</f>
        <v>6.2500000000000001E-4</v>
      </c>
      <c r="T27" s="2194"/>
      <c r="U27" s="2211"/>
      <c r="V27" s="521">
        <f>S27*R27*(100-P27)/100</f>
        <v>0</v>
      </c>
      <c r="W27" s="2196">
        <f>(Q27+(((S27-T27)-0)*R27))*((100-P27)/100)</f>
        <v>0</v>
      </c>
      <c r="X27" s="2294">
        <v>45469</v>
      </c>
      <c r="Y27" s="1440">
        <f>(Q27+((S27-0)*R27))*((100-P27)/100)</f>
        <v>0</v>
      </c>
      <c r="Z27" s="1419"/>
      <c r="AA27" s="1419"/>
      <c r="AB27" s="1419"/>
      <c r="AC27" s="1419"/>
      <c r="AD27" s="1419"/>
      <c r="AE27" s="1419"/>
      <c r="AF27" s="1419"/>
      <c r="AG27" s="1419"/>
    </row>
    <row r="28" spans="1:33" s="1817" customFormat="1" ht="27.75" hidden="1" customHeight="1">
      <c r="A28" s="2169" t="s">
        <v>266</v>
      </c>
      <c r="B28" s="2180">
        <v>25</v>
      </c>
      <c r="C28" s="2298" t="s">
        <v>266</v>
      </c>
      <c r="D28" s="2182" t="s">
        <v>43</v>
      </c>
      <c r="E28" s="2183">
        <v>45469</v>
      </c>
      <c r="F28" s="2174">
        <v>0.5625</v>
      </c>
      <c r="G28" s="2174">
        <v>0.66666666666666663</v>
      </c>
      <c r="H28" s="2176" t="s">
        <v>2208</v>
      </c>
      <c r="I28" s="2175" t="s">
        <v>35</v>
      </c>
      <c r="J28" s="2175" t="s">
        <v>2209</v>
      </c>
      <c r="K28" s="2175" t="s">
        <v>133</v>
      </c>
      <c r="L28" s="2222"/>
      <c r="M28" s="2175"/>
      <c r="N28" s="2220" t="s">
        <v>2210</v>
      </c>
      <c r="O28" s="2175" t="s">
        <v>1160</v>
      </c>
      <c r="P28" s="2210"/>
      <c r="Q28" s="521">
        <f>IF((S28-T28)&gt;=8,R28*6,IF(AND((S28-T28)&lt;8,(S28-T28)&gt;=4),R28*3,0))</f>
        <v>0</v>
      </c>
      <c r="R28" s="521"/>
      <c r="S28" s="2177">
        <f>(G28-F28)/100</f>
        <v>1.0416666666666662E-3</v>
      </c>
      <c r="T28" s="2194"/>
      <c r="U28" s="2211"/>
      <c r="V28" s="521">
        <f>S28*R28*(100-P28)/100</f>
        <v>0</v>
      </c>
      <c r="W28" s="2196">
        <f>(Q28+(((S28-T28)-4)*R28))*((100-P28)/100)</f>
        <v>0</v>
      </c>
      <c r="X28" s="2294">
        <v>45469</v>
      </c>
      <c r="Y28" s="1418"/>
      <c r="Z28" s="1417"/>
      <c r="AA28" s="1419"/>
      <c r="AB28" s="1419"/>
      <c r="AC28" s="1419"/>
      <c r="AD28" s="1419"/>
      <c r="AE28" s="1419"/>
      <c r="AF28" s="1419"/>
      <c r="AG28" s="1419"/>
    </row>
    <row r="29" spans="1:33" s="1492" customFormat="1" ht="35.25" hidden="1" customHeight="1">
      <c r="A29" s="2169" t="str">
        <f>UPPER(C29)</f>
        <v>CHANEL</v>
      </c>
      <c r="B29" s="2180"/>
      <c r="C29" s="2181" t="s">
        <v>1187</v>
      </c>
      <c r="D29" s="2182" t="s">
        <v>32</v>
      </c>
      <c r="E29" s="2183" t="s">
        <v>1216</v>
      </c>
      <c r="F29" s="2174">
        <v>0.54166666666666663</v>
      </c>
      <c r="G29" s="2174">
        <v>0.79166666666666663</v>
      </c>
      <c r="H29" s="2176" t="s">
        <v>1217</v>
      </c>
      <c r="I29" s="2175" t="s">
        <v>35</v>
      </c>
      <c r="J29" s="2175" t="s">
        <v>1166</v>
      </c>
      <c r="K29" s="2175" t="s">
        <v>1218</v>
      </c>
      <c r="L29" s="2186"/>
      <c r="M29" s="2175" t="s">
        <v>1164</v>
      </c>
      <c r="N29" s="2175" t="s">
        <v>1219</v>
      </c>
      <c r="O29" s="2175" t="s">
        <v>1220</v>
      </c>
      <c r="P29" s="2209"/>
      <c r="Q29" s="521">
        <f>IF((S29-T29)&gt;=8,R29*6,IF(AND((S29-T29)&lt;8,(S29-T29)&gt;=4),R29*3,0))</f>
        <v>0</v>
      </c>
      <c r="R29" s="521"/>
      <c r="S29" s="2177">
        <f>(G29-F29)/100</f>
        <v>2.5000000000000001E-3</v>
      </c>
      <c r="T29" s="2194"/>
      <c r="U29" s="2209"/>
      <c r="V29" s="2203">
        <f>S29*R29*(100-P29)/100</f>
        <v>0</v>
      </c>
      <c r="W29" s="2196">
        <f>(Q29+(((S29-T29)-0)*R29))*((100-P29)/100)</f>
        <v>0</v>
      </c>
      <c r="X29" s="2294">
        <v>45470</v>
      </c>
      <c r="Y29" s="1418"/>
      <c r="Z29" s="1417"/>
      <c r="AA29" s="1419"/>
      <c r="AB29" s="1419"/>
      <c r="AC29" s="1419"/>
      <c r="AD29" s="1419"/>
      <c r="AE29" s="1419"/>
      <c r="AF29" s="1419"/>
      <c r="AG29" s="1491"/>
    </row>
    <row r="30" spans="1:33" s="1466" customFormat="1" ht="39" hidden="1">
      <c r="A30" s="2169" t="s">
        <v>1221</v>
      </c>
      <c r="B30" s="2169"/>
      <c r="C30" s="2215" t="s">
        <v>1221</v>
      </c>
      <c r="D30" s="2216" t="s">
        <v>1154</v>
      </c>
      <c r="E30" s="2217" t="s">
        <v>1222</v>
      </c>
      <c r="F30" s="2174">
        <v>0.58333333333333337</v>
      </c>
      <c r="G30" s="2174">
        <v>0.66666666666666663</v>
      </c>
      <c r="H30" s="2218" t="s">
        <v>1223</v>
      </c>
      <c r="I30" s="2175" t="s">
        <v>35</v>
      </c>
      <c r="J30" s="2175" t="s">
        <v>1201</v>
      </c>
      <c r="K30" s="2175" t="s">
        <v>1224</v>
      </c>
      <c r="L30" s="2175" t="s">
        <v>1225</v>
      </c>
      <c r="M30" s="2175"/>
      <c r="N30" s="2221" t="s">
        <v>2211</v>
      </c>
      <c r="O30" s="2175" t="s">
        <v>1160</v>
      </c>
      <c r="P30" s="2202"/>
      <c r="Q30" s="521">
        <f>IF((S30-T30)&gt;=8,R30*6,IF(AND((S30-T30)&lt;8,(S30-T30)&gt;=4),R30*3,0))</f>
        <v>0</v>
      </c>
      <c r="R30" s="2193"/>
      <c r="S30" s="2177">
        <f>(G30-F30)/100</f>
        <v>8.3333333333333263E-4</v>
      </c>
      <c r="T30" s="2194"/>
      <c r="U30" s="2202"/>
      <c r="V30" s="2203">
        <f>S30*R30*(100-P30)/100</f>
        <v>0</v>
      </c>
      <c r="W30" s="2196">
        <f>(Q30+(((S30-T30)-0)*R30))*((100-P30)/100)</f>
        <v>0</v>
      </c>
      <c r="X30" s="2297">
        <v>45471</v>
      </c>
      <c r="Y30" s="1419"/>
      <c r="Z30" s="1419"/>
      <c r="AA30" s="1419"/>
      <c r="AB30" s="1419"/>
      <c r="AC30" s="1419"/>
      <c r="AD30" s="1807"/>
      <c r="AE30" s="1807"/>
      <c r="AF30" s="1807"/>
    </row>
    <row r="31" spans="1:33" s="1808" customFormat="1" ht="13" hidden="1">
      <c r="A31" s="2169" t="str">
        <f>UPPER(C31)</f>
        <v>CHANEL</v>
      </c>
      <c r="B31" s="2180"/>
      <c r="C31" s="2228" t="s">
        <v>1187</v>
      </c>
      <c r="D31" s="2182" t="s">
        <v>32</v>
      </c>
      <c r="E31" s="2183" t="s">
        <v>1222</v>
      </c>
      <c r="F31" s="2174">
        <v>0.54166666666666663</v>
      </c>
      <c r="G31" s="2174">
        <v>0.70833333333333337</v>
      </c>
      <c r="H31" s="2176" t="s">
        <v>1213</v>
      </c>
      <c r="I31" s="2175" t="s">
        <v>35</v>
      </c>
      <c r="J31" s="2175" t="s">
        <v>1166</v>
      </c>
      <c r="K31" s="2175" t="s">
        <v>1218</v>
      </c>
      <c r="L31" s="2186"/>
      <c r="M31" s="2175" t="s">
        <v>1164</v>
      </c>
      <c r="N31" s="2220" t="s">
        <v>1219</v>
      </c>
      <c r="O31" s="2175" t="s">
        <v>1160</v>
      </c>
      <c r="P31" s="2209"/>
      <c r="Q31" s="521">
        <f>IF((S31-T31)&gt;=8,R31*6,IF(AND((S31-T31)&lt;8,(S31-T31)&gt;=4),R31*3,0))</f>
        <v>0</v>
      </c>
      <c r="R31" s="521"/>
      <c r="S31" s="2177">
        <f>(G31-F31)/100</f>
        <v>1.6666666666666674E-3</v>
      </c>
      <c r="T31" s="2194"/>
      <c r="U31" s="2209"/>
      <c r="V31" s="2203">
        <f>S31*R31*(100-P31)/100</f>
        <v>0</v>
      </c>
      <c r="W31" s="2196">
        <f>(Q31+(((S31-T31)-0)*R31))*((100-P31)/100)</f>
        <v>0</v>
      </c>
      <c r="X31" s="2297">
        <v>45471</v>
      </c>
      <c r="Y31" s="1419"/>
      <c r="Z31" s="1419"/>
      <c r="AA31" s="1419"/>
      <c r="AB31" s="1419"/>
      <c r="AC31" s="1419"/>
      <c r="AD31" s="1807"/>
      <c r="AE31" s="1807"/>
      <c r="AF31" s="1807"/>
      <c r="AG31" s="1807"/>
    </row>
    <row r="32" spans="1:33" s="1420" customFormat="1" ht="13" hidden="1">
      <c r="A32" s="2169"/>
      <c r="B32" s="2180">
        <v>26</v>
      </c>
      <c r="C32" s="2181"/>
      <c r="D32" s="2182"/>
      <c r="E32" s="2183"/>
      <c r="F32" s="2174"/>
      <c r="G32" s="2174"/>
      <c r="H32" s="2176"/>
      <c r="I32" s="2175"/>
      <c r="J32" s="2175"/>
      <c r="K32" s="2175"/>
      <c r="L32" s="2222"/>
      <c r="M32" s="2175"/>
      <c r="N32" s="2220"/>
      <c r="O32" s="2175"/>
      <c r="P32" s="2210"/>
      <c r="Q32" s="521">
        <f>IF((S32-T32)&gt;=8,R32*6,IF(AND((S32-T32)&lt;8,(S32-T32)&gt;=4),R32*3,0))</f>
        <v>0</v>
      </c>
      <c r="R32" s="521"/>
      <c r="S32" s="2177">
        <f>(G32-F32)/100</f>
        <v>0</v>
      </c>
      <c r="T32" s="2194"/>
      <c r="U32" s="2211"/>
      <c r="V32" s="521">
        <f>S32*R32*(100-P32)/100</f>
        <v>0</v>
      </c>
      <c r="W32" s="2196">
        <f>(Q32+(((S32-T32)-0)*R32))*((100-P32)/100)</f>
        <v>0</v>
      </c>
      <c r="X32" s="2289"/>
      <c r="Y32" s="1419"/>
      <c r="Z32" s="1419"/>
      <c r="AA32" s="1419"/>
      <c r="AB32" s="1419"/>
      <c r="AC32" s="1419"/>
      <c r="AD32" s="1419"/>
      <c r="AE32" s="1419"/>
      <c r="AF32" s="1419"/>
      <c r="AG32" s="1419"/>
    </row>
    <row r="33" spans="1:32" s="1420" customFormat="1" ht="13" hidden="1">
      <c r="A33" s="2169"/>
      <c r="B33" s="2180">
        <v>27</v>
      </c>
      <c r="C33" s="2181"/>
      <c r="D33" s="2182"/>
      <c r="E33" s="2183"/>
      <c r="F33" s="2174"/>
      <c r="G33" s="2174"/>
      <c r="H33" s="2176"/>
      <c r="I33" s="2175"/>
      <c r="J33" s="2175"/>
      <c r="K33" s="2175"/>
      <c r="L33" s="2222"/>
      <c r="M33" s="2175"/>
      <c r="N33" s="2220"/>
      <c r="O33" s="2175"/>
      <c r="P33" s="2210"/>
      <c r="Q33" s="521">
        <f>IF((S33-T33)&gt;=8,R33*6,IF(AND((S33-T33)&lt;8,(S33-T33)&gt;=4),R33*3,0))</f>
        <v>0</v>
      </c>
      <c r="R33" s="521"/>
      <c r="S33" s="2177">
        <f>(G33-F33)/100</f>
        <v>0</v>
      </c>
      <c r="T33" s="2194"/>
      <c r="U33" s="2211"/>
      <c r="V33" s="521">
        <f>S33*R33*(100-P33)/100</f>
        <v>0</v>
      </c>
      <c r="W33" s="2196">
        <f>(Q33+(((S33-T33)-0)*R33))*((100-P33)/100)</f>
        <v>0</v>
      </c>
      <c r="X33" s="2289"/>
      <c r="Y33" s="1419"/>
      <c r="Z33" s="1419"/>
      <c r="AA33" s="1419"/>
      <c r="AB33" s="1419"/>
      <c r="AC33" s="1419"/>
      <c r="AD33" s="1491"/>
      <c r="AE33" s="1491"/>
      <c r="AF33" s="1491"/>
    </row>
    <row r="34" spans="1:32" s="1420" customFormat="1" ht="13" hidden="1">
      <c r="A34" s="2169"/>
      <c r="B34" s="2180">
        <v>28</v>
      </c>
      <c r="C34" s="2181"/>
      <c r="D34" s="2182"/>
      <c r="E34" s="2183"/>
      <c r="F34" s="2174"/>
      <c r="G34" s="2174"/>
      <c r="H34" s="2176"/>
      <c r="I34" s="2175"/>
      <c r="J34" s="2175"/>
      <c r="K34" s="2175"/>
      <c r="L34" s="2222"/>
      <c r="M34" s="2175"/>
      <c r="N34" s="2220"/>
      <c r="O34" s="2175"/>
      <c r="P34" s="2210"/>
      <c r="Q34" s="521">
        <f>IF((S34-T34)&gt;=8,R34*6,IF(AND((S34-T34)&lt;8,(S34-T34)&gt;=4),R34*3,0))</f>
        <v>0</v>
      </c>
      <c r="R34" s="521"/>
      <c r="S34" s="2177">
        <f>(G34-F34)/100</f>
        <v>0</v>
      </c>
      <c r="T34" s="2194"/>
      <c r="U34" s="2211"/>
      <c r="V34" s="521">
        <f>S34*R34*(100-P34)/100</f>
        <v>0</v>
      </c>
      <c r="W34" s="2196">
        <f>(Q34+((S34-0)*R34))*((100-P34)/100)</f>
        <v>0</v>
      </c>
      <c r="X34" s="2289"/>
      <c r="Y34" s="1419"/>
      <c r="Z34" s="1419"/>
      <c r="AA34" s="1419"/>
      <c r="AB34" s="1419"/>
      <c r="AC34" s="1419"/>
      <c r="AD34" s="1466"/>
      <c r="AE34" s="1466"/>
      <c r="AF34" s="1466"/>
    </row>
    <row r="35" spans="1:32" s="1420" customFormat="1" ht="13" hidden="1">
      <c r="A35" s="2169"/>
      <c r="B35" s="2180">
        <v>29</v>
      </c>
      <c r="C35" s="2181"/>
      <c r="D35" s="2182"/>
      <c r="E35" s="2183"/>
      <c r="F35" s="2174"/>
      <c r="G35" s="2174"/>
      <c r="H35" s="2176"/>
      <c r="I35" s="2175"/>
      <c r="J35" s="2175"/>
      <c r="K35" s="2175"/>
      <c r="L35" s="2186"/>
      <c r="M35" s="2175"/>
      <c r="N35" s="2220"/>
      <c r="O35" s="2175"/>
      <c r="P35" s="2214"/>
      <c r="Q35" s="521">
        <f>IF((S35-T35)&gt;=8,R35*6,IF(AND((S35-T35)&lt;8,(S35-T35)&gt;=4),R35*3,0))</f>
        <v>0</v>
      </c>
      <c r="R35" s="521"/>
      <c r="S35" s="2177">
        <f>(G35-F35)/100</f>
        <v>0</v>
      </c>
      <c r="T35" s="2194"/>
      <c r="U35" s="2214"/>
      <c r="V35" s="521">
        <f>S35*R35*(100-P35)/100</f>
        <v>0</v>
      </c>
      <c r="W35" s="2196">
        <f>(Q35+(((S35-T35)-8)*R35))*((100-P35)/100)</f>
        <v>0</v>
      </c>
      <c r="X35" s="2290"/>
      <c r="Y35" s="1372"/>
      <c r="Z35" s="1372"/>
      <c r="AA35" s="1372"/>
      <c r="AB35" s="1373"/>
      <c r="AC35" s="1374"/>
      <c r="AD35" s="1419"/>
      <c r="AE35" s="1419"/>
      <c r="AF35" s="1419"/>
    </row>
    <row r="36" spans="1:32" s="1420" customFormat="1" ht="13" hidden="1">
      <c r="A36" s="2169"/>
      <c r="B36" s="2180">
        <v>30</v>
      </c>
      <c r="C36" s="2181"/>
      <c r="D36" s="2182"/>
      <c r="E36" s="2183"/>
      <c r="F36" s="2174"/>
      <c r="G36" s="2174"/>
      <c r="H36" s="2176"/>
      <c r="I36" s="2175"/>
      <c r="J36" s="2175"/>
      <c r="K36" s="2175"/>
      <c r="L36" s="2186"/>
      <c r="M36" s="2175"/>
      <c r="N36" s="2220"/>
      <c r="O36" s="2175"/>
      <c r="P36" s="2223"/>
      <c r="Q36" s="521">
        <f>IF((S36-T36)&gt;=8,R36*6,IF(AND((S36-T36)&lt;8,(S36-T36)&gt;=4),R36*3,0))</f>
        <v>0</v>
      </c>
      <c r="R36" s="521"/>
      <c r="S36" s="2177">
        <f>(G36-F36)/100</f>
        <v>0</v>
      </c>
      <c r="T36" s="2194"/>
      <c r="U36" s="2242"/>
      <c r="V36" s="999">
        <f>S36*R36*(100-P36)/100</f>
        <v>0</v>
      </c>
      <c r="W36" s="2196">
        <f>(Q36+(((S36-T36)-8)*R36))*((100-P36)/100)</f>
        <v>0</v>
      </c>
      <c r="X36" s="2289"/>
      <c r="Y36" s="1419"/>
      <c r="Z36" s="1419"/>
      <c r="AA36" s="1419"/>
      <c r="AB36" s="1419"/>
      <c r="AC36" s="1419"/>
      <c r="AD36" s="1419"/>
      <c r="AE36" s="1419"/>
      <c r="AF36" s="1419"/>
    </row>
    <row r="37" spans="1:32" s="1420" customFormat="1" ht="13" hidden="1">
      <c r="A37" s="2169"/>
      <c r="B37" s="2180"/>
      <c r="C37" s="2181"/>
      <c r="D37" s="2182"/>
      <c r="E37" s="2183"/>
      <c r="F37" s="2174"/>
      <c r="G37" s="2174"/>
      <c r="H37" s="2176"/>
      <c r="I37" s="2175"/>
      <c r="J37" s="2175"/>
      <c r="K37" s="2175"/>
      <c r="L37" s="2222"/>
      <c r="M37" s="2175"/>
      <c r="N37" s="2220"/>
      <c r="O37" s="2175"/>
      <c r="P37" s="2224"/>
      <c r="Q37" s="521">
        <f>IF((S37-T37)&gt;=8,R37*6,IF(AND((S37-T37)&lt;8,(S37-T37)&gt;=4),R37*3,0))</f>
        <v>0</v>
      </c>
      <c r="R37" s="521"/>
      <c r="S37" s="2177">
        <f>(G37-F37)/100</f>
        <v>0</v>
      </c>
      <c r="T37" s="2194"/>
      <c r="U37" s="2243"/>
      <c r="V37" s="521">
        <f>S37*R37*(100-P37)/100</f>
        <v>0</v>
      </c>
      <c r="W37" s="2196">
        <f>(Q37+(((S37-T37)-0)*R37))*((100-P37)/100)</f>
        <v>0</v>
      </c>
      <c r="X37" s="90"/>
      <c r="Y37" s="1418"/>
      <c r="Z37" s="1417"/>
      <c r="AA37" s="1419"/>
      <c r="AB37" s="1419"/>
      <c r="AC37" s="1419"/>
      <c r="AD37" s="1419"/>
      <c r="AE37" s="1419"/>
      <c r="AF37" s="1419"/>
    </row>
    <row r="38" spans="1:32" s="1420" customFormat="1" ht="13" hidden="1">
      <c r="A38" s="2169"/>
      <c r="B38" s="2180"/>
      <c r="C38" s="2181"/>
      <c r="D38" s="2182"/>
      <c r="E38" s="2183"/>
      <c r="F38" s="2174"/>
      <c r="G38" s="2174"/>
      <c r="H38" s="2176"/>
      <c r="I38" s="2175"/>
      <c r="J38" s="2175"/>
      <c r="K38" s="2175"/>
      <c r="L38" s="2222"/>
      <c r="M38" s="2175"/>
      <c r="N38" s="2220"/>
      <c r="O38" s="2175"/>
      <c r="P38" s="521"/>
      <c r="Q38" s="521">
        <f>IF((S38-T38)&gt;=8,R38*6,IF(AND((S38-T38)&lt;8,(S38-T38)&gt;=4),R38*3,0))</f>
        <v>0</v>
      </c>
      <c r="R38" s="521"/>
      <c r="S38" s="2177">
        <f>(G38-F38)/100</f>
        <v>0</v>
      </c>
      <c r="T38" s="2194"/>
      <c r="U38" s="2244"/>
      <c r="V38" s="2203">
        <f>S38*R38*(100-P38)/100</f>
        <v>0</v>
      </c>
      <c r="W38" s="2196">
        <f>(Q38+(((S38-T38)-0)*R38))*((100-P38)/100)</f>
        <v>0</v>
      </c>
      <c r="X38" s="90"/>
      <c r="Y38" s="1439"/>
      <c r="Z38" s="1417"/>
      <c r="AA38" s="1419"/>
      <c r="AB38" s="1419"/>
      <c r="AC38" s="1419"/>
      <c r="AD38" s="1419"/>
      <c r="AE38" s="1419"/>
      <c r="AF38" s="1419"/>
    </row>
    <row r="39" spans="1:32" s="1420" customFormat="1" ht="13" hidden="1">
      <c r="A39" s="2169"/>
      <c r="B39" s="2180"/>
      <c r="C39" s="2181"/>
      <c r="D39" s="2182"/>
      <c r="E39" s="2183"/>
      <c r="F39" s="2174"/>
      <c r="G39" s="2174"/>
      <c r="H39" s="2176"/>
      <c r="I39" s="2175"/>
      <c r="J39" s="2175"/>
      <c r="K39" s="2175"/>
      <c r="L39" s="2222"/>
      <c r="M39" s="2175"/>
      <c r="N39" s="2220"/>
      <c r="O39" s="2175"/>
      <c r="P39" s="2225"/>
      <c r="Q39" s="521">
        <f>IF((S39-T39)&gt;=8,R39*6,IF(AND((S39-T39)&lt;8,(S39-T39)&gt;=4),R39*3,0))</f>
        <v>0</v>
      </c>
      <c r="R39" s="521"/>
      <c r="S39" s="2177">
        <f>(G39-F39)/100</f>
        <v>0</v>
      </c>
      <c r="T39" s="2194"/>
      <c r="U39" s="2245"/>
      <c r="V39" s="993">
        <f>S39*R39*(100-P39)/100</f>
        <v>0</v>
      </c>
      <c r="W39" s="2196">
        <f>(Q39+((S39-8)*R39))*((100-P39)/100)</f>
        <v>0</v>
      </c>
      <c r="X39" s="90"/>
      <c r="Y39" s="1418"/>
      <c r="Z39" s="1417"/>
      <c r="AA39" s="1419"/>
      <c r="AB39" s="1419"/>
      <c r="AC39" s="1419"/>
      <c r="AD39" s="1419"/>
      <c r="AE39" s="1419"/>
      <c r="AF39" s="1419"/>
    </row>
    <row r="40" spans="1:32" s="1420" customFormat="1" ht="13" hidden="1">
      <c r="A40" s="2169"/>
      <c r="B40" s="2180"/>
      <c r="C40" s="2181"/>
      <c r="D40" s="2182"/>
      <c r="E40" s="2183"/>
      <c r="F40" s="2174"/>
      <c r="G40" s="2174"/>
      <c r="H40" s="2176"/>
      <c r="I40" s="2175"/>
      <c r="J40" s="2175"/>
      <c r="K40" s="2175"/>
      <c r="L40" s="2222"/>
      <c r="M40" s="2175"/>
      <c r="N40" s="2220"/>
      <c r="O40" s="2175"/>
      <c r="P40" s="2226"/>
      <c r="Q40" s="521">
        <f>IF((S40-T40)&gt;=8,R40*6,IF(AND((S40-T40)&lt;8,(S40-T40)&gt;=4),R40*3,0))</f>
        <v>0</v>
      </c>
      <c r="R40" s="521"/>
      <c r="S40" s="2177">
        <f>(G40-F40)/100</f>
        <v>0</v>
      </c>
      <c r="T40" s="2194"/>
      <c r="U40" s="2246"/>
      <c r="V40" s="665">
        <f>S40*R40*(100-P40)/100</f>
        <v>0</v>
      </c>
      <c r="W40" s="2196">
        <f>(Q40+((S40-0)*R40))*((100-P40)/100)</f>
        <v>0</v>
      </c>
      <c r="X40" s="90"/>
      <c r="Y40" s="1440">
        <f>(Q40+((S40-4)*R40))*((100-P40)/100)</f>
        <v>0</v>
      </c>
      <c r="Z40" s="1417"/>
      <c r="AA40" s="1419"/>
      <c r="AB40" s="1419"/>
      <c r="AC40" s="1419"/>
      <c r="AD40" s="1419"/>
      <c r="AE40" s="1419"/>
      <c r="AF40" s="1419"/>
    </row>
    <row r="41" spans="1:32" s="1420" customFormat="1" ht="13" hidden="1">
      <c r="A41" s="2169"/>
      <c r="B41" s="2180"/>
      <c r="C41" s="2181"/>
      <c r="D41" s="2182"/>
      <c r="E41" s="2183"/>
      <c r="F41" s="2174"/>
      <c r="G41" s="2174"/>
      <c r="H41" s="2176"/>
      <c r="I41" s="2175"/>
      <c r="J41" s="2175"/>
      <c r="K41" s="2175"/>
      <c r="L41" s="2222"/>
      <c r="M41" s="2175"/>
      <c r="N41" s="2220"/>
      <c r="O41" s="2175"/>
      <c r="P41" s="2226"/>
      <c r="Q41" s="521">
        <f>IF((S41-T41)&gt;=8,R41*6,IF(AND((S41-T41)&lt;8,(S41-T41)&gt;=4),R41*3,0))</f>
        <v>0</v>
      </c>
      <c r="R41" s="521"/>
      <c r="S41" s="2177">
        <f>(G41-F41)/100</f>
        <v>0</v>
      </c>
      <c r="T41" s="2194"/>
      <c r="U41" s="2246"/>
      <c r="V41" s="665">
        <f>S41*R41*(100-P41)/100</f>
        <v>0</v>
      </c>
      <c r="W41" s="2196">
        <f>(Q41+((S41-4)*R41))*((100-P41)/100)</f>
        <v>0</v>
      </c>
      <c r="X41" s="90"/>
      <c r="Y41" s="1418"/>
      <c r="Z41" s="1417"/>
      <c r="AA41" s="1419"/>
      <c r="AB41" s="1419"/>
      <c r="AC41" s="1419"/>
      <c r="AD41" s="1419"/>
      <c r="AE41" s="1419"/>
      <c r="AF41" s="1419"/>
    </row>
    <row r="42" spans="1:32" s="1420" customFormat="1" ht="13" hidden="1">
      <c r="A42" s="2169"/>
      <c r="B42" s="2180"/>
      <c r="C42" s="2181"/>
      <c r="D42" s="2182"/>
      <c r="E42" s="2183"/>
      <c r="F42" s="2174"/>
      <c r="G42" s="2174"/>
      <c r="H42" s="2176"/>
      <c r="I42" s="2175"/>
      <c r="J42" s="2175"/>
      <c r="K42" s="2175"/>
      <c r="L42" s="2222"/>
      <c r="M42" s="2175"/>
      <c r="N42" s="2220"/>
      <c r="O42" s="2175"/>
      <c r="P42" s="2227"/>
      <c r="Q42" s="521">
        <f>IF((S42-T42)&gt;=8,R42*6,IF(AND((S42-T42)&lt;8,(S42-T42)&gt;=4),R42*3,0))</f>
        <v>0</v>
      </c>
      <c r="R42" s="521"/>
      <c r="S42" s="2177">
        <f>(G42-F42)/100</f>
        <v>0</v>
      </c>
      <c r="T42" s="2194"/>
      <c r="U42" s="2247"/>
      <c r="V42" s="732">
        <f>S42*R42*(100-P42)/100</f>
        <v>0</v>
      </c>
      <c r="W42" s="2196">
        <f>(Q42+((S42-0)*R42))*((100-P42)/100)</f>
        <v>0</v>
      </c>
      <c r="X42" s="90"/>
      <c r="Y42" s="1426"/>
      <c r="Z42" s="1417"/>
      <c r="AA42" s="1419"/>
      <c r="AB42" s="1419"/>
      <c r="AC42" s="1419"/>
      <c r="AD42" s="1419"/>
      <c r="AE42" s="1419"/>
      <c r="AF42" s="1419"/>
    </row>
    <row r="43" spans="1:32" s="1420" customFormat="1" ht="13" hidden="1">
      <c r="A43" s="2169"/>
      <c r="B43" s="2180"/>
      <c r="C43" s="2181"/>
      <c r="D43" s="2182"/>
      <c r="E43" s="2183"/>
      <c r="F43" s="2174"/>
      <c r="G43" s="2174"/>
      <c r="H43" s="2176"/>
      <c r="I43" s="2175"/>
      <c r="J43" s="2175"/>
      <c r="K43" s="2175"/>
      <c r="L43" s="2222"/>
      <c r="M43" s="2175"/>
      <c r="N43" s="2220"/>
      <c r="O43" s="2175"/>
      <c r="P43" s="2224"/>
      <c r="Q43" s="521">
        <f>IF((S43-T43)&gt;=8,R43*6,IF(AND((S43-T43)&lt;8,(S43-T43)&gt;=4),R43*3,0))</f>
        <v>0</v>
      </c>
      <c r="R43" s="521"/>
      <c r="S43" s="2177">
        <f>(G43-F43)/100</f>
        <v>0</v>
      </c>
      <c r="T43" s="2194"/>
      <c r="U43" s="2248"/>
      <c r="V43" s="532">
        <f>S43*R43*(100-P43)/100</f>
        <v>0</v>
      </c>
      <c r="W43" s="2196">
        <f>(Q43+((S43-0)*R43))*((100-P43)/100)</f>
        <v>0</v>
      </c>
      <c r="X43" s="2289"/>
      <c r="Y43" s="1419"/>
      <c r="Z43" s="1419"/>
      <c r="AA43" s="1419"/>
      <c r="AB43" s="1419"/>
      <c r="AC43" s="1419"/>
      <c r="AD43" s="1419"/>
      <c r="AE43" s="1419"/>
      <c r="AF43" s="1419"/>
    </row>
    <row r="44" spans="1:32" s="1420" customFormat="1" ht="13" hidden="1">
      <c r="A44" s="2169"/>
      <c r="B44" s="2180"/>
      <c r="C44" s="2181"/>
      <c r="D44" s="2182"/>
      <c r="E44" s="2183"/>
      <c r="F44" s="2174"/>
      <c r="G44" s="2174"/>
      <c r="H44" s="2176"/>
      <c r="I44" s="2175"/>
      <c r="J44" s="2175"/>
      <c r="K44" s="2175"/>
      <c r="L44" s="2222"/>
      <c r="M44" s="2175"/>
      <c r="N44" s="2220"/>
      <c r="O44" s="2175"/>
      <c r="P44" s="2204"/>
      <c r="Q44" s="521">
        <f>IF((S44-T44)&gt;=8,R44*6,IF(AND((S44-T44)&lt;8,(S44-T44)&gt;=4),R44*3,0))</f>
        <v>0</v>
      </c>
      <c r="R44" s="521"/>
      <c r="S44" s="2177">
        <f>(G44-F44)/100</f>
        <v>0</v>
      </c>
      <c r="T44" s="2194"/>
      <c r="U44" s="2249"/>
      <c r="V44" s="985">
        <f>S44*R44*(100-P44)/100</f>
        <v>0</v>
      </c>
      <c r="W44" s="2196">
        <f>V44</f>
        <v>0</v>
      </c>
      <c r="X44" s="2289"/>
      <c r="Y44" s="1419"/>
      <c r="Z44" s="1419"/>
      <c r="AA44" s="1419"/>
      <c r="AB44" s="1419"/>
      <c r="AC44" s="1419"/>
      <c r="AD44" s="1419"/>
      <c r="AE44" s="1419"/>
      <c r="AF44" s="1419"/>
    </row>
    <row r="45" spans="1:32" s="1420" customFormat="1" ht="13" hidden="1">
      <c r="A45" s="2169"/>
      <c r="B45" s="2180"/>
      <c r="C45" s="2181"/>
      <c r="D45" s="2182"/>
      <c r="E45" s="2183"/>
      <c r="F45" s="2174"/>
      <c r="G45" s="2174"/>
      <c r="H45" s="2176"/>
      <c r="I45" s="2175"/>
      <c r="J45" s="2175"/>
      <c r="K45" s="2175"/>
      <c r="L45" s="2222"/>
      <c r="M45" s="2175"/>
      <c r="N45" s="2220"/>
      <c r="O45" s="2175"/>
      <c r="P45" s="2224"/>
      <c r="Q45" s="521">
        <f>IF((S45-T45)&gt;=8,R45*6,IF(AND((S45-T45)&lt;8,(S45-T45)&gt;=4),R45*3,0))</f>
        <v>0</v>
      </c>
      <c r="R45" s="521"/>
      <c r="S45" s="2177">
        <f>(G45-F45)/100</f>
        <v>0</v>
      </c>
      <c r="T45" s="2194"/>
      <c r="U45" s="2250"/>
      <c r="V45" s="756">
        <f>S45*R45*(100-P45)/100</f>
        <v>0</v>
      </c>
      <c r="W45" s="2196">
        <f>V45</f>
        <v>0</v>
      </c>
      <c r="X45" s="2289"/>
      <c r="Y45" s="1419"/>
      <c r="Z45" s="1419"/>
      <c r="AA45" s="1419"/>
      <c r="AB45" s="1419"/>
      <c r="AC45" s="1419"/>
      <c r="AD45" s="1419"/>
      <c r="AE45" s="1419"/>
      <c r="AF45" s="1419"/>
    </row>
    <row r="46" spans="1:32" s="1420" customFormat="1" ht="13" hidden="1">
      <c r="A46" s="2169"/>
      <c r="B46" s="2180"/>
      <c r="C46" s="2181"/>
      <c r="D46" s="2182"/>
      <c r="E46" s="2183"/>
      <c r="F46" s="2174"/>
      <c r="G46" s="2174"/>
      <c r="H46" s="2176"/>
      <c r="I46" s="2175"/>
      <c r="J46" s="2175"/>
      <c r="K46" s="2175"/>
      <c r="L46" s="2222"/>
      <c r="M46" s="2175"/>
      <c r="N46" s="2220"/>
      <c r="O46" s="2175"/>
      <c r="P46" s="2224"/>
      <c r="Q46" s="521">
        <f>IF((S46-T46)&gt;=8,R46*6,IF(AND((S46-T46)&lt;8,(S46-T46)&gt;=4),R46*3,0))</f>
        <v>0</v>
      </c>
      <c r="R46" s="521"/>
      <c r="S46" s="2177">
        <f>(G46-F46)/100</f>
        <v>0</v>
      </c>
      <c r="T46" s="2194"/>
      <c r="U46" s="2251"/>
      <c r="V46" s="521">
        <f>S46*R46*(100-P46)/100</f>
        <v>0</v>
      </c>
      <c r="W46" s="2196">
        <f>(Q46+((S46-4)*R46))*((100-P46)/100)</f>
        <v>0</v>
      </c>
      <c r="X46" s="2289"/>
      <c r="Y46" s="1419"/>
      <c r="Z46" s="1419"/>
      <c r="AA46" s="1419"/>
      <c r="AB46" s="1419"/>
      <c r="AC46" s="1419"/>
      <c r="AD46" s="1419"/>
      <c r="AE46" s="1419"/>
      <c r="AF46" s="1419"/>
    </row>
    <row r="47" spans="1:32" s="1574" customFormat="1" ht="13" hidden="1">
      <c r="A47" s="2169"/>
      <c r="B47" s="2180"/>
      <c r="C47" s="2181"/>
      <c r="D47" s="2182"/>
      <c r="E47" s="2183"/>
      <c r="F47" s="2174"/>
      <c r="G47" s="2174"/>
      <c r="H47" s="2176"/>
      <c r="I47" s="2175"/>
      <c r="J47" s="2175"/>
      <c r="K47" s="2175"/>
      <c r="L47" s="2222"/>
      <c r="M47" s="2175"/>
      <c r="N47" s="2220"/>
      <c r="O47" s="2175"/>
      <c r="P47" s="2228"/>
      <c r="Q47" s="521">
        <f>IF((S47-T47)&gt;=8,R47*6,IF(AND((S47-T47)&lt;8,(S47-T47)&gt;=4),R47*3,0))</f>
        <v>0</v>
      </c>
      <c r="R47" s="521"/>
      <c r="S47" s="2177">
        <f>(G47-F47)/100</f>
        <v>0</v>
      </c>
      <c r="T47" s="2194"/>
      <c r="U47" s="2252"/>
      <c r="V47" s="997">
        <f>S47*R47*(100-P47)/100</f>
        <v>0</v>
      </c>
      <c r="W47" s="2196">
        <f>(Q47+((S47-8)*R47))*((100-P47)/100)</f>
        <v>0</v>
      </c>
      <c r="X47" s="995"/>
      <c r="Y47" s="1573"/>
      <c r="Z47" s="1572"/>
    </row>
    <row r="48" spans="1:32" s="1420" customFormat="1" ht="13" hidden="1">
      <c r="A48" s="2169"/>
      <c r="B48" s="2180"/>
      <c r="C48" s="2181"/>
      <c r="D48" s="2182"/>
      <c r="E48" s="2183"/>
      <c r="F48" s="2174"/>
      <c r="G48" s="2174"/>
      <c r="H48" s="2176"/>
      <c r="I48" s="2175"/>
      <c r="J48" s="2175"/>
      <c r="K48" s="2175"/>
      <c r="L48" s="2222"/>
      <c r="M48" s="2175"/>
      <c r="N48" s="2220"/>
      <c r="O48" s="2175"/>
      <c r="P48" s="2225"/>
      <c r="Q48" s="521">
        <f>IF((S48-T48)&gt;=8,R48*6,IF(AND((S48-T48)&lt;8,(S48-T48)&gt;=4),R48*3,0))</f>
        <v>0</v>
      </c>
      <c r="R48" s="521"/>
      <c r="S48" s="2177">
        <f>(G48-F48)/100</f>
        <v>0</v>
      </c>
      <c r="T48" s="2194"/>
      <c r="U48" s="2245"/>
      <c r="V48" s="999">
        <f>S48*R48*(100-P48)/100</f>
        <v>0</v>
      </c>
      <c r="W48" s="2196">
        <f>(Q48+((S48-4)*R48))*((100-P48)/100)</f>
        <v>0</v>
      </c>
      <c r="X48" s="90"/>
      <c r="Y48" s="1418"/>
      <c r="Z48" s="1417"/>
      <c r="AA48" s="1419"/>
      <c r="AB48" s="1419"/>
      <c r="AC48" s="1419"/>
      <c r="AD48" s="1419"/>
      <c r="AE48" s="1419"/>
      <c r="AF48" s="1419"/>
    </row>
    <row r="49" spans="1:32" s="1420" customFormat="1" ht="13" hidden="1">
      <c r="A49" s="2169"/>
      <c r="B49" s="2180"/>
      <c r="C49" s="2181"/>
      <c r="D49" s="2182"/>
      <c r="E49" s="2183"/>
      <c r="F49" s="2174"/>
      <c r="G49" s="2174"/>
      <c r="H49" s="2176"/>
      <c r="I49" s="2175"/>
      <c r="J49" s="2175"/>
      <c r="K49" s="2175"/>
      <c r="L49" s="2222"/>
      <c r="M49" s="2175"/>
      <c r="N49" s="2220"/>
      <c r="O49" s="2175"/>
      <c r="P49" s="2224"/>
      <c r="Q49" s="521">
        <f>IF((S49-T49)&gt;=8,R49*6,IF(AND((S49-T49)&lt;8,(S49-T49)&gt;=4),R49*3,0))</f>
        <v>0</v>
      </c>
      <c r="R49" s="521"/>
      <c r="S49" s="2177">
        <f>(G49-F49)/100</f>
        <v>0</v>
      </c>
      <c r="T49" s="2194"/>
      <c r="U49" s="2253"/>
      <c r="V49" s="521">
        <f>S49*R49*(100-P49)/100</f>
        <v>0</v>
      </c>
      <c r="W49" s="2196">
        <f>(Q49+((S49-0)*R49))*((100-P49)/100)</f>
        <v>0</v>
      </c>
      <c r="X49" s="2289"/>
      <c r="Y49" s="1440">
        <f>(Q49+((S49-0)*R49))*((100-P49)/100)</f>
        <v>0</v>
      </c>
      <c r="Z49" s="1419"/>
      <c r="AA49" s="1419"/>
      <c r="AB49" s="1419"/>
      <c r="AC49" s="1419"/>
      <c r="AD49" s="1419"/>
      <c r="AE49" s="1419"/>
      <c r="AF49" s="1419"/>
    </row>
    <row r="50" spans="1:32" s="1420" customFormat="1" ht="13" hidden="1">
      <c r="A50" s="2169"/>
      <c r="B50" s="2180"/>
      <c r="C50" s="2181"/>
      <c r="D50" s="2182"/>
      <c r="E50" s="2183"/>
      <c r="F50" s="2174"/>
      <c r="G50" s="2174"/>
      <c r="H50" s="2176"/>
      <c r="I50" s="2175"/>
      <c r="J50" s="2175"/>
      <c r="K50" s="2175"/>
      <c r="L50" s="2222"/>
      <c r="M50" s="2175"/>
      <c r="N50" s="2220"/>
      <c r="O50" s="2175"/>
      <c r="P50" s="2229"/>
      <c r="Q50" s="521">
        <f>IF((S50-T50)&gt;=8,R50*6,IF(AND((S50-T50)&lt;8,(S50-T50)&gt;=4),R50*3,0))</f>
        <v>0</v>
      </c>
      <c r="R50" s="521"/>
      <c r="S50" s="2177">
        <f>(G50-F50)/100</f>
        <v>0</v>
      </c>
      <c r="T50" s="2194"/>
      <c r="U50" s="2254"/>
      <c r="V50" s="1323">
        <f>S50*R50*(100-P50)/100</f>
        <v>0</v>
      </c>
      <c r="W50" s="2196">
        <f>(Q50+((S50-0)*R50))*((100-P50)/100)</f>
        <v>0</v>
      </c>
      <c r="X50" s="2291"/>
      <c r="Y50" s="1590"/>
      <c r="Z50" s="1466"/>
      <c r="AA50" s="1466"/>
      <c r="AB50" s="1466"/>
      <c r="AC50" s="1466"/>
      <c r="AD50" s="1466"/>
      <c r="AE50" s="1466"/>
      <c r="AF50" s="1466"/>
    </row>
    <row r="51" spans="1:32" s="1420" customFormat="1" ht="13" hidden="1">
      <c r="A51" s="2169"/>
      <c r="B51" s="2180"/>
      <c r="C51" s="2181"/>
      <c r="D51" s="2182"/>
      <c r="E51" s="2183"/>
      <c r="F51" s="2174"/>
      <c r="G51" s="2174"/>
      <c r="H51" s="2176"/>
      <c r="I51" s="2175"/>
      <c r="J51" s="2175"/>
      <c r="K51" s="2175"/>
      <c r="L51" s="2186"/>
      <c r="M51" s="2175"/>
      <c r="N51" s="2220"/>
      <c r="O51" s="2175"/>
      <c r="P51" s="2226"/>
      <c r="Q51" s="521">
        <f>IF((S51-T51)&gt;=8,R51*6,IF(AND((S51-T51)&lt;8,(S51-T51)&gt;=4),R51*3,0))</f>
        <v>0</v>
      </c>
      <c r="R51" s="521"/>
      <c r="S51" s="2177">
        <f>(G51-F51)/100</f>
        <v>0</v>
      </c>
      <c r="T51" s="2194"/>
      <c r="U51" s="2246"/>
      <c r="V51" s="665">
        <f>S51*R51*(100-P51)/100</f>
        <v>0</v>
      </c>
      <c r="W51" s="2196">
        <f>(Q51+((S51-0)*R51))*((100-P51)/100)</f>
        <v>0</v>
      </c>
      <c r="X51" s="90"/>
      <c r="Y51" s="1418"/>
      <c r="Z51" s="1417"/>
      <c r="AA51" s="1419"/>
      <c r="AB51" s="1419"/>
      <c r="AC51" s="1419"/>
      <c r="AD51" s="1419"/>
      <c r="AE51" s="1419"/>
      <c r="AF51" s="1419"/>
    </row>
    <row r="52" spans="1:32" s="1420" customFormat="1" ht="13" hidden="1">
      <c r="A52" s="2169"/>
      <c r="B52" s="2180"/>
      <c r="C52" s="2181"/>
      <c r="D52" s="2182"/>
      <c r="E52" s="2183"/>
      <c r="F52" s="2174"/>
      <c r="G52" s="2174"/>
      <c r="H52" s="2176"/>
      <c r="I52" s="2175"/>
      <c r="J52" s="2175"/>
      <c r="K52" s="2175"/>
      <c r="L52" s="2186"/>
      <c r="M52" s="2175"/>
      <c r="N52" s="2220"/>
      <c r="O52" s="2175"/>
      <c r="P52" s="2225"/>
      <c r="Q52" s="521">
        <f>IF((S52-T52)&gt;=8,R52*6,IF(AND((S52-T52)&lt;8,(S52-T52)&gt;=4),R52*3,0))</f>
        <v>0</v>
      </c>
      <c r="R52" s="521"/>
      <c r="S52" s="2177">
        <f>(G52-F52)/100</f>
        <v>0</v>
      </c>
      <c r="T52" s="2194"/>
      <c r="U52" s="2245"/>
      <c r="V52" s="999">
        <f>S52*R52*(100-P52)/100</f>
        <v>0</v>
      </c>
      <c r="W52" s="2196">
        <f>(Q52+((S52-0)*R52))*((100-P52)/100)</f>
        <v>0</v>
      </c>
      <c r="X52" s="90"/>
      <c r="Y52" s="1418"/>
      <c r="Z52" s="1417"/>
      <c r="AA52" s="1419"/>
      <c r="AB52" s="1419"/>
      <c r="AC52" s="1419"/>
      <c r="AD52" s="1419"/>
      <c r="AE52" s="1419"/>
      <c r="AF52" s="1419"/>
    </row>
    <row r="53" spans="1:32" s="1466" customFormat="1" ht="13" hidden="1">
      <c r="A53" s="2169"/>
      <c r="B53" s="2180"/>
      <c r="C53" s="2181"/>
      <c r="D53" s="2182"/>
      <c r="E53" s="2183"/>
      <c r="F53" s="2174"/>
      <c r="G53" s="2174"/>
      <c r="H53" s="2176"/>
      <c r="I53" s="2175"/>
      <c r="J53" s="2175"/>
      <c r="K53" s="2175"/>
      <c r="L53" s="2222"/>
      <c r="M53" s="2175"/>
      <c r="N53" s="2220"/>
      <c r="O53" s="2175"/>
      <c r="P53" s="2230"/>
      <c r="Q53" s="521">
        <f>IF((S53-T53)&gt;=8,R53*6,IF(AND((S53-T53)&lt;8,(S53-T53)&gt;=4),R53*3,0))</f>
        <v>0</v>
      </c>
      <c r="R53" s="521"/>
      <c r="S53" s="2177">
        <f>(G53-F53)/100</f>
        <v>0</v>
      </c>
      <c r="T53" s="2194"/>
      <c r="U53" s="2255"/>
      <c r="V53" s="885">
        <f>S53*R53*(100-P53)/100</f>
        <v>0</v>
      </c>
      <c r="W53" s="2196">
        <f>(Q53+((S53-0)*R53))*((100-P53)/100)</f>
        <v>0</v>
      </c>
      <c r="X53" s="2289"/>
      <c r="Y53" s="1419"/>
      <c r="Z53" s="1419"/>
      <c r="AA53" s="1419"/>
      <c r="AB53" s="1419"/>
      <c r="AC53" s="1419"/>
      <c r="AD53" s="1419"/>
      <c r="AE53" s="1419"/>
      <c r="AF53" s="1419"/>
    </row>
    <row r="54" spans="1:32" s="1420" customFormat="1" ht="13" hidden="1">
      <c r="A54" s="2169"/>
      <c r="B54" s="2180"/>
      <c r="C54" s="2181"/>
      <c r="D54" s="2182"/>
      <c r="E54" s="2183"/>
      <c r="F54" s="2174"/>
      <c r="G54" s="2174"/>
      <c r="H54" s="2176"/>
      <c r="I54" s="2175"/>
      <c r="J54" s="2175"/>
      <c r="K54" s="2175"/>
      <c r="L54" s="2222"/>
      <c r="M54" s="2175"/>
      <c r="N54" s="2220"/>
      <c r="O54" s="2175"/>
      <c r="P54" s="2231"/>
      <c r="Q54" s="521">
        <f>IF((S54-T54)&gt;=8,R54*6,IF(AND((S54-T54)&lt;8,(S54-T54)&gt;=4),R54*3,0))</f>
        <v>0</v>
      </c>
      <c r="R54" s="521"/>
      <c r="S54" s="2177">
        <f>(G54-F54)/100</f>
        <v>0</v>
      </c>
      <c r="T54" s="2194"/>
      <c r="U54" s="2255"/>
      <c r="V54" s="885">
        <f>S54*R54*(100-P54)/100</f>
        <v>0</v>
      </c>
      <c r="W54" s="2196">
        <f>(Q54+((S54-8)*R54))*((100-P54)/100)</f>
        <v>0</v>
      </c>
      <c r="X54" s="2289"/>
      <c r="Y54" s="1419"/>
      <c r="Z54" s="1419"/>
      <c r="AA54" s="1419"/>
      <c r="AB54" s="1419"/>
      <c r="AC54" s="1419"/>
      <c r="AD54" s="1419"/>
      <c r="AE54" s="1419"/>
      <c r="AF54" s="1419"/>
    </row>
    <row r="55" spans="1:32" s="1420" customFormat="1" ht="13" hidden="1">
      <c r="A55" s="2169"/>
      <c r="B55" s="2180"/>
      <c r="C55" s="2181"/>
      <c r="D55" s="2182"/>
      <c r="E55" s="2183"/>
      <c r="F55" s="2174"/>
      <c r="G55" s="2174"/>
      <c r="H55" s="2176"/>
      <c r="I55" s="2175"/>
      <c r="J55" s="2175"/>
      <c r="K55" s="2175"/>
      <c r="L55" s="2222"/>
      <c r="M55" s="2175"/>
      <c r="N55" s="2220"/>
      <c r="O55" s="2175"/>
      <c r="P55" s="2232"/>
      <c r="Q55" s="521">
        <f>IF((S55-T55)&gt;=8,R55*6,IF(AND((S55-T55)&lt;8,(S55-T55)&gt;=4),R55*3,0))</f>
        <v>0</v>
      </c>
      <c r="R55" s="521"/>
      <c r="S55" s="2177">
        <f>(G55-F55)/100</f>
        <v>0</v>
      </c>
      <c r="T55" s="2194"/>
      <c r="U55" s="2256"/>
      <c r="V55" s="756">
        <f>S55*R55*(100-P55)/100</f>
        <v>0</v>
      </c>
      <c r="W55" s="2196">
        <f>(Q55+((S55-0)*R55))*((100-P55)/100)</f>
        <v>0</v>
      </c>
      <c r="X55" s="90"/>
      <c r="Y55" s="1510">
        <f>W55*((100-P55)/100)</f>
        <v>0</v>
      </c>
      <c r="Z55" s="1417"/>
      <c r="AA55" s="1419"/>
      <c r="AB55" s="1419"/>
      <c r="AC55" s="1419"/>
      <c r="AD55" s="1419"/>
      <c r="AE55" s="1419"/>
      <c r="AF55" s="1419"/>
    </row>
    <row r="56" spans="1:32" s="1420" customFormat="1" ht="13" hidden="1">
      <c r="A56" s="2169"/>
      <c r="B56" s="2180"/>
      <c r="C56" s="2181"/>
      <c r="D56" s="2182"/>
      <c r="E56" s="2183"/>
      <c r="F56" s="2174"/>
      <c r="G56" s="2174"/>
      <c r="H56" s="2176"/>
      <c r="I56" s="2175"/>
      <c r="J56" s="2175"/>
      <c r="K56" s="2175"/>
      <c r="L56" s="2222"/>
      <c r="M56" s="2175"/>
      <c r="N56" s="2220"/>
      <c r="O56" s="2175"/>
      <c r="P56" s="2171"/>
      <c r="Q56" s="521">
        <f>IF((S56-T56)&gt;=8,R56*6,IF(AND((S56-T56)&lt;8,(S56-T56)&gt;=4),R56*3,0))</f>
        <v>0</v>
      </c>
      <c r="R56" s="521"/>
      <c r="S56" s="2177">
        <f>(G56-F56)/100</f>
        <v>0</v>
      </c>
      <c r="T56" s="2194"/>
      <c r="U56" s="2257"/>
      <c r="V56" s="2203">
        <f>S56*R56*(100-P56)/100</f>
        <v>0</v>
      </c>
      <c r="W56" s="2196">
        <f>Q56+((S56-0)*R56)</f>
        <v>0</v>
      </c>
      <c r="X56" s="2289"/>
      <c r="Y56" s="1473"/>
      <c r="Z56" s="1419"/>
      <c r="AA56" s="1419"/>
      <c r="AB56" s="1419"/>
      <c r="AC56" s="1419"/>
      <c r="AD56" s="1419"/>
      <c r="AE56" s="1419"/>
      <c r="AF56" s="1419"/>
    </row>
    <row r="57" spans="1:32" s="1492" customFormat="1" ht="13" hidden="1">
      <c r="A57" s="2169"/>
      <c r="B57" s="2180"/>
      <c r="C57" s="2181"/>
      <c r="D57" s="2182"/>
      <c r="E57" s="2183"/>
      <c r="F57" s="2174"/>
      <c r="G57" s="2174"/>
      <c r="H57" s="2176"/>
      <c r="I57" s="2175"/>
      <c r="J57" s="2175"/>
      <c r="K57" s="2175"/>
      <c r="L57" s="2222"/>
      <c r="M57" s="2175"/>
      <c r="N57" s="2220"/>
      <c r="O57" s="2175"/>
      <c r="P57" s="2233"/>
      <c r="Q57" s="521">
        <f>IF((S57-T57)&gt;=8,R57*6,IF(AND((S57-T57)&lt;8,(S57-T57)&gt;=4),R57*3,0))</f>
        <v>0</v>
      </c>
      <c r="R57" s="521"/>
      <c r="S57" s="2177">
        <f>(G57-F57)/100</f>
        <v>0</v>
      </c>
      <c r="T57" s="2194"/>
      <c r="U57" s="2258"/>
      <c r="V57" s="732">
        <f>S57*R57*(100-P57)/100</f>
        <v>0</v>
      </c>
      <c r="W57" s="2196">
        <f>(Q57+((S57-0)*R57))*((100-P57)/100)</f>
        <v>0</v>
      </c>
      <c r="X57" s="90"/>
      <c r="Y57" s="1510">
        <f>W57*((100-P57)/100)</f>
        <v>0</v>
      </c>
      <c r="Z57" s="1417"/>
      <c r="AA57" s="1419"/>
      <c r="AB57" s="1419"/>
      <c r="AC57" s="1419"/>
      <c r="AD57" s="1419"/>
      <c r="AE57" s="1419"/>
      <c r="AF57" s="1419"/>
    </row>
    <row r="58" spans="1:32" s="1420" customFormat="1" ht="14" hidden="1">
      <c r="A58" s="2169"/>
      <c r="B58" s="2180"/>
      <c r="C58" s="2181"/>
      <c r="D58" s="2182"/>
      <c r="E58" s="2183"/>
      <c r="F58" s="2174"/>
      <c r="G58" s="2174"/>
      <c r="H58" s="2176"/>
      <c r="I58" s="2175"/>
      <c r="J58" s="2175"/>
      <c r="K58" s="2175"/>
      <c r="L58" s="2222"/>
      <c r="M58" s="2175"/>
      <c r="N58" s="2220"/>
      <c r="O58" s="2175"/>
      <c r="P58" s="2234"/>
      <c r="Q58" s="521">
        <f>IF((S58-T58)&gt;=8,R58*6,IF(AND((S58-T58)&lt;8,(S58-T58)&gt;=4),R58*3,0))</f>
        <v>0</v>
      </c>
      <c r="R58" s="521"/>
      <c r="S58" s="2177">
        <f>(G58-F58)/100</f>
        <v>0</v>
      </c>
      <c r="T58" s="2194"/>
      <c r="U58" s="2259"/>
      <c r="V58" s="756">
        <f>S58*R58*(100-P58)/100</f>
        <v>0</v>
      </c>
      <c r="W58" s="2196">
        <f>(Q58+((S58-0)*R58))*((100-P58)/100)</f>
        <v>0</v>
      </c>
      <c r="X58" s="90"/>
      <c r="Y58" s="1426"/>
      <c r="Z58" s="1417"/>
      <c r="AA58" s="1419"/>
      <c r="AB58" s="1419"/>
      <c r="AC58" s="1419"/>
      <c r="AD58" s="1419"/>
      <c r="AE58" s="1419"/>
      <c r="AF58" s="1419"/>
    </row>
    <row r="59" spans="1:32" s="1420" customFormat="1" ht="13" hidden="1" customHeight="1">
      <c r="A59" s="2169"/>
      <c r="B59" s="2180"/>
      <c r="C59" s="2181"/>
      <c r="D59" s="2182"/>
      <c r="E59" s="2183"/>
      <c r="F59" s="2174"/>
      <c r="G59" s="2174"/>
      <c r="H59" s="2176"/>
      <c r="I59" s="2175"/>
      <c r="J59" s="2175"/>
      <c r="K59" s="2175"/>
      <c r="L59" s="2222"/>
      <c r="M59" s="2175"/>
      <c r="N59" s="2220"/>
      <c r="O59" s="2175"/>
      <c r="P59" s="2234"/>
      <c r="Q59" s="521">
        <f>IF((S59-T59)&gt;=8,R59*6,IF(AND((S59-T59)&lt;8,(S59-T59)&gt;=4),R59*3,0))</f>
        <v>0</v>
      </c>
      <c r="R59" s="521"/>
      <c r="S59" s="2177">
        <f>(G59-F59)/100</f>
        <v>0</v>
      </c>
      <c r="T59" s="2194"/>
      <c r="U59" s="2260"/>
      <c r="V59" s="665">
        <f>S59*R59*(100-P59)/100</f>
        <v>0</v>
      </c>
      <c r="W59" s="2196">
        <f>(Q59+((S59-0)*R59))*((100-P59)/100)</f>
        <v>0</v>
      </c>
      <c r="X59" s="90"/>
      <c r="Y59" s="1418"/>
      <c r="Z59" s="1417"/>
      <c r="AA59" s="1419"/>
      <c r="AB59" s="1419"/>
      <c r="AC59" s="1419"/>
      <c r="AD59" s="1419"/>
      <c r="AE59" s="1419"/>
      <c r="AF59" s="1419"/>
    </row>
    <row r="60" spans="1:32" s="1620" customFormat="1" ht="13" hidden="1">
      <c r="A60" s="2169"/>
      <c r="B60" s="2180"/>
      <c r="C60" s="2181"/>
      <c r="D60" s="2182"/>
      <c r="E60" s="2183"/>
      <c r="F60" s="2174"/>
      <c r="G60" s="2174"/>
      <c r="H60" s="2176"/>
      <c r="I60" s="2175"/>
      <c r="J60" s="2175"/>
      <c r="K60" s="2175"/>
      <c r="L60" s="2222"/>
      <c r="M60" s="2175"/>
      <c r="N60" s="2220"/>
      <c r="O60" s="2175"/>
      <c r="P60" s="2224"/>
      <c r="Q60" s="521">
        <f>IF((S60-T60)&gt;=8,R60*6,IF(AND((S60-T60)&lt;8,(S60-T60)&gt;=4),R60*3,0))</f>
        <v>0</v>
      </c>
      <c r="R60" s="521"/>
      <c r="S60" s="2177">
        <f>(G60-F60)/100</f>
        <v>0</v>
      </c>
      <c r="T60" s="2194"/>
      <c r="U60" s="2258"/>
      <c r="V60" s="532">
        <f>S60*R60*(100-P60)/100</f>
        <v>0</v>
      </c>
      <c r="W60" s="2196">
        <f>(Q60+((S60-0)*R60))*((100-P60)/100)</f>
        <v>0</v>
      </c>
      <c r="X60" s="90"/>
      <c r="Y60" s="1418"/>
      <c r="Z60" s="1417"/>
      <c r="AA60" s="1419"/>
      <c r="AB60" s="1419"/>
      <c r="AC60" s="1419"/>
      <c r="AD60" s="1419"/>
      <c r="AE60" s="1419"/>
      <c r="AF60" s="1419"/>
    </row>
    <row r="61" spans="1:32" s="1420" customFormat="1" ht="13" hidden="1">
      <c r="A61" s="2169"/>
      <c r="B61" s="2180"/>
      <c r="C61" s="2181"/>
      <c r="D61" s="2182"/>
      <c r="E61" s="2183"/>
      <c r="F61" s="2174"/>
      <c r="G61" s="2174"/>
      <c r="H61" s="2176"/>
      <c r="I61" s="2175"/>
      <c r="J61" s="2175"/>
      <c r="K61" s="2175"/>
      <c r="L61" s="2222"/>
      <c r="M61" s="2175"/>
      <c r="N61" s="2220"/>
      <c r="O61" s="2175"/>
      <c r="P61" s="2235"/>
      <c r="Q61" s="521">
        <f>IF((S61-T61)&gt;=8,R61*6,IF(AND((S61-T61)&lt;8,(S61-T61)&gt;=4),R61*3,0))</f>
        <v>0</v>
      </c>
      <c r="R61" s="521"/>
      <c r="S61" s="2177">
        <f>(G61-F61)/100</f>
        <v>0</v>
      </c>
      <c r="T61" s="2194"/>
      <c r="U61" s="2261"/>
      <c r="V61" s="985">
        <f>S61*R61*(100-P61)/100</f>
        <v>0</v>
      </c>
      <c r="W61" s="2196">
        <f>(Q61+((S61-0)*R61))*((100-P61)/100)</f>
        <v>0</v>
      </c>
      <c r="X61" s="90"/>
      <c r="Y61" s="1431">
        <f>(Q61+((S61-0)*R61))*((100-P61)/100)</f>
        <v>0</v>
      </c>
      <c r="Z61" s="1417"/>
      <c r="AA61" s="1419"/>
      <c r="AB61" s="1419"/>
      <c r="AC61" s="1419"/>
      <c r="AD61" s="1419"/>
      <c r="AE61" s="1419"/>
      <c r="AF61" s="1419"/>
    </row>
    <row r="62" spans="1:32" s="1420" customFormat="1" ht="13" hidden="1">
      <c r="A62" s="2169"/>
      <c r="B62" s="2180"/>
      <c r="C62" s="2181"/>
      <c r="D62" s="2182"/>
      <c r="E62" s="2183"/>
      <c r="F62" s="2174"/>
      <c r="G62" s="2174"/>
      <c r="H62" s="2176"/>
      <c r="I62" s="2175"/>
      <c r="J62" s="2175"/>
      <c r="K62" s="2175"/>
      <c r="L62" s="2222"/>
      <c r="M62" s="2175"/>
      <c r="N62" s="2220"/>
      <c r="O62" s="2175"/>
      <c r="P62" s="2227"/>
      <c r="Q62" s="521">
        <f>IF((S62-T62)&gt;=8,R62*6,IF(AND((S62-T62)&lt;8,(S62-T62)&gt;=4),R62*3,0))</f>
        <v>0</v>
      </c>
      <c r="R62" s="521"/>
      <c r="S62" s="2177">
        <f>(G62-F62)/100</f>
        <v>0</v>
      </c>
      <c r="T62" s="2194"/>
      <c r="U62" s="2262"/>
      <c r="V62" s="665">
        <f>S62*R62*(100-P62)/100</f>
        <v>0</v>
      </c>
      <c r="W62" s="2196">
        <f>(Q62+((S62-0)*R62))*((100-P62)/100)</f>
        <v>0</v>
      </c>
      <c r="X62" s="2289"/>
      <c r="Y62" s="1473"/>
      <c r="Z62" s="1419"/>
      <c r="AA62" s="1419"/>
      <c r="AB62" s="1419"/>
      <c r="AC62" s="1419"/>
      <c r="AD62" s="1419"/>
      <c r="AE62" s="1419"/>
      <c r="AF62" s="1419"/>
    </row>
    <row r="63" spans="1:32" s="1420" customFormat="1" ht="13" hidden="1">
      <c r="A63" s="2169"/>
      <c r="B63" s="2180"/>
      <c r="C63" s="2181"/>
      <c r="D63" s="2182"/>
      <c r="E63" s="2183"/>
      <c r="F63" s="2174"/>
      <c r="G63" s="2174"/>
      <c r="H63" s="2176"/>
      <c r="I63" s="2175"/>
      <c r="J63" s="2175"/>
      <c r="K63" s="2175"/>
      <c r="L63" s="2222"/>
      <c r="M63" s="2175"/>
      <c r="N63" s="2220"/>
      <c r="O63" s="2175"/>
      <c r="P63" s="2236"/>
      <c r="Q63" s="521">
        <f>IF((S63-T63)&gt;=8,R63*6,IF(AND((S63-T63)&lt;8,(S63-T63)&gt;=4),R63*3,0))</f>
        <v>0</v>
      </c>
      <c r="R63" s="521"/>
      <c r="S63" s="2177">
        <f>(G63-F63)/100</f>
        <v>0</v>
      </c>
      <c r="T63" s="2194"/>
      <c r="U63" s="2263"/>
      <c r="V63" s="2271">
        <f>S63*R63*(100-P63)/100</f>
        <v>0</v>
      </c>
      <c r="W63" s="2196">
        <f>Q63+((S63-0)*R63)</f>
        <v>0</v>
      </c>
      <c r="X63" s="2292"/>
      <c r="Y63" s="1638"/>
      <c r="Z63" s="1620"/>
      <c r="AA63" s="1620"/>
      <c r="AB63" s="1620"/>
      <c r="AC63" s="1620"/>
      <c r="AD63" s="1620"/>
      <c r="AE63" s="1620"/>
      <c r="AF63" s="1620"/>
    </row>
    <row r="64" spans="1:32" s="1420" customFormat="1" ht="13" hidden="1">
      <c r="A64" s="2169"/>
      <c r="B64" s="2180"/>
      <c r="C64" s="2181"/>
      <c r="D64" s="2182"/>
      <c r="E64" s="2183"/>
      <c r="F64" s="2174"/>
      <c r="G64" s="2174"/>
      <c r="H64" s="2176"/>
      <c r="I64" s="2175"/>
      <c r="J64" s="2175"/>
      <c r="K64" s="2175"/>
      <c r="L64" s="2222"/>
      <c r="M64" s="2175"/>
      <c r="N64" s="2220"/>
      <c r="O64" s="2175"/>
      <c r="P64" s="2237"/>
      <c r="Q64" s="521">
        <f>IF((S64-T64)&gt;=8,R64*6,IF(AND((S64-T64)&lt;8,(S64-T64)&gt;=4),R64*3,0))</f>
        <v>0</v>
      </c>
      <c r="R64" s="521"/>
      <c r="S64" s="2177">
        <f>(G64-F64)/100</f>
        <v>0</v>
      </c>
      <c r="T64" s="2194"/>
      <c r="U64" s="2258"/>
      <c r="V64" s="532">
        <f>S64*R64*(100-P64)/100</f>
        <v>0</v>
      </c>
      <c r="W64" s="2196">
        <f>(Q64+((S64-0)*R64))*((100-P64)/100)</f>
        <v>0</v>
      </c>
      <c r="X64" s="388"/>
      <c r="Y64" s="1431">
        <f>(Q64+((S64-0)*R64))*((100-P64)/100)</f>
        <v>0</v>
      </c>
      <c r="Z64" s="1417"/>
      <c r="AA64" s="1419"/>
      <c r="AB64" s="1419"/>
      <c r="AC64" s="1419"/>
      <c r="AD64" s="1419"/>
      <c r="AE64" s="1419"/>
      <c r="AF64" s="1419"/>
    </row>
    <row r="65" spans="1:32" s="1420" customFormat="1" ht="13" hidden="1">
      <c r="A65" s="2169"/>
      <c r="B65" s="2180"/>
      <c r="C65" s="2181"/>
      <c r="D65" s="2182"/>
      <c r="E65" s="2183"/>
      <c r="F65" s="2174"/>
      <c r="G65" s="2174"/>
      <c r="H65" s="2176"/>
      <c r="I65" s="2175"/>
      <c r="J65" s="2175"/>
      <c r="K65" s="2175"/>
      <c r="L65" s="2186"/>
      <c r="M65" s="2175"/>
      <c r="N65" s="2220"/>
      <c r="O65" s="2175"/>
      <c r="P65" s="2227"/>
      <c r="Q65" s="521">
        <f>IF((S65-T65)&gt;=8,R65*6,IF(AND((S65-T65)&lt;8,(S65-T65)&gt;=4),R65*3,0))</f>
        <v>0</v>
      </c>
      <c r="R65" s="521"/>
      <c r="S65" s="2177">
        <f>(G65-F65)/100</f>
        <v>0</v>
      </c>
      <c r="T65" s="2194"/>
      <c r="U65" s="2264"/>
      <c r="V65" s="985">
        <f>S65*R65*(100-P65)/100</f>
        <v>0</v>
      </c>
      <c r="W65" s="2196">
        <f>(Q65+((S65-0)*R65))*((100-P65)/100)</f>
        <v>0</v>
      </c>
      <c r="X65" s="2289"/>
      <c r="Y65" s="1440">
        <f>(Q65+((S65-0)*R65))*((100-P65)/100)</f>
        <v>0</v>
      </c>
      <c r="Z65" s="1419"/>
      <c r="AA65" s="1419"/>
      <c r="AB65" s="1419"/>
      <c r="AC65" s="1419"/>
      <c r="AD65" s="1419"/>
      <c r="AE65" s="1419"/>
      <c r="AF65" s="1419"/>
    </row>
    <row r="66" spans="1:32" s="1420" customFormat="1" ht="13" hidden="1">
      <c r="A66" s="2169"/>
      <c r="B66" s="2180"/>
      <c r="C66" s="2181"/>
      <c r="D66" s="2182"/>
      <c r="E66" s="2183"/>
      <c r="F66" s="2174"/>
      <c r="G66" s="2174"/>
      <c r="H66" s="2176"/>
      <c r="I66" s="2175"/>
      <c r="J66" s="2175"/>
      <c r="K66" s="2175"/>
      <c r="L66" s="2222"/>
      <c r="M66" s="2175"/>
      <c r="N66" s="2220"/>
      <c r="O66" s="2175"/>
      <c r="P66" s="2204"/>
      <c r="Q66" s="521">
        <f>IF((S66-T66)&gt;=8,R66*6,IF(AND((S66-T66)&lt;8,(S66-T66)&gt;=4),R66*3,0))</f>
        <v>0</v>
      </c>
      <c r="R66" s="521"/>
      <c r="S66" s="2177">
        <f>(G66-F66)/100</f>
        <v>0</v>
      </c>
      <c r="T66" s="2194"/>
      <c r="U66" s="2261"/>
      <c r="V66" s="885">
        <f>S66*R66*(100-P66)/100</f>
        <v>0</v>
      </c>
      <c r="W66" s="2196">
        <f>V66</f>
        <v>0</v>
      </c>
      <c r="X66" s="90"/>
      <c r="Y66" s="1426"/>
      <c r="Z66" s="1417"/>
      <c r="AA66" s="1491"/>
      <c r="AB66" s="1491"/>
      <c r="AC66" s="1491"/>
      <c r="AD66" s="1491"/>
      <c r="AE66" s="1491"/>
      <c r="AF66" s="1491"/>
    </row>
    <row r="67" spans="1:32" s="1420" customFormat="1" ht="13" hidden="1">
      <c r="A67" s="2169"/>
      <c r="B67" s="2180"/>
      <c r="C67" s="2181"/>
      <c r="D67" s="2182"/>
      <c r="E67" s="2183"/>
      <c r="F67" s="2174"/>
      <c r="G67" s="2174"/>
      <c r="H67" s="2176"/>
      <c r="I67" s="2175"/>
      <c r="J67" s="2175"/>
      <c r="K67" s="2175"/>
      <c r="L67" s="2222"/>
      <c r="M67" s="2175"/>
      <c r="N67" s="2220"/>
      <c r="O67" s="2175"/>
      <c r="P67" s="2224"/>
      <c r="Q67" s="521">
        <f>IF((S67-T67)&gt;=8,R67*6,IF(AND((S67-T67)&lt;8,(S67-T67)&gt;=4),R67*3,0))</f>
        <v>0</v>
      </c>
      <c r="R67" s="521"/>
      <c r="S67" s="2177">
        <f>(G67-F67)/100</f>
        <v>0</v>
      </c>
      <c r="T67" s="2194"/>
      <c r="U67" s="2265"/>
      <c r="V67" s="521">
        <f>S67*R67*(100-P67)/100</f>
        <v>0</v>
      </c>
      <c r="W67" s="2196">
        <f>(Q67+((S67-0)*R67))*((100-P67)/100)</f>
        <v>0</v>
      </c>
      <c r="X67" s="2289"/>
      <c r="Y67" s="1473"/>
      <c r="Z67" s="1419"/>
      <c r="AA67" s="1419"/>
      <c r="AB67" s="1419"/>
      <c r="AC67" s="1419"/>
      <c r="AD67" s="1419"/>
      <c r="AE67" s="1419"/>
      <c r="AF67" s="1419"/>
    </row>
    <row r="68" spans="1:32" s="1420" customFormat="1" ht="13" hidden="1">
      <c r="A68" s="2169"/>
      <c r="B68" s="2180"/>
      <c r="C68" s="2181"/>
      <c r="D68" s="2182"/>
      <c r="E68" s="2183"/>
      <c r="F68" s="2174"/>
      <c r="G68" s="2174"/>
      <c r="H68" s="2176"/>
      <c r="I68" s="2175"/>
      <c r="J68" s="2175"/>
      <c r="K68" s="2175"/>
      <c r="L68" s="2222"/>
      <c r="M68" s="2175"/>
      <c r="N68" s="2220"/>
      <c r="O68" s="2175"/>
      <c r="P68" s="2238"/>
      <c r="Q68" s="521">
        <f>IF((S68-T68)&gt;=8,R68*6,IF(AND((S68-T68)&lt;8,(S68-T68)&gt;=4),R68*3,0))</f>
        <v>0</v>
      </c>
      <c r="R68" s="521"/>
      <c r="S68" s="2177">
        <f>(G68-F68)/100</f>
        <v>0</v>
      </c>
      <c r="T68" s="2194"/>
      <c r="U68" s="2266"/>
      <c r="V68" s="807">
        <f>S68*R68*(100-P68)/100</f>
        <v>0</v>
      </c>
      <c r="W68" s="2196">
        <f>(Q68+((S68-0)*R68))*((100-P68)/100)</f>
        <v>0</v>
      </c>
      <c r="X68" s="2289"/>
      <c r="Y68" s="1440">
        <f>(Q68+((S68-0)*R68))*((100-P68)/100)</f>
        <v>0</v>
      </c>
      <c r="Z68" s="1419"/>
      <c r="AA68" s="1419"/>
      <c r="AB68" s="1419"/>
      <c r="AC68" s="1419"/>
      <c r="AD68" s="1419"/>
      <c r="AE68" s="1419"/>
      <c r="AF68" s="1419"/>
    </row>
    <row r="69" spans="1:32" s="1420" customFormat="1" ht="13" hidden="1">
      <c r="A69" s="2169"/>
      <c r="B69" s="2180"/>
      <c r="C69" s="2181"/>
      <c r="D69" s="2182"/>
      <c r="E69" s="2183"/>
      <c r="F69" s="2174"/>
      <c r="G69" s="2174"/>
      <c r="H69" s="2176"/>
      <c r="I69" s="2175"/>
      <c r="J69" s="2175"/>
      <c r="K69" s="2175"/>
      <c r="L69" s="2222"/>
      <c r="M69" s="2175"/>
      <c r="N69" s="2220"/>
      <c r="O69" s="2175"/>
      <c r="P69" s="2204"/>
      <c r="Q69" s="521">
        <f>IF((S69-T69)&gt;=8,R69*6,IF(AND((S69-T69)&lt;8,(S69-T69)&gt;=4),R69*3,0))</f>
        <v>0</v>
      </c>
      <c r="R69" s="521"/>
      <c r="S69" s="2177">
        <f>(G69-F69)/100</f>
        <v>0</v>
      </c>
      <c r="T69" s="2194"/>
      <c r="U69" s="2257"/>
      <c r="V69" s="2203">
        <f>S69*R69*(100-P69)/100</f>
        <v>0</v>
      </c>
      <c r="W69" s="2196">
        <f>V69</f>
        <v>0</v>
      </c>
      <c r="X69" s="2289"/>
      <c r="Y69" s="1419"/>
      <c r="Z69" s="1419"/>
      <c r="AA69" s="1419"/>
      <c r="AB69" s="1419"/>
      <c r="AC69" s="1419"/>
      <c r="AD69" s="1419"/>
      <c r="AE69" s="1419"/>
      <c r="AF69" s="1419"/>
    </row>
    <row r="70" spans="1:32" s="1420" customFormat="1" ht="13" hidden="1">
      <c r="A70" s="2169"/>
      <c r="B70" s="2180"/>
      <c r="C70" s="2181"/>
      <c r="D70" s="2182"/>
      <c r="E70" s="2183"/>
      <c r="F70" s="2174"/>
      <c r="G70" s="2174"/>
      <c r="H70" s="2176"/>
      <c r="I70" s="2175"/>
      <c r="J70" s="2175"/>
      <c r="K70" s="2175"/>
      <c r="L70" s="2222"/>
      <c r="M70" s="2175"/>
      <c r="N70" s="2220"/>
      <c r="O70" s="2175"/>
      <c r="P70" s="2239"/>
      <c r="Q70" s="521">
        <f>IF((S70-T70)&gt;=8,R70*6,IF(AND((S70-T70)&lt;8,(S70-T70)&gt;=4),R70*3,0))</f>
        <v>0</v>
      </c>
      <c r="R70" s="521"/>
      <c r="S70" s="2177">
        <f>(G70-F70)/100</f>
        <v>0</v>
      </c>
      <c r="T70" s="2194"/>
      <c r="U70" s="2267"/>
      <c r="V70" s="524">
        <f>S70*R70*(100-P70)/100</f>
        <v>0</v>
      </c>
      <c r="W70" s="2196">
        <f>V70</f>
        <v>0</v>
      </c>
      <c r="X70" s="90"/>
      <c r="Y70" s="1440">
        <f>(Q70+((S70-0)*R70))*((100-P70)/100)</f>
        <v>0</v>
      </c>
      <c r="Z70" s="1417"/>
      <c r="AA70" s="1419"/>
      <c r="AB70" s="1419"/>
      <c r="AC70" s="1419"/>
      <c r="AD70" s="1419"/>
      <c r="AE70" s="1419"/>
      <c r="AF70" s="1419"/>
    </row>
    <row r="71" spans="1:32" s="1420" customFormat="1" ht="29.15" hidden="1" customHeight="1">
      <c r="A71" s="2169"/>
      <c r="B71" s="2180"/>
      <c r="C71" s="2181"/>
      <c r="D71" s="2182"/>
      <c r="E71" s="2183"/>
      <c r="F71" s="2174"/>
      <c r="G71" s="2174"/>
      <c r="H71" s="2176"/>
      <c r="I71" s="2175"/>
      <c r="J71" s="2175"/>
      <c r="K71" s="2175"/>
      <c r="L71" s="2222"/>
      <c r="M71" s="2175"/>
      <c r="N71" s="2220"/>
      <c r="O71" s="2175"/>
      <c r="P71" s="2226"/>
      <c r="Q71" s="521">
        <f>IF((S71-T71)&gt;=8,R71*6,IF(AND((S71-T71)&lt;8,(S71-T71)&gt;=4),R71*3,0))</f>
        <v>0</v>
      </c>
      <c r="R71" s="521"/>
      <c r="S71" s="2177">
        <f>(G71-F71)/100</f>
        <v>0</v>
      </c>
      <c r="T71" s="2194"/>
      <c r="U71" s="2268"/>
      <c r="V71" s="759">
        <f>S71*R71*(100-P71)/100</f>
        <v>0</v>
      </c>
      <c r="W71" s="2196">
        <f>(Q71+((S71-8)*R71))*((100-P71)/100)</f>
        <v>0</v>
      </c>
      <c r="X71" s="2289"/>
      <c r="Y71" s="1431">
        <f>(Q71+((S71-0)*R71))*((100-P71)/100)</f>
        <v>0</v>
      </c>
      <c r="Z71" s="1419"/>
      <c r="AA71" s="1419"/>
      <c r="AB71" s="1419"/>
      <c r="AC71" s="1419"/>
      <c r="AD71" s="1419"/>
      <c r="AE71" s="1419"/>
      <c r="AF71" s="1419"/>
    </row>
    <row r="72" spans="1:32" s="1420" customFormat="1" ht="13" hidden="1">
      <c r="A72" s="2169"/>
      <c r="B72" s="2180"/>
      <c r="C72" s="2181"/>
      <c r="D72" s="2182"/>
      <c r="E72" s="2183"/>
      <c r="F72" s="2174"/>
      <c r="G72" s="2174"/>
      <c r="H72" s="2176"/>
      <c r="I72" s="2175"/>
      <c r="J72" s="2175"/>
      <c r="K72" s="2175"/>
      <c r="L72" s="2222"/>
      <c r="M72" s="2175"/>
      <c r="N72" s="2220"/>
      <c r="O72" s="2175"/>
      <c r="P72" s="2240"/>
      <c r="Q72" s="521">
        <f>IF((S72-T72)&gt;=8,R72*6,IF(AND((S72-T72)&lt;8,(S72-T72)&gt;=4),R72*3,0))</f>
        <v>0</v>
      </c>
      <c r="R72" s="521"/>
      <c r="S72" s="2177">
        <f>(G72-F72)/100</f>
        <v>0</v>
      </c>
      <c r="T72" s="2194"/>
      <c r="U72" s="2265"/>
      <c r="V72" s="524">
        <f>S72*R72*(100-P72)/100</f>
        <v>0</v>
      </c>
      <c r="W72" s="2196">
        <f>(Q72+((S72-8)*R72))*((100-P72)/100)</f>
        <v>0</v>
      </c>
      <c r="X72" s="2289"/>
      <c r="Y72" s="1431">
        <f>(Q72+((S72-0)*R72))*((100-P72)/100)</f>
        <v>0</v>
      </c>
      <c r="Z72" s="1419"/>
      <c r="AA72" s="1419"/>
      <c r="AB72" s="1419"/>
      <c r="AC72" s="1419"/>
      <c r="AD72" s="1419"/>
      <c r="AE72" s="1419"/>
      <c r="AF72" s="1419"/>
    </row>
    <row r="73" spans="1:32" s="1420" customFormat="1" ht="13" hidden="1">
      <c r="A73" s="2169"/>
      <c r="B73" s="2180"/>
      <c r="C73" s="2181"/>
      <c r="D73" s="2182"/>
      <c r="E73" s="2183"/>
      <c r="F73" s="2174"/>
      <c r="G73" s="2174"/>
      <c r="H73" s="2176"/>
      <c r="I73" s="2175"/>
      <c r="J73" s="2175"/>
      <c r="K73" s="2175"/>
      <c r="L73" s="2222"/>
      <c r="M73" s="2175"/>
      <c r="N73" s="2220"/>
      <c r="O73" s="2175"/>
      <c r="P73" s="2241"/>
      <c r="Q73" s="521">
        <f>IF((S73-T73)&gt;=8,R73*6,IF(AND((S73-T73)&lt;8,(S73-T73)&gt;=4),R73*3,0))</f>
        <v>0</v>
      </c>
      <c r="R73" s="521"/>
      <c r="S73" s="2177">
        <f>(G73-F73)/100</f>
        <v>0</v>
      </c>
      <c r="T73" s="2194"/>
      <c r="U73" s="2265"/>
      <c r="V73" s="524">
        <f>S73*R73*(100-P73)/100</f>
        <v>0</v>
      </c>
      <c r="W73" s="2196">
        <f>(Q73+((S73-8)*R73))*((100-P73)/100)</f>
        <v>0</v>
      </c>
      <c r="X73" s="2289"/>
      <c r="Y73" s="1431">
        <f>(Q73+((S73-0)*R73))*((100-P73)/100)</f>
        <v>0</v>
      </c>
      <c r="Z73" s="1419"/>
      <c r="AA73" s="1419"/>
      <c r="AB73" s="1419"/>
      <c r="AC73" s="1419"/>
      <c r="AD73" s="1419"/>
      <c r="AE73" s="1419"/>
      <c r="AF73" s="1419"/>
    </row>
    <row r="74" spans="1:32" s="1405" customFormat="1" hidden="1">
      <c r="A74" s="2169"/>
      <c r="B74" s="2180"/>
      <c r="C74" s="2181"/>
      <c r="D74" s="2182"/>
      <c r="E74" s="2183"/>
      <c r="F74" s="2174"/>
      <c r="G74" s="2174"/>
      <c r="H74" s="2176"/>
      <c r="I74" s="2175"/>
      <c r="J74" s="2175"/>
      <c r="K74" s="2175"/>
      <c r="L74" s="2222"/>
      <c r="M74" s="2175"/>
      <c r="N74" s="2220"/>
      <c r="O74" s="2175"/>
      <c r="P74" s="2226"/>
      <c r="Q74" s="521">
        <f>IF((S74-T74)&gt;=8,R74*6,IF(AND((S74-T74)&lt;8,(S74-T74)&gt;=4),R74*3,0))</f>
        <v>0</v>
      </c>
      <c r="R74" s="521"/>
      <c r="S74" s="2177">
        <f>(G74-F74)/100</f>
        <v>0</v>
      </c>
      <c r="T74" s="2194"/>
      <c r="U74" s="2265"/>
      <c r="V74" s="521">
        <f>S74*R74*(100-P74)/100</f>
        <v>0</v>
      </c>
      <c r="W74" s="2196">
        <f>V74</f>
        <v>0</v>
      </c>
      <c r="X74" s="2289"/>
      <c r="Y74" s="1419"/>
      <c r="Z74" s="1419"/>
      <c r="AA74" s="1419"/>
      <c r="AB74" s="1419"/>
      <c r="AC74" s="1419"/>
      <c r="AD74" s="1419"/>
      <c r="AE74" s="1419"/>
      <c r="AF74" s="1419"/>
    </row>
    <row r="75" spans="1:32" s="1420" customFormat="1" ht="13" hidden="1">
      <c r="A75" s="2169"/>
      <c r="B75" s="2180"/>
      <c r="C75" s="2181"/>
      <c r="D75" s="2182"/>
      <c r="E75" s="2183"/>
      <c r="F75" s="2174"/>
      <c r="G75" s="2174"/>
      <c r="H75" s="2176"/>
      <c r="I75" s="2175"/>
      <c r="J75" s="2175"/>
      <c r="K75" s="2175"/>
      <c r="L75" s="2222"/>
      <c r="M75" s="2175"/>
      <c r="N75" s="2220"/>
      <c r="O75" s="2175"/>
      <c r="P75" s="2226"/>
      <c r="Q75" s="521">
        <f>IF((S75-T75)&gt;=8,R75*6,IF(AND((S75-T75)&lt;8,(S75-T75)&gt;=4),R75*3,0))</f>
        <v>0</v>
      </c>
      <c r="R75" s="521"/>
      <c r="S75" s="2177">
        <f>(G75-F75)/100</f>
        <v>0</v>
      </c>
      <c r="T75" s="2194"/>
      <c r="U75" s="2269"/>
      <c r="V75" s="732">
        <f>S75*R75*(100-P75)/100</f>
        <v>0</v>
      </c>
      <c r="W75" s="2196">
        <f>(Q75+((S75-0)*R75))*((100-P75)/100)</f>
        <v>0</v>
      </c>
      <c r="X75" s="2289"/>
      <c r="Y75" s="1419"/>
      <c r="Z75" s="1419"/>
      <c r="AA75" s="1419"/>
      <c r="AB75" s="1419"/>
      <c r="AC75" s="1419"/>
      <c r="AD75" s="1419"/>
      <c r="AE75" s="1419"/>
      <c r="AF75" s="1419"/>
    </row>
    <row r="76" spans="1:32" s="1420" customFormat="1" ht="13" hidden="1">
      <c r="A76" s="2169"/>
      <c r="B76" s="2180"/>
      <c r="C76" s="2181"/>
      <c r="D76" s="2182"/>
      <c r="E76" s="2183"/>
      <c r="F76" s="2174"/>
      <c r="G76" s="2174"/>
      <c r="H76" s="2176"/>
      <c r="I76" s="2175"/>
      <c r="J76" s="2175"/>
      <c r="K76" s="2175"/>
      <c r="L76" s="2222"/>
      <c r="M76" s="2175"/>
      <c r="N76" s="2220"/>
      <c r="O76" s="2175"/>
      <c r="P76" s="2237"/>
      <c r="Q76" s="521">
        <f>IF((S76-T76)&gt;=8,R76*6,IF(AND((S76-T76)&lt;8,(S76-T76)&gt;=4),R76*3,0))</f>
        <v>0</v>
      </c>
      <c r="R76" s="521"/>
      <c r="S76" s="2177">
        <f>(G76-F76)/100</f>
        <v>0</v>
      </c>
      <c r="T76" s="2194"/>
      <c r="U76" s="2268"/>
      <c r="V76" s="538">
        <f>S76*R76*(100-P76)/100</f>
        <v>0</v>
      </c>
      <c r="W76" s="2196">
        <f>(Q76+((S76-0)*R76))*((100-P76)/100)</f>
        <v>0</v>
      </c>
      <c r="X76" s="2289"/>
      <c r="Y76" s="1431">
        <f>(Q76+((S76-0)*R76))*((100-P76)/100)</f>
        <v>0</v>
      </c>
      <c r="Z76" s="1419"/>
      <c r="AA76" s="1419"/>
      <c r="AB76" s="1419"/>
      <c r="AC76" s="1419"/>
      <c r="AD76" s="1419"/>
      <c r="AE76" s="1419"/>
      <c r="AF76" s="1419"/>
    </row>
    <row r="77" spans="1:32" s="1420" customFormat="1" ht="13" hidden="1">
      <c r="A77" s="2169"/>
      <c r="B77" s="2180"/>
      <c r="C77" s="2181"/>
      <c r="D77" s="2182"/>
      <c r="E77" s="2183"/>
      <c r="F77" s="2174"/>
      <c r="G77" s="2174"/>
      <c r="H77" s="2176"/>
      <c r="I77" s="2175"/>
      <c r="J77" s="2175"/>
      <c r="K77" s="2175"/>
      <c r="L77" s="2222"/>
      <c r="M77" s="2175"/>
      <c r="N77" s="2220"/>
      <c r="O77" s="2175"/>
      <c r="P77" s="2226"/>
      <c r="Q77" s="521">
        <f>IF((S77-T77)&gt;=8,R77*6,IF(AND((S77-T77)&lt;8,(S77-T77)&gt;=4),R77*3,0))</f>
        <v>0</v>
      </c>
      <c r="R77" s="521"/>
      <c r="S77" s="2177">
        <f>(G77-F77)/100</f>
        <v>0</v>
      </c>
      <c r="T77" s="2194"/>
      <c r="U77" s="2265"/>
      <c r="V77" s="521">
        <f>S77*R77*(100-P77)/100</f>
        <v>0</v>
      </c>
      <c r="W77" s="2196">
        <f>(Q77+((S77-0)*R77))*((100-P77)/100)</f>
        <v>0</v>
      </c>
      <c r="X77" s="2289"/>
      <c r="Y77" s="1431">
        <f>(Q77+((S77-0)*R77))*((100-P77)/100)</f>
        <v>0</v>
      </c>
      <c r="Z77" s="1419"/>
      <c r="AA77" s="1419"/>
      <c r="AB77" s="1419"/>
      <c r="AC77" s="1419"/>
      <c r="AD77" s="1419"/>
      <c r="AE77" s="1419"/>
      <c r="AF77" s="1419"/>
    </row>
    <row r="78" spans="1:32" s="1420" customFormat="1" ht="13" hidden="1">
      <c r="A78" s="2169"/>
      <c r="B78" s="2180"/>
      <c r="C78" s="2181"/>
      <c r="D78" s="2182"/>
      <c r="E78" s="2183"/>
      <c r="F78" s="2174"/>
      <c r="G78" s="2174"/>
      <c r="H78" s="2176"/>
      <c r="I78" s="2175"/>
      <c r="J78" s="2175"/>
      <c r="K78" s="2175"/>
      <c r="L78" s="2222"/>
      <c r="M78" s="2175"/>
      <c r="N78" s="2220"/>
      <c r="O78" s="2175"/>
      <c r="P78" s="2226"/>
      <c r="Q78" s="521">
        <f>IF((S78-T78)&gt;=8,R78*6,IF(AND((S78-T78)&lt;8,(S78-T78)&gt;=4),R78*3,0))</f>
        <v>0</v>
      </c>
      <c r="R78" s="521"/>
      <c r="S78" s="2177">
        <f>(G78-F78)/100</f>
        <v>0</v>
      </c>
      <c r="T78" s="2194"/>
      <c r="U78" s="2269"/>
      <c r="V78" s="532">
        <f>S78*R78*(100-P78)/100</f>
        <v>0</v>
      </c>
      <c r="W78" s="2196">
        <f>Q78+((S78-0)*R78)</f>
        <v>0</v>
      </c>
      <c r="X78" s="2289"/>
      <c r="Y78" s="1419"/>
      <c r="Z78" s="1419"/>
      <c r="AA78" s="1419"/>
      <c r="AB78" s="1419"/>
      <c r="AC78" s="1419"/>
      <c r="AD78" s="1419"/>
      <c r="AE78" s="1419"/>
      <c r="AF78" s="1419"/>
    </row>
    <row r="79" spans="1:32" s="1420" customFormat="1" ht="13" hidden="1">
      <c r="A79" s="2169"/>
      <c r="B79" s="2180"/>
      <c r="C79" s="2181"/>
      <c r="D79" s="2182"/>
      <c r="E79" s="2183"/>
      <c r="F79" s="2174"/>
      <c r="G79" s="2174"/>
      <c r="H79" s="2176"/>
      <c r="I79" s="2175"/>
      <c r="J79" s="2175"/>
      <c r="K79" s="2175"/>
      <c r="L79" s="2222"/>
      <c r="M79" s="2175"/>
      <c r="N79" s="2220"/>
      <c r="O79" s="2175"/>
      <c r="P79" s="2226"/>
      <c r="Q79" s="521">
        <f>IF((S79-T79)&gt;=8,R79*6,IF(AND((S79-T79)&lt;8,(S79-T79)&gt;=4),R79*3,0))</f>
        <v>0</v>
      </c>
      <c r="R79" s="521"/>
      <c r="S79" s="2177">
        <f>(G79-F79)/100</f>
        <v>0</v>
      </c>
      <c r="T79" s="2194"/>
      <c r="U79" s="2262"/>
      <c r="V79" s="270">
        <f>S79*R79*(100-P79)/100</f>
        <v>0</v>
      </c>
      <c r="W79" s="2196">
        <f>(Q79+((S79-0)*R79))*((100-P79)/100)</f>
        <v>0</v>
      </c>
      <c r="X79" s="2289"/>
      <c r="Y79" s="1419"/>
      <c r="Z79" s="1419"/>
      <c r="AA79" s="1419"/>
      <c r="AB79" s="1419"/>
      <c r="AC79" s="1419"/>
      <c r="AD79" s="1419"/>
      <c r="AE79" s="1419"/>
      <c r="AF79" s="1419"/>
    </row>
    <row r="80" spans="1:32" s="1420" customFormat="1" ht="13" hidden="1">
      <c r="A80" s="2169"/>
      <c r="B80" s="2180"/>
      <c r="C80" s="2181"/>
      <c r="D80" s="2182"/>
      <c r="E80" s="2183"/>
      <c r="F80" s="2174"/>
      <c r="G80" s="2174"/>
      <c r="H80" s="2176"/>
      <c r="I80" s="2175"/>
      <c r="J80" s="2175"/>
      <c r="K80" s="2175"/>
      <c r="L80" s="2222"/>
      <c r="M80" s="2175"/>
      <c r="N80" s="2220"/>
      <c r="O80" s="2175"/>
      <c r="P80" s="2226"/>
      <c r="Q80" s="521">
        <f>IF((S80-T80)&gt;=8,R80*6,IF(AND((S80-T80)&lt;8,(S80-T80)&gt;=4),R80*3,0))</f>
        <v>0</v>
      </c>
      <c r="R80" s="521"/>
      <c r="S80" s="2177">
        <f>(G80-F80)/100</f>
        <v>0</v>
      </c>
      <c r="T80" s="2194"/>
      <c r="U80" s="2262"/>
      <c r="V80" s="270">
        <f>S80*R80*(100-P80)/100</f>
        <v>0</v>
      </c>
      <c r="W80" s="2196">
        <f>Q80+((S80-4)*R80)</f>
        <v>0</v>
      </c>
      <c r="X80" s="2289"/>
      <c r="Y80" s="1419"/>
      <c r="Z80" s="1419"/>
      <c r="AA80" s="1419"/>
      <c r="AB80" s="1419"/>
      <c r="AC80" s="1419"/>
      <c r="AD80" s="1419"/>
      <c r="AE80" s="1419"/>
      <c r="AF80" s="1419"/>
    </row>
    <row r="81" spans="1:33" s="1420" customFormat="1" ht="17.25" hidden="1" customHeight="1">
      <c r="A81" s="2169"/>
      <c r="B81" s="2180"/>
      <c r="C81" s="2181"/>
      <c r="D81" s="2182"/>
      <c r="E81" s="2183"/>
      <c r="F81" s="2174"/>
      <c r="G81" s="2174"/>
      <c r="H81" s="2176"/>
      <c r="I81" s="2175"/>
      <c r="J81" s="2175"/>
      <c r="K81" s="2175"/>
      <c r="L81" s="2222"/>
      <c r="M81" s="2175"/>
      <c r="N81" s="2220"/>
      <c r="O81" s="2175"/>
      <c r="P81" s="2226"/>
      <c r="Q81" s="521">
        <f>IF((S81-T81)&gt;=8,R81*6,IF(AND((S81-T81)&lt;8,(S81-T81)&gt;=4),R81*3,0))</f>
        <v>0</v>
      </c>
      <c r="R81" s="521"/>
      <c r="S81" s="2177">
        <f>(G81-F81)/100</f>
        <v>0</v>
      </c>
      <c r="T81" s="2194"/>
      <c r="U81" s="2260"/>
      <c r="V81" s="270">
        <f>S81*R81*(100-P81)/100</f>
        <v>0</v>
      </c>
      <c r="W81" s="2196">
        <f>Q81+((S81-4)*R81)</f>
        <v>0</v>
      </c>
      <c r="X81" s="90"/>
      <c r="Y81" s="1431">
        <f>(Q81+((S81-0)*R81))*((100-P81)/100)</f>
        <v>0</v>
      </c>
      <c r="Z81" s="1417"/>
      <c r="AA81" s="1419"/>
      <c r="AB81" s="1419"/>
      <c r="AC81" s="1419"/>
      <c r="AD81" s="1419"/>
      <c r="AE81" s="1419"/>
      <c r="AF81" s="1419"/>
      <c r="AG81" s="1419"/>
    </row>
    <row r="82" spans="1:33" s="1420" customFormat="1" ht="13" hidden="1">
      <c r="A82" s="2169"/>
      <c r="B82" s="2180"/>
      <c r="C82" s="2181"/>
      <c r="D82" s="2182"/>
      <c r="E82" s="2183"/>
      <c r="F82" s="2174"/>
      <c r="G82" s="2174"/>
      <c r="H82" s="2176"/>
      <c r="I82" s="2175"/>
      <c r="J82" s="2175"/>
      <c r="K82" s="2175"/>
      <c r="L82" s="2222"/>
      <c r="M82" s="2175"/>
      <c r="N82" s="2220"/>
      <c r="O82" s="2175"/>
      <c r="P82" s="2226"/>
      <c r="Q82" s="521">
        <f>IF((S82-T82)&gt;=8,R82*6,IF(AND((S82-T82)&lt;8,(S82-T82)&gt;=4),R82*3,0))</f>
        <v>0</v>
      </c>
      <c r="R82" s="521"/>
      <c r="S82" s="2177">
        <f>(G82-F82)/100</f>
        <v>0</v>
      </c>
      <c r="T82" s="2194"/>
      <c r="U82" s="2262"/>
      <c r="V82" s="270">
        <f>S82*R82*(100-P82)/100</f>
        <v>0</v>
      </c>
      <c r="W82" s="2196">
        <f>(Q82+((S82-8)*R82))*((100-P82)/100)</f>
        <v>0</v>
      </c>
      <c r="X82" s="2289"/>
      <c r="Y82" s="1431">
        <f>(Q82+((S82-0)*R82))*((100-P82)/100)</f>
        <v>0</v>
      </c>
      <c r="Z82" s="1419"/>
      <c r="AA82" s="1419"/>
      <c r="AB82" s="1419"/>
      <c r="AC82" s="1419"/>
      <c r="AD82" s="1419"/>
      <c r="AE82" s="1419"/>
      <c r="AF82" s="1419"/>
      <c r="AG82" s="1419"/>
    </row>
    <row r="83" spans="1:33" s="1420" customFormat="1" ht="13" hidden="1">
      <c r="A83" s="2169"/>
      <c r="B83" s="2180"/>
      <c r="C83" s="2181"/>
      <c r="D83" s="2182"/>
      <c r="E83" s="2183"/>
      <c r="F83" s="2174"/>
      <c r="G83" s="2174"/>
      <c r="H83" s="2176"/>
      <c r="I83" s="2175"/>
      <c r="J83" s="2175"/>
      <c r="K83" s="2175"/>
      <c r="L83" s="2222"/>
      <c r="M83" s="2175"/>
      <c r="N83" s="2220"/>
      <c r="O83" s="2175"/>
      <c r="P83" s="2226"/>
      <c r="Q83" s="521">
        <f>IF((S83-T83)&gt;=8,R83*6,IF(AND((S83-T83)&lt;8,(S83-T83)&gt;=4),R83*3,0))</f>
        <v>0</v>
      </c>
      <c r="R83" s="521"/>
      <c r="S83" s="2177">
        <f>(G83-F83)/100</f>
        <v>0</v>
      </c>
      <c r="T83" s="2194"/>
      <c r="U83" s="2262"/>
      <c r="V83" s="270">
        <f>S83*R83*(100-P83)/100</f>
        <v>0</v>
      </c>
      <c r="W83" s="2196">
        <f>(Q83+((S83-0)*R83))*((100-P83)/100)</f>
        <v>0</v>
      </c>
      <c r="X83" s="2289"/>
      <c r="Y83" s="1431">
        <f>(Q83+((S83-0)*R83))*((100-P83)/100)</f>
        <v>0</v>
      </c>
      <c r="Z83" s="1419"/>
      <c r="AA83" s="1419"/>
      <c r="AB83" s="1419"/>
      <c r="AC83" s="1419"/>
      <c r="AD83" s="1419"/>
      <c r="AE83" s="1419"/>
      <c r="AF83" s="1419"/>
      <c r="AG83" s="1419"/>
    </row>
    <row r="84" spans="1:33" s="1420" customFormat="1" ht="13" hidden="1">
      <c r="A84" s="2169"/>
      <c r="B84" s="2180"/>
      <c r="C84" s="2181"/>
      <c r="D84" s="2182"/>
      <c r="E84" s="2183"/>
      <c r="F84" s="2174"/>
      <c r="G84" s="2174"/>
      <c r="H84" s="2176"/>
      <c r="I84" s="2175"/>
      <c r="J84" s="2175"/>
      <c r="K84" s="2175"/>
      <c r="L84" s="2222"/>
      <c r="M84" s="2175"/>
      <c r="N84" s="2220"/>
      <c r="O84" s="2175"/>
      <c r="P84" s="2226"/>
      <c r="Q84" s="521">
        <f>IF((S84-T84)&gt;=8,R84*6,IF(AND((S84-T84)&lt;8,(S84-T84)&gt;=4),R84*3,0))</f>
        <v>0</v>
      </c>
      <c r="R84" s="521"/>
      <c r="S84" s="2177">
        <f>(G84-F84)/100</f>
        <v>0</v>
      </c>
      <c r="T84" s="2194"/>
      <c r="U84" s="2262"/>
      <c r="V84" s="270">
        <f>S84*R84*(100-P84)/100</f>
        <v>0</v>
      </c>
      <c r="W84" s="2196">
        <f>Q84+((S84-0)*R84)</f>
        <v>0</v>
      </c>
      <c r="X84" s="2289"/>
      <c r="Y84" s="1419"/>
      <c r="Z84" s="1419"/>
      <c r="AA84" s="1419"/>
      <c r="AB84" s="1419"/>
      <c r="AC84" s="1419"/>
      <c r="AD84" s="1419"/>
      <c r="AE84" s="1419"/>
      <c r="AF84" s="1419"/>
      <c r="AG84" s="1419"/>
    </row>
    <row r="85" spans="1:33" s="1420" customFormat="1" ht="13" hidden="1">
      <c r="A85" s="2169"/>
      <c r="B85" s="2180"/>
      <c r="C85" s="2181"/>
      <c r="D85" s="2182"/>
      <c r="E85" s="2183"/>
      <c r="F85" s="2174"/>
      <c r="G85" s="2174"/>
      <c r="H85" s="2176"/>
      <c r="I85" s="2175"/>
      <c r="J85" s="2175"/>
      <c r="K85" s="2175"/>
      <c r="L85" s="2222"/>
      <c r="M85" s="2175"/>
      <c r="N85" s="2220"/>
      <c r="O85" s="2175"/>
      <c r="P85" s="2226"/>
      <c r="Q85" s="521">
        <f>IF((S85-T85)&gt;=8,R85*6,IF(AND((S85-T85)&lt;8,(S85-T85)&gt;=4),R85*3,0))</f>
        <v>0</v>
      </c>
      <c r="R85" s="521"/>
      <c r="S85" s="2177">
        <f>(G85-F85)/100</f>
        <v>0</v>
      </c>
      <c r="T85" s="2194"/>
      <c r="U85" s="2262"/>
      <c r="V85" s="270">
        <f>S85*R85*(100-P85)/100</f>
        <v>0</v>
      </c>
      <c r="W85" s="2196">
        <f>Q85+((S85-0)*R85)</f>
        <v>0</v>
      </c>
      <c r="X85" s="2289"/>
      <c r="Y85" s="1431">
        <f>(Q85+((S85-0)*R85))*((100-P85)/100)</f>
        <v>0</v>
      </c>
      <c r="Z85" s="1419"/>
      <c r="AA85" s="1419"/>
      <c r="AB85" s="1419"/>
      <c r="AC85" s="1419"/>
      <c r="AD85" s="1419"/>
      <c r="AE85" s="1419"/>
      <c r="AF85" s="1419"/>
      <c r="AG85" s="1419"/>
    </row>
    <row r="86" spans="1:33" s="1420" customFormat="1" ht="13" hidden="1">
      <c r="A86" s="2169"/>
      <c r="B86" s="2180"/>
      <c r="C86" s="2181"/>
      <c r="D86" s="2182"/>
      <c r="E86" s="2183"/>
      <c r="F86" s="2174"/>
      <c r="G86" s="2174"/>
      <c r="H86" s="2176"/>
      <c r="I86" s="2175"/>
      <c r="J86" s="2175"/>
      <c r="K86" s="2175"/>
      <c r="L86" s="2222"/>
      <c r="M86" s="2175"/>
      <c r="N86" s="2220"/>
      <c r="O86" s="2175"/>
      <c r="P86" s="2226"/>
      <c r="Q86" s="521">
        <f>IF((S86-T86)&gt;=8,R86*6,IF(AND((S86-T86)&lt;8,(S86-T86)&gt;=4),R86*3,0))</f>
        <v>0</v>
      </c>
      <c r="R86" s="521"/>
      <c r="S86" s="2177">
        <f>(G86-F86)/100</f>
        <v>0</v>
      </c>
      <c r="T86" s="2194"/>
      <c r="U86" s="2262"/>
      <c r="V86" s="270">
        <f>S86*R86*(100-P86)/100</f>
        <v>0</v>
      </c>
      <c r="W86" s="2196">
        <f>Q86+((S86-0)*R86)</f>
        <v>0</v>
      </c>
      <c r="X86" s="2289"/>
      <c r="Y86" s="1431">
        <f>(Q86+((S86-0)*R86))*((100-P86)/100)</f>
        <v>0</v>
      </c>
      <c r="Z86" s="1419"/>
      <c r="AA86" s="1419"/>
      <c r="AB86" s="1419"/>
      <c r="AC86" s="1419"/>
      <c r="AD86" s="1419"/>
      <c r="AE86" s="1419"/>
      <c r="AF86" s="1419"/>
      <c r="AG86" s="1419"/>
    </row>
    <row r="87" spans="1:33" s="1420" customFormat="1" ht="23.25" hidden="1" customHeight="1">
      <c r="A87" s="2169"/>
      <c r="B87" s="2180"/>
      <c r="C87" s="2181"/>
      <c r="D87" s="2182"/>
      <c r="E87" s="2183"/>
      <c r="F87" s="2174"/>
      <c r="G87" s="2174"/>
      <c r="H87" s="2176"/>
      <c r="I87" s="2175"/>
      <c r="J87" s="2175"/>
      <c r="K87" s="2175"/>
      <c r="L87" s="2222"/>
      <c r="M87" s="2175"/>
      <c r="N87" s="2220"/>
      <c r="O87" s="2175"/>
      <c r="P87" s="2227"/>
      <c r="Q87" s="521">
        <f>IF((S87-T87)&gt;=8,R87*6,IF(AND((S87-T87)&lt;8,(S87-T87)&gt;=4),R87*3,0))</f>
        <v>0</v>
      </c>
      <c r="R87" s="521"/>
      <c r="S87" s="2177">
        <f>(G87-F87)/100</f>
        <v>0</v>
      </c>
      <c r="T87" s="2194"/>
      <c r="U87" s="2270"/>
      <c r="V87" s="703">
        <f>S87*R87*(100-P87)/100</f>
        <v>0</v>
      </c>
      <c r="W87" s="2196">
        <f>Q87+((S87-0)*R87)</f>
        <v>0</v>
      </c>
      <c r="X87" s="2289"/>
      <c r="Y87" s="1419"/>
      <c r="Z87" s="1419"/>
      <c r="AA87" s="1419"/>
      <c r="AB87" s="1419"/>
      <c r="AC87" s="1419"/>
      <c r="AD87" s="1419"/>
      <c r="AE87" s="1419"/>
      <c r="AF87" s="1419"/>
      <c r="AG87" s="1419"/>
    </row>
    <row r="88" spans="1:33" s="1064" customFormat="1" ht="27.75" hidden="1" customHeight="1">
      <c r="A88" s="2272"/>
      <c r="B88" s="2273"/>
      <c r="C88" s="2235"/>
      <c r="D88" s="2274"/>
      <c r="E88" s="2275"/>
      <c r="F88" s="2191"/>
      <c r="G88" s="2191"/>
      <c r="H88" s="2276"/>
      <c r="I88" s="2277"/>
      <c r="J88" s="2277"/>
      <c r="K88" s="2277"/>
      <c r="L88" s="2278"/>
      <c r="M88" s="2277"/>
      <c r="N88" s="2279"/>
      <c r="O88" s="2277"/>
      <c r="P88" s="2276"/>
      <c r="Q88" s="716">
        <f>IF((S88-T88)&gt;=8,R88*6,IF(AND((S88-T88)&lt;8,(S88-T88)&gt;=4),R88*3,0))</f>
        <v>0</v>
      </c>
      <c r="R88" s="716"/>
      <c r="S88" s="2280">
        <f>(G88-F88)/100</f>
        <v>0</v>
      </c>
      <c r="T88" s="2281"/>
      <c r="U88" s="2282"/>
      <c r="V88" s="703">
        <f>S88*R88*(100-P88)/100</f>
        <v>0</v>
      </c>
      <c r="W88" s="2283">
        <f>SUBTOTAL(109,W7:W87)</f>
        <v>950000</v>
      </c>
      <c r="X88" s="2293"/>
      <c r="Y88" s="1372"/>
      <c r="Z88" s="1372">
        <f>W88*1.1</f>
        <v>1045000.0000000001</v>
      </c>
      <c r="AA88" s="1372"/>
      <c r="AB88" s="1372"/>
      <c r="AC88" s="1373"/>
      <c r="AD88" s="1374"/>
      <c r="AE88" s="1372"/>
      <c r="AF88" s="1372"/>
      <c r="AG88" s="1372"/>
    </row>
    <row r="89" spans="1:33" s="1825" customFormat="1" ht="13">
      <c r="A89" s="1590"/>
      <c r="B89" s="104"/>
      <c r="C89" s="1910"/>
      <c r="D89" s="79"/>
      <c r="E89" s="1798"/>
      <c r="F89" s="104"/>
      <c r="G89" s="104"/>
      <c r="H89" s="104"/>
      <c r="I89" s="160"/>
      <c r="J89" s="160"/>
      <c r="K89" s="104"/>
      <c r="L89" s="104"/>
      <c r="M89" s="104"/>
      <c r="N89" s="104"/>
      <c r="O89" s="104"/>
      <c r="P89" s="104"/>
      <c r="Q89" s="1824"/>
      <c r="R89" s="104"/>
      <c r="S89" s="104"/>
      <c r="T89" s="104"/>
      <c r="U89" s="104"/>
      <c r="V89" s="104"/>
      <c r="W89" s="1824"/>
      <c r="X89" s="104"/>
      <c r="Y89" s="104"/>
      <c r="Z89" s="104"/>
      <c r="AA89" s="104"/>
      <c r="AB89" s="104"/>
      <c r="AC89" s="104"/>
      <c r="AD89" s="104"/>
      <c r="AE89" s="104"/>
      <c r="AF89" s="104"/>
      <c r="AG89" s="104"/>
    </row>
    <row r="90" spans="1:33">
      <c r="A90" s="68"/>
      <c r="B90" s="68"/>
      <c r="C90" s="66"/>
      <c r="D90" s="56"/>
      <c r="E90" s="67"/>
      <c r="F90" s="68"/>
      <c r="G90" s="68"/>
      <c r="H90" s="68"/>
      <c r="I90" s="59"/>
      <c r="J90" s="59"/>
      <c r="K90" s="68"/>
      <c r="L90" s="68"/>
      <c r="M90" s="68"/>
      <c r="N90" s="68"/>
      <c r="O90" s="68"/>
      <c r="P90" s="68"/>
      <c r="Q90" s="1782"/>
      <c r="R90" s="68"/>
      <c r="S90" s="68"/>
      <c r="T90" s="68"/>
      <c r="U90" s="68" t="s">
        <v>1253</v>
      </c>
      <c r="W90" s="1826"/>
      <c r="X90" s="68"/>
      <c r="Y90" s="68"/>
      <c r="Z90" s="68"/>
      <c r="AA90" s="68"/>
      <c r="AB90" s="68"/>
      <c r="AC90" s="68"/>
      <c r="AD90" s="68"/>
      <c r="AE90" s="68"/>
      <c r="AF90" s="68"/>
      <c r="AG90" s="68"/>
    </row>
    <row r="91" spans="1:33">
      <c r="A91" s="68"/>
      <c r="B91" s="68"/>
      <c r="C91" s="66"/>
      <c r="D91" s="56"/>
      <c r="E91" s="67"/>
      <c r="F91" s="68"/>
      <c r="G91" s="68"/>
      <c r="H91" s="68"/>
      <c r="I91" s="59"/>
      <c r="J91" s="59"/>
      <c r="K91" s="68"/>
      <c r="L91" s="68"/>
      <c r="M91" s="68"/>
      <c r="N91" s="68"/>
      <c r="O91" s="68"/>
      <c r="P91" s="68"/>
      <c r="Q91" s="1782"/>
      <c r="R91" s="1826"/>
      <c r="S91" s="68"/>
      <c r="T91" s="68"/>
      <c r="U91" s="68" t="s">
        <v>1254</v>
      </c>
      <c r="W91" s="1705">
        <f>W88-W90</f>
        <v>950000</v>
      </c>
      <c r="X91" s="68"/>
      <c r="Y91" s="68"/>
      <c r="Z91" s="68"/>
      <c r="AA91" s="68"/>
      <c r="AB91" s="68"/>
      <c r="AC91" s="68"/>
      <c r="AD91" s="68"/>
      <c r="AE91" s="68"/>
      <c r="AF91" s="68"/>
      <c r="AG91" s="68"/>
    </row>
    <row r="92" spans="1:33">
      <c r="A92" s="68"/>
      <c r="B92" s="68"/>
      <c r="C92" s="66"/>
      <c r="D92" s="56"/>
      <c r="E92" s="67"/>
      <c r="F92" s="68"/>
      <c r="G92" s="68"/>
      <c r="H92" s="68"/>
      <c r="I92" s="59"/>
      <c r="J92" s="59"/>
      <c r="K92" s="68"/>
      <c r="L92" s="68"/>
      <c r="M92" s="68"/>
      <c r="N92" s="68"/>
      <c r="O92" s="68"/>
      <c r="P92" s="68"/>
      <c r="Q92" s="68"/>
      <c r="R92" s="1826"/>
      <c r="S92" s="68"/>
      <c r="T92" s="68"/>
      <c r="U92" s="68"/>
      <c r="V92" s="1826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</row>
    <row r="93" spans="1:33">
      <c r="A93" s="68"/>
      <c r="B93" s="68"/>
      <c r="C93" s="66"/>
      <c r="D93" s="56"/>
      <c r="E93" s="67"/>
      <c r="F93" s="68"/>
      <c r="G93" s="68"/>
      <c r="H93" s="68"/>
      <c r="I93" s="59"/>
      <c r="J93" s="59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 t="s">
        <v>1184</v>
      </c>
      <c r="V93" s="1826"/>
      <c r="W93" s="68"/>
      <c r="X93" s="1827">
        <f>Q38+R38*((S38*(100-P38)/100)-4)</f>
        <v>0</v>
      </c>
      <c r="Y93" s="68"/>
      <c r="Z93" s="68"/>
      <c r="AA93" s="68"/>
      <c r="AB93" s="68"/>
      <c r="AC93" s="68"/>
      <c r="AD93" s="68"/>
      <c r="AE93" s="68"/>
      <c r="AF93" s="68"/>
      <c r="AG93" s="68"/>
    </row>
    <row r="94" spans="1:33">
      <c r="A94" s="68"/>
      <c r="B94" s="68"/>
      <c r="C94" s="66"/>
      <c r="D94" s="56"/>
      <c r="E94" s="67"/>
      <c r="F94" s="68"/>
      <c r="G94" s="68"/>
      <c r="H94" s="68"/>
      <c r="I94" s="59"/>
      <c r="J94" s="59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</row>
    <row r="95" spans="1:33">
      <c r="A95" s="68"/>
      <c r="B95" s="68"/>
      <c r="C95" s="66"/>
      <c r="D95" s="56"/>
      <c r="E95" s="67"/>
      <c r="F95" s="68"/>
      <c r="G95" s="68"/>
      <c r="H95" s="68"/>
      <c r="I95" s="59"/>
      <c r="J95" s="59"/>
      <c r="K95" s="68"/>
      <c r="L95" s="68"/>
      <c r="M95" s="68"/>
      <c r="N95" s="68"/>
      <c r="O95" s="68"/>
      <c r="P95" s="68"/>
      <c r="Q95" s="1782"/>
      <c r="R95" s="68"/>
      <c r="S95" s="68"/>
      <c r="T95" s="68"/>
      <c r="U95" s="68"/>
      <c r="V95" s="68"/>
      <c r="W95" s="1782"/>
      <c r="X95" s="68"/>
      <c r="Y95" s="68"/>
      <c r="Z95" s="68"/>
      <c r="AA95" s="68"/>
      <c r="AB95" s="68"/>
      <c r="AC95" s="68"/>
      <c r="AD95" s="68"/>
      <c r="AE95" s="68"/>
      <c r="AF95" s="68"/>
      <c r="AG95" s="68"/>
    </row>
    <row r="96" spans="1:33">
      <c r="A96" s="68"/>
      <c r="B96" s="68"/>
      <c r="C96" s="66"/>
      <c r="D96" s="56"/>
      <c r="E96" s="67"/>
      <c r="F96" s="68"/>
      <c r="G96" s="68"/>
      <c r="H96" s="68"/>
      <c r="I96" s="59"/>
      <c r="J96" s="59"/>
      <c r="K96" s="68"/>
      <c r="L96" s="68"/>
      <c r="M96" s="68"/>
      <c r="N96" s="68" t="s">
        <v>1185</v>
      </c>
      <c r="O96" s="68"/>
      <c r="P96" s="68"/>
      <c r="Q96" s="1782"/>
      <c r="R96" s="68"/>
      <c r="S96" s="68"/>
      <c r="T96" s="68"/>
      <c r="U96" s="68"/>
      <c r="V96" s="68"/>
      <c r="W96" s="1782"/>
      <c r="X96" s="68"/>
      <c r="Y96" s="68"/>
      <c r="Z96" s="68"/>
      <c r="AA96" s="68"/>
      <c r="AB96" s="68"/>
      <c r="AC96" s="68"/>
      <c r="AD96" s="68"/>
      <c r="AE96" s="68"/>
      <c r="AF96" s="68"/>
      <c r="AG96" s="68"/>
    </row>
    <row r="97" spans="1:32">
      <c r="A97" s="68"/>
      <c r="B97" s="68"/>
      <c r="C97" s="66"/>
      <c r="D97" s="56"/>
      <c r="E97" s="67"/>
      <c r="F97" s="68"/>
      <c r="G97" s="68"/>
      <c r="H97" s="68"/>
      <c r="I97" s="59"/>
      <c r="J97" s="59"/>
      <c r="K97" s="68"/>
      <c r="L97" s="68"/>
      <c r="M97" s="68"/>
      <c r="N97" s="68" t="s">
        <v>1186</v>
      </c>
      <c r="O97" s="68"/>
      <c r="P97" s="68"/>
      <c r="Q97" s="1782"/>
      <c r="R97" s="68"/>
      <c r="S97" s="68"/>
      <c r="T97" s="68"/>
      <c r="U97" s="68"/>
      <c r="V97" s="68"/>
      <c r="W97" s="1782"/>
      <c r="X97" s="68"/>
      <c r="Y97" s="68"/>
      <c r="Z97" s="68"/>
      <c r="AA97" s="68"/>
      <c r="AB97" s="68"/>
      <c r="AC97" s="68"/>
      <c r="AD97" s="68"/>
      <c r="AE97" s="68"/>
      <c r="AF97" s="68"/>
    </row>
    <row r="98" spans="1:32">
      <c r="A98" s="68"/>
      <c r="B98" s="68"/>
      <c r="C98" s="66"/>
      <c r="D98" s="56"/>
      <c r="E98" s="67"/>
      <c r="F98" s="68"/>
      <c r="G98" s="68"/>
      <c r="H98" s="68"/>
      <c r="I98" s="59"/>
      <c r="J98" s="59"/>
      <c r="K98" s="68"/>
      <c r="L98" s="68"/>
      <c r="M98" s="68"/>
      <c r="N98" s="68"/>
      <c r="O98" s="68"/>
      <c r="P98" s="68"/>
      <c r="Q98" s="1782"/>
      <c r="R98" s="68"/>
      <c r="S98" s="68"/>
      <c r="T98" s="68"/>
      <c r="U98" s="68"/>
      <c r="V98" s="68"/>
      <c r="W98" s="1782"/>
      <c r="X98" s="68"/>
      <c r="Y98" s="68"/>
      <c r="Z98" s="68"/>
      <c r="AA98" s="68"/>
      <c r="AB98" s="68"/>
      <c r="AC98" s="68"/>
      <c r="AD98" s="68"/>
      <c r="AE98" s="68"/>
      <c r="AF98" s="68"/>
    </row>
    <row r="99" spans="1:32">
      <c r="A99" s="68"/>
      <c r="B99" s="68"/>
      <c r="C99" s="66"/>
      <c r="D99" s="56"/>
      <c r="E99" s="67"/>
      <c r="F99" s="68"/>
      <c r="G99" s="68"/>
      <c r="H99" s="68"/>
      <c r="I99" s="59"/>
      <c r="J99" s="59"/>
      <c r="K99" s="68"/>
      <c r="L99" s="68"/>
      <c r="M99" s="68"/>
      <c r="N99" s="68"/>
      <c r="O99" s="68"/>
      <c r="P99" s="68"/>
      <c r="Q99" s="1782"/>
      <c r="R99" s="68"/>
      <c r="S99" s="68"/>
      <c r="T99" s="68"/>
      <c r="U99" s="68"/>
      <c r="V99" s="68"/>
      <c r="W99" s="1782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2">
      <c r="A100" s="68"/>
      <c r="B100" s="68"/>
      <c r="C100" s="66"/>
      <c r="D100" s="56"/>
      <c r="E100" s="67"/>
      <c r="F100" s="68"/>
      <c r="G100" s="68"/>
      <c r="H100" s="68"/>
      <c r="I100" s="59"/>
      <c r="J100" s="59"/>
      <c r="K100" s="68"/>
      <c r="L100" s="68"/>
      <c r="M100" s="68"/>
      <c r="N100" s="68"/>
      <c r="O100" s="68"/>
      <c r="P100" s="68"/>
      <c r="Q100" s="1782"/>
      <c r="R100" s="68"/>
      <c r="S100" s="68"/>
      <c r="T100" s="68"/>
      <c r="U100" s="68"/>
      <c r="V100" s="68"/>
      <c r="W100" s="1782"/>
      <c r="X100" s="68"/>
      <c r="Y100" s="68"/>
      <c r="Z100" s="68"/>
      <c r="AA100" s="68"/>
      <c r="AB100" s="68"/>
      <c r="AC100" s="68"/>
      <c r="AD100" s="68"/>
      <c r="AE100" s="68"/>
      <c r="AF100" s="68"/>
    </row>
    <row r="1048576" spans="3:5">
      <c r="C1048576" s="66"/>
      <c r="D1048576" s="1908" t="s">
        <v>43</v>
      </c>
      <c r="E1048576" s="67"/>
    </row>
  </sheetData>
  <pageMargins left="0.7" right="0.7" top="0.75" bottom="0.75" header="0.3" footer="0.3"/>
  <pageSetup scale="24" fitToHeight="0" orientation="landscape" r:id="rId1"/>
  <legacyDrawing r:id="rId2"/>
  <tableParts count="1"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838-6FA9-4E2F-8290-69FE46DBE91B}">
  <sheetPr codeName="Sheet29">
    <pageSetUpPr fitToPage="1"/>
  </sheetPr>
  <dimension ref="A1:AG1048563"/>
  <sheetViews>
    <sheetView zoomScale="90" zoomScaleNormal="90" workbookViewId="0">
      <selection activeCell="A26" sqref="A26"/>
    </sheetView>
  </sheetViews>
  <sheetFormatPr defaultColWidth="9.1796875" defaultRowHeight="14.5" outlineLevelCol="1"/>
  <cols>
    <col min="1" max="1" width="16.1796875" style="837" customWidth="1"/>
    <col min="2" max="2" width="12.1796875" style="837" customWidth="1"/>
    <col min="3" max="3" width="9" style="837" bestFit="1" customWidth="1"/>
    <col min="4" max="4" width="27.26953125" style="837" customWidth="1"/>
    <col min="5" max="5" width="13.81640625" style="837" customWidth="1"/>
    <col min="6" max="6" width="11.453125" style="837" bestFit="1" customWidth="1"/>
    <col min="7" max="7" width="13.1796875" style="837" customWidth="1"/>
    <col min="8" max="8" width="23.54296875" style="837" customWidth="1" outlineLevel="1"/>
    <col min="9" max="9" width="13.81640625" style="837" customWidth="1" outlineLevel="1"/>
    <col min="10" max="10" width="12" style="837" customWidth="1" outlineLevel="1"/>
    <col min="11" max="11" width="11.54296875" style="837" customWidth="1" outlineLevel="1"/>
    <col min="12" max="12" width="15.453125" style="837" customWidth="1" outlineLevel="1"/>
    <col min="13" max="13" width="15" style="837" customWidth="1"/>
    <col min="14" max="14" width="25.1796875" style="837" customWidth="1"/>
    <col min="15" max="15" width="12.54296875" style="837" customWidth="1"/>
    <col min="16" max="16" width="13.1796875" style="837" customWidth="1"/>
    <col min="17" max="17" width="15.54296875" style="1828" customWidth="1"/>
    <col min="18" max="18" width="13.54296875" style="837" bestFit="1" customWidth="1"/>
    <col min="19" max="19" width="13.26953125" style="837" customWidth="1"/>
    <col min="20" max="20" width="16.7265625" style="837" customWidth="1"/>
    <col min="21" max="21" width="15.453125" style="837" customWidth="1"/>
    <col min="22" max="22" width="22.26953125" style="837" customWidth="1"/>
    <col min="23" max="23" width="16.54296875" style="837" customWidth="1"/>
    <col min="24" max="24" width="19.453125" style="1828" customWidth="1"/>
    <col min="25" max="28" width="9.1796875" style="837" customWidth="1"/>
    <col min="29" max="16384" width="9.1796875" style="837"/>
  </cols>
  <sheetData>
    <row r="1" spans="1:33" s="1787" customFormat="1" ht="20.25" customHeight="1">
      <c r="A1" s="393" t="s">
        <v>2</v>
      </c>
      <c r="B1" s="394"/>
      <c r="C1" s="394"/>
      <c r="D1" s="394"/>
      <c r="E1" s="394"/>
      <c r="F1" s="394"/>
      <c r="G1" s="394"/>
      <c r="H1" s="394"/>
      <c r="I1" s="394"/>
      <c r="J1" s="394"/>
      <c r="K1" s="394"/>
      <c r="L1" s="394"/>
      <c r="M1" s="394"/>
      <c r="N1" s="394"/>
      <c r="O1" s="394"/>
      <c r="P1" s="394"/>
      <c r="Q1" s="394"/>
      <c r="R1" s="394"/>
      <c r="S1" s="394"/>
      <c r="T1" s="394"/>
      <c r="U1" s="394"/>
      <c r="V1" s="394"/>
      <c r="W1" s="394"/>
      <c r="X1" s="1788"/>
      <c r="Y1" s="67"/>
      <c r="Z1" s="67"/>
      <c r="AA1" s="67"/>
      <c r="AB1" s="67"/>
      <c r="AC1" s="1791"/>
      <c r="AD1" s="68" t="s">
        <v>3</v>
      </c>
      <c r="AE1" s="67"/>
      <c r="AF1" s="67"/>
      <c r="AG1" s="67"/>
    </row>
    <row r="2" spans="1:33" s="1787" customFormat="1" ht="20.25" customHeight="1">
      <c r="A2" s="2013" t="s">
        <v>1140</v>
      </c>
      <c r="B2" s="2014">
        <v>45413</v>
      </c>
      <c r="C2" s="2012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1788"/>
      <c r="Y2" s="67"/>
      <c r="Z2" s="67"/>
      <c r="AA2" s="67"/>
      <c r="AB2" s="67"/>
      <c r="AC2" s="1792"/>
      <c r="AD2" s="68" t="s">
        <v>5</v>
      </c>
      <c r="AE2" s="67"/>
      <c r="AF2" s="67"/>
      <c r="AG2" s="67"/>
    </row>
    <row r="3" spans="1:33" s="1787" customFormat="1" ht="20.25" customHeight="1">
      <c r="A3" s="2013" t="s">
        <v>1141</v>
      </c>
      <c r="B3" s="2014">
        <v>45443</v>
      </c>
      <c r="C3" s="2012"/>
      <c r="D3" s="394"/>
      <c r="E3" s="394"/>
      <c r="F3" s="394"/>
      <c r="G3" s="394"/>
      <c r="H3" s="394"/>
      <c r="I3" s="394"/>
      <c r="J3" s="394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4"/>
      <c r="W3" s="394"/>
      <c r="X3" s="1788"/>
      <c r="Y3" s="67"/>
      <c r="Z3" s="67"/>
      <c r="AA3" s="67"/>
      <c r="AB3" s="67"/>
      <c r="AC3" s="1792"/>
      <c r="AD3" s="68"/>
      <c r="AE3" s="67"/>
      <c r="AF3" s="67"/>
      <c r="AG3" s="67"/>
    </row>
    <row r="4" spans="1:33" s="1787" customFormat="1" ht="19.5" customHeight="1">
      <c r="A4" s="67"/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8"/>
      <c r="N4" s="68"/>
      <c r="O4" s="68"/>
      <c r="P4" s="67"/>
      <c r="Q4" s="1793"/>
      <c r="R4" s="67"/>
      <c r="S4" s="67"/>
      <c r="T4" s="67"/>
      <c r="U4" s="67"/>
      <c r="V4" s="67"/>
      <c r="W4" s="67"/>
      <c r="X4" s="1793"/>
      <c r="Y4" s="67"/>
      <c r="Z4" s="67"/>
      <c r="AA4" s="67"/>
      <c r="AB4" s="67"/>
      <c r="AC4" s="67"/>
      <c r="AD4" s="67"/>
      <c r="AE4" s="67"/>
      <c r="AF4" s="67"/>
      <c r="AG4" s="67"/>
    </row>
    <row r="5" spans="1:33" s="1871" customFormat="1" ht="47.25" customHeight="1">
      <c r="A5" s="1950" t="s">
        <v>6</v>
      </c>
      <c r="B5" s="1913" t="s">
        <v>1255</v>
      </c>
      <c r="C5" s="1913" t="s">
        <v>7</v>
      </c>
      <c r="D5" s="1913" t="s">
        <v>8</v>
      </c>
      <c r="E5" s="1913" t="s">
        <v>9</v>
      </c>
      <c r="F5" s="1913" t="s">
        <v>10</v>
      </c>
      <c r="G5" s="1914" t="s">
        <v>11</v>
      </c>
      <c r="H5" s="1913" t="s">
        <v>1143</v>
      </c>
      <c r="I5" s="1913" t="s">
        <v>13</v>
      </c>
      <c r="J5" s="1914" t="s">
        <v>14</v>
      </c>
      <c r="K5" s="1914" t="s">
        <v>15</v>
      </c>
      <c r="L5" s="1914" t="s">
        <v>16</v>
      </c>
      <c r="M5" s="1914" t="s">
        <v>17</v>
      </c>
      <c r="N5" s="1913" t="s">
        <v>18</v>
      </c>
      <c r="O5" s="1915" t="s">
        <v>19</v>
      </c>
      <c r="P5" s="1914" t="s">
        <v>20</v>
      </c>
      <c r="Q5" s="1916" t="s">
        <v>21</v>
      </c>
      <c r="R5" s="1914" t="s">
        <v>22</v>
      </c>
      <c r="S5" s="1914" t="s">
        <v>23</v>
      </c>
      <c r="T5" s="1914" t="s">
        <v>1144</v>
      </c>
      <c r="U5" s="1914" t="s">
        <v>1145</v>
      </c>
      <c r="V5" s="1914" t="s">
        <v>24</v>
      </c>
      <c r="W5" s="1917" t="s">
        <v>25</v>
      </c>
      <c r="X5" s="1918" t="s">
        <v>1146</v>
      </c>
      <c r="Y5" s="1906" t="s">
        <v>27</v>
      </c>
      <c r="Z5" s="1869" t="s">
        <v>28</v>
      </c>
      <c r="AA5" s="1870" t="s">
        <v>29</v>
      </c>
      <c r="AB5" s="1867" t="s">
        <v>30</v>
      </c>
      <c r="AC5" s="1868"/>
      <c r="AD5" s="1868"/>
      <c r="AE5" s="1868"/>
      <c r="AF5" s="1868"/>
      <c r="AG5" s="1868"/>
    </row>
    <row r="6" spans="1:33" s="1817" customFormat="1" ht="13">
      <c r="A6" s="1951" t="s">
        <v>1256</v>
      </c>
      <c r="B6" s="1919">
        <f>ROW()-6</f>
        <v>0</v>
      </c>
      <c r="C6" s="1920"/>
      <c r="D6" s="1912" t="s">
        <v>32</v>
      </c>
      <c r="E6" s="1921">
        <v>45419</v>
      </c>
      <c r="F6" s="1922">
        <v>0.39583333333333331</v>
      </c>
      <c r="G6" s="1922">
        <v>0.45833333333333331</v>
      </c>
      <c r="H6" s="1912" t="s">
        <v>1257</v>
      </c>
      <c r="I6" s="1912" t="s">
        <v>35</v>
      </c>
      <c r="J6" s="1912" t="s">
        <v>1258</v>
      </c>
      <c r="K6" s="1912" t="s">
        <v>100</v>
      </c>
      <c r="L6" s="1912"/>
      <c r="M6" s="1912"/>
      <c r="N6" s="1912" t="s">
        <v>1259</v>
      </c>
      <c r="O6" s="1912" t="s">
        <v>1160</v>
      </c>
      <c r="P6" s="1923"/>
      <c r="Q6" s="521">
        <f>IF((T6-U6)&gt;=8,R6*6,IF(AND((T6-U6)&lt;8,(T6-U6)&gt;=4),R6*3,0))</f>
        <v>0</v>
      </c>
      <c r="R6" s="521">
        <v>950000</v>
      </c>
      <c r="S6" s="520" t="str">
        <f t="shared" ref="S6:S14" si="0">TEXT(G6-F6,"h:mm")</f>
        <v>1:30</v>
      </c>
      <c r="T6" s="520">
        <f>HOUR(S6)+(MINUTE(S6)/60)</f>
        <v>1.5</v>
      </c>
      <c r="U6" s="520"/>
      <c r="V6" s="1923"/>
      <c r="W6" s="521">
        <f>T6*R6*(100-P6)/100</f>
        <v>1425000</v>
      </c>
      <c r="X6" s="1924">
        <f t="shared" ref="X6:X29" si="1">(Q6+(((T6-U6)-0)*R6))*((100-P6)/100)</f>
        <v>1425000</v>
      </c>
      <c r="Y6" s="1816"/>
      <c r="Z6" s="1952"/>
      <c r="AA6" s="1953"/>
      <c r="AB6" s="1816"/>
      <c r="AC6" s="1816"/>
      <c r="AD6" s="1816"/>
      <c r="AE6" s="1816"/>
      <c r="AF6" s="1816"/>
      <c r="AG6" s="1816"/>
    </row>
    <row r="7" spans="1:33" s="1817" customFormat="1" ht="26">
      <c r="A7" s="1951" t="s">
        <v>47</v>
      </c>
      <c r="B7" s="1919">
        <f t="shared" ref="B7:B31" si="2">ROW()-6</f>
        <v>1</v>
      </c>
      <c r="C7" s="1925"/>
      <c r="D7" s="1912" t="s">
        <v>32</v>
      </c>
      <c r="E7" s="1921">
        <v>45414</v>
      </c>
      <c r="F7" s="1922">
        <v>0.58333333333333337</v>
      </c>
      <c r="G7" s="1922">
        <v>0.64583333333333337</v>
      </c>
      <c r="H7" s="1912" t="s">
        <v>1260</v>
      </c>
      <c r="I7" s="1912" t="s">
        <v>35</v>
      </c>
      <c r="J7" s="1912" t="s">
        <v>1261</v>
      </c>
      <c r="K7" s="1912" t="s">
        <v>37</v>
      </c>
      <c r="L7" s="1912"/>
      <c r="M7" s="1912" t="s">
        <v>1262</v>
      </c>
      <c r="N7" s="1912" t="s">
        <v>1263</v>
      </c>
      <c r="O7" s="1912" t="s">
        <v>1160</v>
      </c>
      <c r="P7" s="1926"/>
      <c r="Q7" s="521">
        <f>IF((T7-U7)&gt;=8,R7*6,IF(AND((T7-U7)&lt;8,(T7-U7)&gt;=4),R7*3,0))</f>
        <v>0</v>
      </c>
      <c r="R7" s="521">
        <v>950000</v>
      </c>
      <c r="S7" s="520" t="str">
        <f t="shared" si="0"/>
        <v>1:30</v>
      </c>
      <c r="T7" s="520">
        <f t="shared" ref="T7:T31" si="3">HOUR(S7)+(MINUTE(S7)/60)</f>
        <v>1.5</v>
      </c>
      <c r="U7" s="520">
        <v>1.5</v>
      </c>
      <c r="V7" s="1925"/>
      <c r="W7" s="521">
        <f>T7*R7*(100-P7)/100</f>
        <v>1425000</v>
      </c>
      <c r="X7" s="1924">
        <f t="shared" si="1"/>
        <v>0</v>
      </c>
      <c r="Y7" s="1466"/>
      <c r="Z7" s="1466"/>
      <c r="AA7" s="1466"/>
      <c r="AB7" s="1466"/>
      <c r="AC7" s="1466"/>
      <c r="AD7" s="1466"/>
      <c r="AE7" s="1816"/>
      <c r="AF7" s="1816"/>
      <c r="AG7" s="1816"/>
    </row>
    <row r="8" spans="1:33" s="1817" customFormat="1" ht="26">
      <c r="A8" s="1951" t="s">
        <v>47</v>
      </c>
      <c r="B8" s="1919">
        <f t="shared" si="2"/>
        <v>2</v>
      </c>
      <c r="C8" s="292"/>
      <c r="D8" s="1912" t="s">
        <v>32</v>
      </c>
      <c r="E8" s="2111">
        <v>45418</v>
      </c>
      <c r="F8" s="1922">
        <v>0.375</v>
      </c>
      <c r="G8" s="1922">
        <v>0.54166666666666663</v>
      </c>
      <c r="H8" s="1912" t="s">
        <v>1260</v>
      </c>
      <c r="I8" s="1912" t="s">
        <v>35</v>
      </c>
      <c r="J8" s="1912" t="s">
        <v>1261</v>
      </c>
      <c r="K8" s="1912" t="s">
        <v>37</v>
      </c>
      <c r="L8" s="1912"/>
      <c r="M8" s="1912" t="s">
        <v>1262</v>
      </c>
      <c r="N8" s="1912" t="s">
        <v>1264</v>
      </c>
      <c r="O8" s="1912" t="s">
        <v>1160</v>
      </c>
      <c r="P8" s="292"/>
      <c r="Q8" s="521">
        <f t="shared" ref="Q8:Q30" si="4">IF((T8-U8)&gt;=8,R8*6,IF(AND((T8-U8)&lt;8,(T8-U8)&gt;=4),R8*3,0))</f>
        <v>0</v>
      </c>
      <c r="R8" s="521">
        <v>950000</v>
      </c>
      <c r="S8" s="520" t="str">
        <f t="shared" si="0"/>
        <v>4:00</v>
      </c>
      <c r="T8" s="520">
        <f t="shared" si="3"/>
        <v>4</v>
      </c>
      <c r="U8" s="520">
        <v>3.5</v>
      </c>
      <c r="V8" s="1954"/>
      <c r="W8" s="521">
        <f t="shared" ref="W8:W31" si="5">T8*R8*(100-P8)/100</f>
        <v>3800000</v>
      </c>
      <c r="X8" s="1924">
        <f t="shared" si="1"/>
        <v>475000</v>
      </c>
      <c r="Y8" s="1955"/>
      <c r="Z8" s="1955"/>
      <c r="AA8" s="1955"/>
      <c r="AB8" s="1955"/>
      <c r="AC8" s="1955"/>
      <c r="AD8" s="1955"/>
      <c r="AE8" s="1816"/>
      <c r="AF8" s="1816"/>
      <c r="AG8" s="1816"/>
    </row>
    <row r="9" spans="1:33" s="1808" customFormat="1" ht="26">
      <c r="A9" s="1951" t="s">
        <v>47</v>
      </c>
      <c r="B9" s="1919">
        <f t="shared" si="2"/>
        <v>3</v>
      </c>
      <c r="C9" s="1920"/>
      <c r="D9" s="1912" t="s">
        <v>32</v>
      </c>
      <c r="E9" s="1921">
        <v>45419</v>
      </c>
      <c r="F9" s="1922">
        <v>0.5625</v>
      </c>
      <c r="G9" s="1922">
        <v>0.70833333333333337</v>
      </c>
      <c r="H9" s="1912" t="s">
        <v>1260</v>
      </c>
      <c r="I9" s="1912" t="s">
        <v>35</v>
      </c>
      <c r="J9" s="1912" t="s">
        <v>1261</v>
      </c>
      <c r="K9" s="1912" t="s">
        <v>37</v>
      </c>
      <c r="L9" s="1912"/>
      <c r="M9" s="1912" t="s">
        <v>1262</v>
      </c>
      <c r="N9" s="1912" t="s">
        <v>1264</v>
      </c>
      <c r="O9" s="1912" t="s">
        <v>1160</v>
      </c>
      <c r="P9" s="280"/>
      <c r="Q9" s="521">
        <f t="shared" si="4"/>
        <v>0</v>
      </c>
      <c r="R9" s="521">
        <v>950000</v>
      </c>
      <c r="S9" s="520" t="str">
        <f t="shared" si="0"/>
        <v>3:30</v>
      </c>
      <c r="T9" s="520">
        <f t="shared" si="3"/>
        <v>3.5</v>
      </c>
      <c r="U9" s="520"/>
      <c r="V9" s="280"/>
      <c r="W9" s="521">
        <f t="shared" si="5"/>
        <v>3325000</v>
      </c>
      <c r="X9" s="1924">
        <f t="shared" si="1"/>
        <v>3325000</v>
      </c>
      <c r="Y9" s="1807"/>
      <c r="Z9" s="1807"/>
      <c r="AA9" s="1807"/>
      <c r="AB9" s="1807"/>
      <c r="AC9" s="1807"/>
      <c r="AD9" s="1807"/>
      <c r="AE9" s="1807"/>
      <c r="AF9" s="1807"/>
      <c r="AG9" s="1807"/>
    </row>
    <row r="10" spans="1:33" s="1808" customFormat="1" ht="26">
      <c r="A10" s="1951" t="s">
        <v>47</v>
      </c>
      <c r="B10" s="1919">
        <f t="shared" si="2"/>
        <v>4</v>
      </c>
      <c r="C10" s="1920"/>
      <c r="D10" s="1912" t="s">
        <v>32</v>
      </c>
      <c r="E10" s="1921">
        <v>45428</v>
      </c>
      <c r="F10" s="1922">
        <v>0.375</v>
      </c>
      <c r="G10" s="1922">
        <v>0.70833333333333337</v>
      </c>
      <c r="H10" s="1912" t="s">
        <v>1260</v>
      </c>
      <c r="I10" s="1912" t="s">
        <v>35</v>
      </c>
      <c r="J10" s="1912" t="s">
        <v>1261</v>
      </c>
      <c r="K10" s="1912" t="s">
        <v>37</v>
      </c>
      <c r="L10" s="1912"/>
      <c r="M10" s="1912" t="s">
        <v>1262</v>
      </c>
      <c r="N10" s="1912" t="s">
        <v>1265</v>
      </c>
      <c r="O10" s="1912" t="s">
        <v>1160</v>
      </c>
      <c r="P10" s="280"/>
      <c r="Q10" s="521">
        <f t="shared" si="4"/>
        <v>5700000</v>
      </c>
      <c r="R10" s="521">
        <v>950000</v>
      </c>
      <c r="S10" s="520" t="str">
        <f t="shared" si="0"/>
        <v>8:00</v>
      </c>
      <c r="T10" s="520">
        <f t="shared" si="3"/>
        <v>8</v>
      </c>
      <c r="U10" s="520"/>
      <c r="V10" s="292"/>
      <c r="W10" s="521">
        <f t="shared" si="5"/>
        <v>7600000</v>
      </c>
      <c r="X10" s="1924">
        <f>(Q10+(((T10-U10)-8)*R10))*((100-P10)/100)</f>
        <v>5700000</v>
      </c>
      <c r="Y10" s="1807"/>
      <c r="Z10" s="1807"/>
      <c r="AA10" s="1807"/>
      <c r="AB10" s="1807"/>
      <c r="AC10" s="1807"/>
      <c r="AD10" s="1807"/>
      <c r="AE10" s="1807"/>
      <c r="AF10" s="1807"/>
      <c r="AG10" s="1807"/>
    </row>
    <row r="11" spans="1:33" s="1808" customFormat="1" ht="26">
      <c r="A11" s="1951" t="s">
        <v>47</v>
      </c>
      <c r="B11" s="1919">
        <f t="shared" si="2"/>
        <v>5</v>
      </c>
      <c r="C11" s="1920"/>
      <c r="D11" s="1912" t="s">
        <v>32</v>
      </c>
      <c r="E11" s="1921">
        <v>45442</v>
      </c>
      <c r="F11" s="1922">
        <v>0.60416666666666663</v>
      </c>
      <c r="G11" s="1922">
        <v>0.66666666666666663</v>
      </c>
      <c r="H11" s="1912" t="s">
        <v>1260</v>
      </c>
      <c r="I11" s="1912" t="s">
        <v>35</v>
      </c>
      <c r="J11" s="1912" t="s">
        <v>1261</v>
      </c>
      <c r="K11" s="1912" t="s">
        <v>37</v>
      </c>
      <c r="L11" s="1912"/>
      <c r="M11" s="1912" t="s">
        <v>1262</v>
      </c>
      <c r="N11" s="1912" t="s">
        <v>1266</v>
      </c>
      <c r="O11" s="1912" t="s">
        <v>1160</v>
      </c>
      <c r="P11" s="1927"/>
      <c r="Q11" s="521">
        <f t="shared" si="4"/>
        <v>0</v>
      </c>
      <c r="R11" s="521">
        <v>950000</v>
      </c>
      <c r="S11" s="520" t="str">
        <f t="shared" si="0"/>
        <v>1:30</v>
      </c>
      <c r="T11" s="520">
        <f t="shared" si="3"/>
        <v>1.5</v>
      </c>
      <c r="U11" s="520"/>
      <c r="V11" s="1928"/>
      <c r="W11" s="521">
        <f t="shared" si="5"/>
        <v>1425000</v>
      </c>
      <c r="X11" s="1924">
        <f t="shared" si="1"/>
        <v>1425000</v>
      </c>
      <c r="Y11" s="1807"/>
      <c r="Z11" s="1807"/>
      <c r="AA11" s="1807"/>
      <c r="AB11" s="1807"/>
      <c r="AC11" s="1807"/>
      <c r="AD11" s="1807"/>
      <c r="AE11" s="1807"/>
      <c r="AF11" s="1807"/>
      <c r="AG11" s="1807"/>
    </row>
    <row r="12" spans="1:33" s="1808" customFormat="1" ht="13">
      <c r="A12" s="1951" t="s">
        <v>284</v>
      </c>
      <c r="B12" s="1919">
        <f t="shared" si="2"/>
        <v>6</v>
      </c>
      <c r="C12" s="1920"/>
      <c r="D12" s="1912" t="s">
        <v>43</v>
      </c>
      <c r="E12" s="1921">
        <v>45415</v>
      </c>
      <c r="F12" s="1922">
        <v>0.58333333333333337</v>
      </c>
      <c r="G12" s="1922">
        <v>0.625</v>
      </c>
      <c r="H12" s="1912" t="s">
        <v>969</v>
      </c>
      <c r="I12" s="1912" t="s">
        <v>35</v>
      </c>
      <c r="J12" s="1929" t="s">
        <v>1267</v>
      </c>
      <c r="K12" s="1912" t="s">
        <v>76</v>
      </c>
      <c r="L12" s="1930"/>
      <c r="M12" s="1930"/>
      <c r="N12" s="1912" t="s">
        <v>1268</v>
      </c>
      <c r="O12" s="1912" t="s">
        <v>1160</v>
      </c>
      <c r="P12" s="1923"/>
      <c r="Q12" s="521">
        <f t="shared" si="4"/>
        <v>0</v>
      </c>
      <c r="R12" s="521">
        <v>500000</v>
      </c>
      <c r="S12" s="520" t="str">
        <f t="shared" si="0"/>
        <v>1:00</v>
      </c>
      <c r="T12" s="520">
        <f t="shared" si="3"/>
        <v>1</v>
      </c>
      <c r="U12" s="520"/>
      <c r="V12" s="1923"/>
      <c r="W12" s="521">
        <f t="shared" si="5"/>
        <v>500000</v>
      </c>
      <c r="X12" s="1924">
        <f t="shared" si="1"/>
        <v>500000</v>
      </c>
      <c r="Y12" s="1816"/>
      <c r="Z12" s="1952"/>
      <c r="AA12" s="1953"/>
      <c r="AB12" s="1816"/>
      <c r="AC12" s="1816"/>
      <c r="AD12" s="1816"/>
      <c r="AE12" s="1807"/>
      <c r="AF12" s="1807"/>
      <c r="AG12" s="1807"/>
    </row>
    <row r="13" spans="1:33" s="1808" customFormat="1" ht="14.5" hidden="1" customHeight="1">
      <c r="A13" s="1951" t="s">
        <v>89</v>
      </c>
      <c r="B13" s="1919">
        <f t="shared" si="2"/>
        <v>7</v>
      </c>
      <c r="C13" s="1920"/>
      <c r="D13" s="1912" t="s">
        <v>43</v>
      </c>
      <c r="E13" s="1921">
        <v>45418</v>
      </c>
      <c r="F13" s="1922">
        <v>0.39583333333333331</v>
      </c>
      <c r="G13" s="1922">
        <v>0.4375</v>
      </c>
      <c r="H13" s="1912" t="s">
        <v>1269</v>
      </c>
      <c r="I13" s="1912" t="s">
        <v>35</v>
      </c>
      <c r="J13" s="1929" t="s">
        <v>1270</v>
      </c>
      <c r="K13" s="1912" t="s">
        <v>76</v>
      </c>
      <c r="L13" s="1930"/>
      <c r="M13" s="1930"/>
      <c r="N13" s="1931"/>
      <c r="O13" s="1912" t="s">
        <v>1160</v>
      </c>
      <c r="P13" s="280"/>
      <c r="Q13" s="521">
        <f t="shared" si="4"/>
        <v>0</v>
      </c>
      <c r="R13" s="521">
        <v>500000</v>
      </c>
      <c r="S13" s="520" t="str">
        <f t="shared" si="0"/>
        <v>1:00</v>
      </c>
      <c r="T13" s="520">
        <f t="shared" si="3"/>
        <v>1</v>
      </c>
      <c r="U13" s="520"/>
      <c r="V13" s="280"/>
      <c r="W13" s="521">
        <f t="shared" si="5"/>
        <v>500000</v>
      </c>
      <c r="X13" s="1932">
        <f t="shared" si="1"/>
        <v>500000</v>
      </c>
      <c r="Y13" s="1807"/>
      <c r="Z13" s="1807"/>
      <c r="AA13" s="1807"/>
      <c r="AB13" s="1807"/>
      <c r="AC13" s="1807"/>
      <c r="AD13" s="1807"/>
      <c r="AE13" s="1807"/>
      <c r="AF13" s="1807"/>
      <c r="AG13" s="1807"/>
    </row>
    <row r="14" spans="1:33" s="1808" customFormat="1" ht="13" hidden="1">
      <c r="A14" s="1951" t="s">
        <v>89</v>
      </c>
      <c r="B14" s="1919">
        <f t="shared" si="2"/>
        <v>8</v>
      </c>
      <c r="C14" s="1920"/>
      <c r="D14" s="1912" t="s">
        <v>43</v>
      </c>
      <c r="E14" s="1921">
        <v>45419</v>
      </c>
      <c r="F14" s="1922">
        <v>0.58333333333333337</v>
      </c>
      <c r="G14" s="1922">
        <v>0.60416666666666663</v>
      </c>
      <c r="H14" s="1912" t="s">
        <v>1269</v>
      </c>
      <c r="I14" s="1912" t="s">
        <v>35</v>
      </c>
      <c r="J14" s="1929" t="s">
        <v>1270</v>
      </c>
      <c r="K14" s="1912" t="s">
        <v>76</v>
      </c>
      <c r="L14" s="1930"/>
      <c r="M14" s="292"/>
      <c r="N14" s="1931"/>
      <c r="O14" s="1912" t="s">
        <v>1160</v>
      </c>
      <c r="P14" s="1923"/>
      <c r="Q14" s="521">
        <f t="shared" si="4"/>
        <v>0</v>
      </c>
      <c r="R14" s="521">
        <v>500000</v>
      </c>
      <c r="S14" s="520" t="str">
        <f t="shared" si="0"/>
        <v>0:30</v>
      </c>
      <c r="T14" s="520">
        <f t="shared" si="3"/>
        <v>0.5</v>
      </c>
      <c r="U14" s="520"/>
      <c r="V14" s="1923"/>
      <c r="W14" s="521">
        <f t="shared" si="5"/>
        <v>250000</v>
      </c>
      <c r="X14" s="1932">
        <f t="shared" si="1"/>
        <v>250000</v>
      </c>
      <c r="Y14" s="1816"/>
      <c r="Z14" s="1952"/>
      <c r="AA14" s="1953"/>
      <c r="AB14" s="1816"/>
      <c r="AC14" s="1816"/>
      <c r="AD14" s="1816"/>
      <c r="AE14" s="1807"/>
      <c r="AF14" s="1807"/>
      <c r="AG14" s="1807"/>
    </row>
    <row r="15" spans="1:33" s="1817" customFormat="1" ht="13">
      <c r="A15" s="1956" t="s">
        <v>1209</v>
      </c>
      <c r="B15" s="1919">
        <f t="shared" si="2"/>
        <v>9</v>
      </c>
      <c r="C15" s="1920"/>
      <c r="D15" s="1912" t="s">
        <v>43</v>
      </c>
      <c r="E15" s="1921">
        <v>45421</v>
      </c>
      <c r="F15" s="1922">
        <v>0.58333333333333337</v>
      </c>
      <c r="G15" s="1922">
        <v>0.66666666666666663</v>
      </c>
      <c r="H15" s="1912" t="s">
        <v>1271</v>
      </c>
      <c r="I15" s="1912" t="s">
        <v>35</v>
      </c>
      <c r="J15" s="1933" t="s">
        <v>1211</v>
      </c>
      <c r="K15" s="1912" t="s">
        <v>76</v>
      </c>
      <c r="L15" s="1934"/>
      <c r="M15" s="1934"/>
      <c r="N15" s="1935">
        <v>45420.666666666664</v>
      </c>
      <c r="O15" s="1912" t="s">
        <v>1160</v>
      </c>
      <c r="P15" s="1920"/>
      <c r="Q15" s="521">
        <f t="shared" si="4"/>
        <v>0</v>
      </c>
      <c r="R15" s="521">
        <v>500000</v>
      </c>
      <c r="S15" s="520" t="str">
        <f>TEXT(G15-F15,"h:mm")</f>
        <v>2:00</v>
      </c>
      <c r="T15" s="520">
        <f t="shared" si="3"/>
        <v>2</v>
      </c>
      <c r="U15" s="520"/>
      <c r="V15" s="1920"/>
      <c r="W15" s="521">
        <f t="shared" si="5"/>
        <v>1000000</v>
      </c>
      <c r="X15" s="1924">
        <f t="shared" si="1"/>
        <v>1000000</v>
      </c>
      <c r="Y15" s="1816"/>
      <c r="Z15" s="1816"/>
      <c r="AA15" s="1816"/>
      <c r="AB15" s="1816"/>
      <c r="AC15" s="1816"/>
      <c r="AD15" s="1816"/>
      <c r="AE15" s="1816"/>
      <c r="AF15" s="1816"/>
      <c r="AG15" s="1816"/>
    </row>
    <row r="16" spans="1:33" s="1808" customFormat="1" ht="13" hidden="1">
      <c r="A16" s="1956" t="s">
        <v>1107</v>
      </c>
      <c r="B16" s="1919">
        <f t="shared" si="2"/>
        <v>10</v>
      </c>
      <c r="C16" s="1920"/>
      <c r="D16" s="1912" t="s">
        <v>32</v>
      </c>
      <c r="E16" s="1921">
        <v>45426</v>
      </c>
      <c r="F16" s="1936"/>
      <c r="G16" s="1936"/>
      <c r="H16" s="1912" t="s">
        <v>1272</v>
      </c>
      <c r="I16" s="1912"/>
      <c r="J16" s="1929" t="s">
        <v>1273</v>
      </c>
      <c r="K16" s="1912" t="s">
        <v>100</v>
      </c>
      <c r="L16" s="1930"/>
      <c r="M16" s="1930"/>
      <c r="N16" s="1931" t="s">
        <v>1274</v>
      </c>
      <c r="O16" s="1912" t="s">
        <v>1275</v>
      </c>
      <c r="P16" s="521"/>
      <c r="Q16" s="521">
        <f t="shared" ref="Q16:Q31" si="6">IF((S16-T16)&gt;=8,R16*6,IF(AND((S16-T16)&lt;8,(S16-T16)&gt;=4),R16*3,0))</f>
        <v>0</v>
      </c>
      <c r="R16" s="521"/>
      <c r="S16" s="520" t="str">
        <f t="shared" ref="S16:S30" si="7">TEXT(G16-F16,"h:mm")</f>
        <v>0:00</v>
      </c>
      <c r="T16" s="520">
        <f t="shared" si="3"/>
        <v>0</v>
      </c>
      <c r="U16" s="520"/>
      <c r="V16" s="1920"/>
      <c r="W16" s="521">
        <f t="shared" si="5"/>
        <v>0</v>
      </c>
      <c r="X16" s="1924">
        <f t="shared" ref="X16:X31" si="8">(Q16+(((T16-U16)-0)*R16))*((100-P16)/100)</f>
        <v>0</v>
      </c>
      <c r="Y16" s="1807"/>
      <c r="Z16" s="1807"/>
      <c r="AA16" s="1807"/>
      <c r="AB16" s="1807"/>
      <c r="AC16" s="1807"/>
      <c r="AD16" s="1807"/>
      <c r="AE16" s="1807"/>
      <c r="AF16" s="1807"/>
      <c r="AG16" s="1807"/>
    </row>
    <row r="17" spans="1:33" s="1808" customFormat="1">
      <c r="A17" s="1956" t="s">
        <v>38</v>
      </c>
      <c r="B17" s="1919">
        <f t="shared" si="2"/>
        <v>11</v>
      </c>
      <c r="C17" s="1920"/>
      <c r="D17" s="1912" t="s">
        <v>32</v>
      </c>
      <c r="E17" s="1921">
        <v>45434</v>
      </c>
      <c r="F17" s="1922">
        <v>0.375</v>
      </c>
      <c r="G17" s="1922">
        <v>0.5</v>
      </c>
      <c r="H17" s="1912" t="s">
        <v>1276</v>
      </c>
      <c r="I17" s="1929" t="s">
        <v>259</v>
      </c>
      <c r="J17" s="1929" t="s">
        <v>1148</v>
      </c>
      <c r="K17" s="1912" t="s">
        <v>56</v>
      </c>
      <c r="L17" s="292"/>
      <c r="M17" s="1930" t="s">
        <v>1151</v>
      </c>
      <c r="N17" s="1931" t="s">
        <v>1277</v>
      </c>
      <c r="O17" s="1912" t="s">
        <v>1160</v>
      </c>
      <c r="P17" s="1027"/>
      <c r="Q17" s="521">
        <f t="shared" si="4"/>
        <v>0</v>
      </c>
      <c r="R17" s="521">
        <v>950000</v>
      </c>
      <c r="S17" s="520" t="str">
        <f t="shared" si="7"/>
        <v>3:00</v>
      </c>
      <c r="T17" s="520">
        <f t="shared" si="3"/>
        <v>3</v>
      </c>
      <c r="U17" s="520">
        <v>3</v>
      </c>
      <c r="V17" s="1920"/>
      <c r="W17" s="521">
        <f t="shared" si="5"/>
        <v>2850000</v>
      </c>
      <c r="X17" s="1924">
        <f t="shared" si="1"/>
        <v>0</v>
      </c>
      <c r="Y17" s="1807"/>
      <c r="Z17" s="1807"/>
      <c r="AA17" s="1807"/>
      <c r="AB17" s="1807"/>
      <c r="AC17" s="1807"/>
      <c r="AD17" s="1807"/>
      <c r="AE17" s="1807"/>
      <c r="AF17" s="1807"/>
      <c r="AG17" s="1807"/>
    </row>
    <row r="18" spans="1:33" s="1808" customFormat="1" ht="13">
      <c r="A18" s="1956" t="s">
        <v>72</v>
      </c>
      <c r="B18" s="1919">
        <f t="shared" si="2"/>
        <v>12</v>
      </c>
      <c r="C18" s="1920"/>
      <c r="D18" s="1912" t="s">
        <v>43</v>
      </c>
      <c r="E18" s="1921">
        <v>45425</v>
      </c>
      <c r="F18" s="1922">
        <v>0.54166666666666663</v>
      </c>
      <c r="G18" s="1922">
        <v>0.625</v>
      </c>
      <c r="H18" s="1912" t="s">
        <v>1278</v>
      </c>
      <c r="I18" s="1929"/>
      <c r="J18" s="1929"/>
      <c r="K18" s="1912" t="s">
        <v>76</v>
      </c>
      <c r="L18" s="1930"/>
      <c r="M18" s="1930" t="s">
        <v>1279</v>
      </c>
      <c r="N18" s="1931"/>
      <c r="O18" s="1912" t="s">
        <v>1160</v>
      </c>
      <c r="P18" s="1883"/>
      <c r="Q18" s="521">
        <f t="shared" si="4"/>
        <v>0</v>
      </c>
      <c r="R18" s="521">
        <v>500000</v>
      </c>
      <c r="S18" s="520" t="str">
        <f t="shared" si="7"/>
        <v>2:00</v>
      </c>
      <c r="T18" s="520">
        <f t="shared" si="3"/>
        <v>2</v>
      </c>
      <c r="U18" s="520"/>
      <c r="V18" s="1883"/>
      <c r="W18" s="521">
        <f t="shared" si="5"/>
        <v>1000000</v>
      </c>
      <c r="X18" s="1924">
        <f t="shared" si="1"/>
        <v>1000000</v>
      </c>
      <c r="Y18" s="1807"/>
      <c r="Z18" s="1807"/>
      <c r="AA18" s="1807"/>
      <c r="AB18" s="1807"/>
      <c r="AC18" s="1807"/>
      <c r="AD18" s="1807"/>
      <c r="AE18" s="1807"/>
      <c r="AF18" s="1807"/>
      <c r="AG18" s="1807"/>
    </row>
    <row r="19" spans="1:33" s="1825" customFormat="1" ht="26" hidden="1">
      <c r="A19" s="1951" t="s">
        <v>47</v>
      </c>
      <c r="B19" s="1919">
        <f t="shared" si="2"/>
        <v>13</v>
      </c>
      <c r="C19" s="1920"/>
      <c r="D19" s="1912" t="s">
        <v>43</v>
      </c>
      <c r="E19" s="1921">
        <v>45428</v>
      </c>
      <c r="F19" s="1922">
        <v>0.45833333333333331</v>
      </c>
      <c r="G19" s="1922">
        <v>0.5</v>
      </c>
      <c r="H19" s="1912" t="s">
        <v>1260</v>
      </c>
      <c r="I19" s="1912" t="s">
        <v>35</v>
      </c>
      <c r="J19" s="1929"/>
      <c r="K19" s="1912" t="s">
        <v>76</v>
      </c>
      <c r="L19" s="1930"/>
      <c r="M19" s="1912" t="s">
        <v>1262</v>
      </c>
      <c r="N19" s="1931">
        <v>45428.5</v>
      </c>
      <c r="O19" s="1912" t="s">
        <v>1275</v>
      </c>
      <c r="P19" s="521"/>
      <c r="Q19" s="521">
        <f t="shared" si="6"/>
        <v>0</v>
      </c>
      <c r="R19" s="521">
        <v>500000</v>
      </c>
      <c r="S19" s="520" t="str">
        <f t="shared" si="7"/>
        <v>1:00</v>
      </c>
      <c r="T19" s="520">
        <f t="shared" si="3"/>
        <v>1</v>
      </c>
      <c r="U19" s="520"/>
      <c r="V19" s="280"/>
      <c r="W19" s="521">
        <f t="shared" si="5"/>
        <v>500000</v>
      </c>
      <c r="X19" s="1924">
        <f t="shared" si="8"/>
        <v>500000</v>
      </c>
      <c r="Y19" s="104"/>
      <c r="Z19" s="104"/>
      <c r="AA19" s="104"/>
      <c r="AB19" s="104"/>
      <c r="AC19" s="104"/>
      <c r="AD19" s="104"/>
      <c r="AE19" s="104"/>
      <c r="AF19" s="104"/>
      <c r="AG19" s="104"/>
    </row>
    <row r="20" spans="1:33" s="1808" customFormat="1" ht="13">
      <c r="A20" s="1951" t="s">
        <v>284</v>
      </c>
      <c r="B20" s="1919">
        <f t="shared" si="2"/>
        <v>14</v>
      </c>
      <c r="C20" s="1082"/>
      <c r="D20" s="1912" t="s">
        <v>43</v>
      </c>
      <c r="E20" s="1937">
        <v>45427</v>
      </c>
      <c r="F20" s="1922">
        <v>0.375</v>
      </c>
      <c r="G20" s="1922">
        <v>0.41666666666666669</v>
      </c>
      <c r="H20" s="1082" t="s">
        <v>969</v>
      </c>
      <c r="I20" s="1912" t="s">
        <v>35</v>
      </c>
      <c r="J20" s="292" t="s">
        <v>1280</v>
      </c>
      <c r="K20" s="1883">
        <v>6</v>
      </c>
      <c r="L20" s="1082"/>
      <c r="M20" s="1082"/>
      <c r="N20" s="1938">
        <v>45427.375</v>
      </c>
      <c r="O20" s="1082" t="s">
        <v>1160</v>
      </c>
      <c r="P20" s="280"/>
      <c r="Q20" s="521">
        <f t="shared" si="4"/>
        <v>0</v>
      </c>
      <c r="R20" s="521">
        <v>500000</v>
      </c>
      <c r="S20" s="520" t="str">
        <f t="shared" si="7"/>
        <v>1:00</v>
      </c>
      <c r="T20" s="520">
        <f t="shared" si="3"/>
        <v>1</v>
      </c>
      <c r="U20" s="520"/>
      <c r="V20" s="280"/>
      <c r="W20" s="521">
        <f t="shared" si="5"/>
        <v>500000</v>
      </c>
      <c r="X20" s="1924">
        <f t="shared" si="1"/>
        <v>500000</v>
      </c>
      <c r="Y20" s="1807"/>
      <c r="Z20" s="1807"/>
      <c r="AA20" s="1807"/>
      <c r="AB20" s="1807"/>
      <c r="AC20" s="1807"/>
      <c r="AD20" s="1807"/>
      <c r="AE20" s="1807"/>
      <c r="AF20" s="1807"/>
      <c r="AG20" s="1807"/>
    </row>
    <row r="21" spans="1:33" s="1466" customFormat="1" ht="26" hidden="1">
      <c r="A21" s="1951" t="s">
        <v>47</v>
      </c>
      <c r="B21" s="1919">
        <f t="shared" si="2"/>
        <v>15</v>
      </c>
      <c r="C21" s="1920"/>
      <c r="D21" s="1912" t="s">
        <v>43</v>
      </c>
      <c r="E21" s="1921">
        <v>45428</v>
      </c>
      <c r="F21" s="1922">
        <v>0.58333333333333337</v>
      </c>
      <c r="G21" s="1922">
        <v>0.64583333333333337</v>
      </c>
      <c r="H21" s="1912" t="s">
        <v>1260</v>
      </c>
      <c r="I21" s="1912" t="s">
        <v>35</v>
      </c>
      <c r="J21" s="1929"/>
      <c r="K21" s="1912" t="s">
        <v>76</v>
      </c>
      <c r="L21" s="1930"/>
      <c r="M21" s="1912" t="s">
        <v>1262</v>
      </c>
      <c r="N21" s="1931">
        <v>45428.5</v>
      </c>
      <c r="O21" s="1912" t="s">
        <v>1275</v>
      </c>
      <c r="P21" s="1027"/>
      <c r="Q21" s="521">
        <f t="shared" si="6"/>
        <v>0</v>
      </c>
      <c r="R21" s="521"/>
      <c r="S21" s="520">
        <f t="shared" ref="S21:S31" si="9">(G21-F21)/100</f>
        <v>6.2500000000000001E-4</v>
      </c>
      <c r="T21" s="520">
        <f t="shared" si="3"/>
        <v>0</v>
      </c>
      <c r="U21" s="520"/>
      <c r="V21" s="1920"/>
      <c r="W21" s="521">
        <f t="shared" si="5"/>
        <v>0</v>
      </c>
      <c r="X21" s="1924">
        <f t="shared" si="8"/>
        <v>0</v>
      </c>
      <c r="Y21" s="1807"/>
      <c r="Z21" s="1807"/>
      <c r="AA21" s="1807"/>
      <c r="AB21" s="1807"/>
      <c r="AC21" s="1807"/>
      <c r="AD21" s="1807"/>
    </row>
    <row r="22" spans="1:33" s="1808" customFormat="1">
      <c r="A22" s="1951" t="s">
        <v>284</v>
      </c>
      <c r="B22" s="1919">
        <f t="shared" si="2"/>
        <v>16</v>
      </c>
      <c r="C22" s="1939"/>
      <c r="D22" s="1912" t="s">
        <v>43</v>
      </c>
      <c r="E22" s="1921">
        <v>45429</v>
      </c>
      <c r="F22" s="1922">
        <v>0.625</v>
      </c>
      <c r="G22" s="1922">
        <v>0.70833333333333337</v>
      </c>
      <c r="H22" s="1939" t="s">
        <v>969</v>
      </c>
      <c r="I22" s="1939" t="s">
        <v>35</v>
      </c>
      <c r="J22" s="1939"/>
      <c r="K22" s="1939">
        <v>6</v>
      </c>
      <c r="L22" s="1939"/>
      <c r="M22" s="1939"/>
      <c r="N22" s="1940">
        <v>45429.625</v>
      </c>
      <c r="O22" s="1939" t="s">
        <v>1160</v>
      </c>
      <c r="P22" s="520"/>
      <c r="Q22" s="521">
        <f t="shared" si="4"/>
        <v>0</v>
      </c>
      <c r="R22" s="521">
        <v>500000</v>
      </c>
      <c r="S22" s="520" t="str">
        <f t="shared" si="7"/>
        <v>2:00</v>
      </c>
      <c r="T22" s="520">
        <f t="shared" si="3"/>
        <v>2</v>
      </c>
      <c r="U22" s="520"/>
      <c r="V22" s="292"/>
      <c r="W22" s="521">
        <f t="shared" si="5"/>
        <v>1000000</v>
      </c>
      <c r="X22" s="1924">
        <f t="shared" si="1"/>
        <v>1000000</v>
      </c>
      <c r="Y22" s="1807"/>
      <c r="Z22" s="1807"/>
      <c r="AA22" s="1807"/>
      <c r="AB22" s="1807"/>
      <c r="AC22" s="1807"/>
      <c r="AD22" s="1807"/>
      <c r="AE22" s="1807"/>
      <c r="AF22" s="1807"/>
      <c r="AG22" s="1807"/>
    </row>
    <row r="23" spans="1:33" s="1808" customFormat="1">
      <c r="A23" s="1951" t="s">
        <v>284</v>
      </c>
      <c r="B23" s="1919">
        <f t="shared" si="2"/>
        <v>17</v>
      </c>
      <c r="C23" s="1939"/>
      <c r="D23" s="1912" t="s">
        <v>43</v>
      </c>
      <c r="E23" s="1941">
        <v>45432</v>
      </c>
      <c r="F23" s="1922">
        <v>0.66666666666666663</v>
      </c>
      <c r="G23" s="1922">
        <v>0.75</v>
      </c>
      <c r="H23" s="1939" t="s">
        <v>969</v>
      </c>
      <c r="I23" s="1939" t="s">
        <v>35</v>
      </c>
      <c r="J23" s="1939" t="s">
        <v>1267</v>
      </c>
      <c r="K23" s="1939">
        <v>6</v>
      </c>
      <c r="L23" s="1939"/>
      <c r="M23" s="1939"/>
      <c r="N23" s="1940">
        <v>45432.666666666664</v>
      </c>
      <c r="O23" s="1939" t="s">
        <v>1160</v>
      </c>
      <c r="P23" s="1920"/>
      <c r="Q23" s="521">
        <f t="shared" si="4"/>
        <v>0</v>
      </c>
      <c r="R23" s="521">
        <v>500000</v>
      </c>
      <c r="S23" s="520" t="str">
        <f t="shared" si="7"/>
        <v>2:00</v>
      </c>
      <c r="T23" s="520">
        <f t="shared" si="3"/>
        <v>2</v>
      </c>
      <c r="U23" s="520"/>
      <c r="V23" s="1883"/>
      <c r="W23" s="521">
        <f t="shared" si="5"/>
        <v>1000000</v>
      </c>
      <c r="X23" s="1924">
        <f t="shared" si="1"/>
        <v>1000000</v>
      </c>
      <c r="Y23" s="1807"/>
      <c r="Z23" s="1807"/>
      <c r="AA23" s="1807"/>
      <c r="AB23" s="1807"/>
      <c r="AC23" s="1807"/>
      <c r="AD23" s="1807"/>
      <c r="AE23" s="1807"/>
      <c r="AF23" s="1807"/>
      <c r="AG23" s="1807"/>
    </row>
    <row r="24" spans="1:33" s="1808" customFormat="1" hidden="1">
      <c r="A24" s="1951" t="s">
        <v>1094</v>
      </c>
      <c r="B24" s="1919">
        <f t="shared" si="2"/>
        <v>18</v>
      </c>
      <c r="C24" s="1920"/>
      <c r="D24" s="1912" t="s">
        <v>32</v>
      </c>
      <c r="E24" s="1921">
        <v>45442</v>
      </c>
      <c r="F24" s="1922">
        <v>0.375</v>
      </c>
      <c r="G24" s="1922">
        <v>0.45833333333333331</v>
      </c>
      <c r="H24" s="1912" t="s">
        <v>1281</v>
      </c>
      <c r="I24" s="1912" t="s">
        <v>35</v>
      </c>
      <c r="J24" s="1912" t="s">
        <v>1282</v>
      </c>
      <c r="K24" s="1912" t="s">
        <v>37</v>
      </c>
      <c r="L24" s="1912"/>
      <c r="M24" s="1912"/>
      <c r="N24" s="1940">
        <v>45439.515277777777</v>
      </c>
      <c r="O24" s="1912" t="s">
        <v>1283</v>
      </c>
      <c r="P24" s="280"/>
      <c r="Q24" s="521">
        <f t="shared" si="6"/>
        <v>0</v>
      </c>
      <c r="R24" s="521"/>
      <c r="S24" s="520">
        <f t="shared" si="9"/>
        <v>8.3333333333333317E-4</v>
      </c>
      <c r="T24" s="520">
        <f t="shared" si="3"/>
        <v>1.6666666666666666E-2</v>
      </c>
      <c r="U24" s="520"/>
      <c r="V24" s="280"/>
      <c r="W24" s="521">
        <f t="shared" si="5"/>
        <v>0</v>
      </c>
      <c r="X24" s="1924">
        <f t="shared" si="8"/>
        <v>0</v>
      </c>
      <c r="Y24" s="1807"/>
      <c r="Z24" s="1807"/>
      <c r="AA24" s="1807"/>
      <c r="AB24" s="1807"/>
      <c r="AC24" s="1807"/>
      <c r="AD24" s="1807"/>
      <c r="AE24" s="1807"/>
      <c r="AF24" s="1807"/>
      <c r="AG24" s="1807"/>
    </row>
    <row r="25" spans="1:33" s="1817" customFormat="1" ht="26">
      <c r="A25" s="1951" t="s">
        <v>47</v>
      </c>
      <c r="B25" s="1919">
        <f t="shared" si="2"/>
        <v>19</v>
      </c>
      <c r="C25" s="1920"/>
      <c r="D25" s="1912" t="s">
        <v>32</v>
      </c>
      <c r="E25" s="1921">
        <v>45436</v>
      </c>
      <c r="F25" s="1922">
        <v>0.375</v>
      </c>
      <c r="G25" s="1922">
        <v>0.41666666666666669</v>
      </c>
      <c r="H25" s="1912" t="s">
        <v>1284</v>
      </c>
      <c r="I25" s="1912" t="s">
        <v>35</v>
      </c>
      <c r="J25" s="1912" t="s">
        <v>1166</v>
      </c>
      <c r="K25" s="1912" t="s">
        <v>37</v>
      </c>
      <c r="L25" s="1912"/>
      <c r="M25" s="1912" t="s">
        <v>1262</v>
      </c>
      <c r="N25" s="1940">
        <v>45434.375</v>
      </c>
      <c r="O25" s="1912" t="s">
        <v>1160</v>
      </c>
      <c r="P25" s="521"/>
      <c r="Q25" s="521">
        <f t="shared" si="4"/>
        <v>0</v>
      </c>
      <c r="R25" s="521">
        <v>950000</v>
      </c>
      <c r="S25" s="520" t="str">
        <f t="shared" si="7"/>
        <v>1:00</v>
      </c>
      <c r="T25" s="520">
        <f t="shared" si="3"/>
        <v>1</v>
      </c>
      <c r="U25" s="520"/>
      <c r="V25" s="1942"/>
      <c r="W25" s="521">
        <f t="shared" si="5"/>
        <v>950000</v>
      </c>
      <c r="X25" s="1924">
        <f t="shared" si="1"/>
        <v>950000</v>
      </c>
      <c r="Y25" s="1816"/>
      <c r="Z25" s="1816"/>
      <c r="AA25" s="1816"/>
      <c r="AB25" s="1816"/>
      <c r="AC25" s="1816"/>
      <c r="AD25" s="1816"/>
      <c r="AE25" s="1816"/>
      <c r="AF25" s="1816"/>
      <c r="AG25" s="1816"/>
    </row>
    <row r="26" spans="1:33" s="1817" customFormat="1">
      <c r="A26" s="1951" t="s">
        <v>1285</v>
      </c>
      <c r="B26" s="1919">
        <f t="shared" si="2"/>
        <v>20</v>
      </c>
      <c r="C26" s="1920"/>
      <c r="D26" s="1912" t="s">
        <v>43</v>
      </c>
      <c r="E26" s="1921">
        <v>45441</v>
      </c>
      <c r="F26" s="1922">
        <v>0.58333333333333337</v>
      </c>
      <c r="G26" s="1922">
        <v>0.66666666666666663</v>
      </c>
      <c r="H26" s="1912" t="s">
        <v>1286</v>
      </c>
      <c r="I26" s="1912" t="s">
        <v>35</v>
      </c>
      <c r="J26" s="1912" t="s">
        <v>1287</v>
      </c>
      <c r="K26" s="1912" t="s">
        <v>366</v>
      </c>
      <c r="L26" s="1912"/>
      <c r="M26" s="1912"/>
      <c r="N26" s="1940">
        <v>45434.402777777781</v>
      </c>
      <c r="O26" s="1912" t="s">
        <v>1160</v>
      </c>
      <c r="P26" s="521"/>
      <c r="Q26" s="521">
        <f t="shared" si="4"/>
        <v>0</v>
      </c>
      <c r="R26" s="521">
        <v>500000</v>
      </c>
      <c r="S26" s="520" t="str">
        <f t="shared" si="7"/>
        <v>2:00</v>
      </c>
      <c r="T26" s="520">
        <f t="shared" si="3"/>
        <v>2</v>
      </c>
      <c r="U26" s="520"/>
      <c r="V26" s="280"/>
      <c r="W26" s="521">
        <f t="shared" si="5"/>
        <v>1000000</v>
      </c>
      <c r="X26" s="1924">
        <f t="shared" si="1"/>
        <v>1000000</v>
      </c>
      <c r="Y26" s="1807"/>
      <c r="Z26" s="1807"/>
      <c r="AA26" s="1807"/>
      <c r="AB26" s="1807"/>
      <c r="AC26" s="1807"/>
      <c r="AD26" s="1807"/>
      <c r="AE26" s="1816"/>
      <c r="AF26" s="1816"/>
      <c r="AG26" s="1816"/>
    </row>
    <row r="27" spans="1:33" s="1817" customFormat="1">
      <c r="A27" s="1951" t="s">
        <v>284</v>
      </c>
      <c r="B27" s="1919">
        <f t="shared" si="2"/>
        <v>21</v>
      </c>
      <c r="C27" s="1920"/>
      <c r="D27" s="1912" t="s">
        <v>43</v>
      </c>
      <c r="E27" s="1921">
        <v>45439</v>
      </c>
      <c r="F27" s="1922">
        <v>0.66666666666666663</v>
      </c>
      <c r="G27" s="1922">
        <v>0.70833333333333337</v>
      </c>
      <c r="H27" s="1912" t="s">
        <v>969</v>
      </c>
      <c r="I27" s="1912" t="s">
        <v>35</v>
      </c>
      <c r="J27" s="1912" t="s">
        <v>1280</v>
      </c>
      <c r="K27" s="1912">
        <v>6</v>
      </c>
      <c r="L27" s="1912"/>
      <c r="M27" s="1912"/>
      <c r="N27" s="1940">
        <v>45439.652777777781</v>
      </c>
      <c r="O27" s="1912" t="s">
        <v>1160</v>
      </c>
      <c r="P27" s="521"/>
      <c r="Q27" s="521">
        <f t="shared" si="4"/>
        <v>0</v>
      </c>
      <c r="R27" s="521">
        <v>500000</v>
      </c>
      <c r="S27" s="520" t="str">
        <f t="shared" si="7"/>
        <v>1:00</v>
      </c>
      <c r="T27" s="520">
        <f t="shared" si="3"/>
        <v>1</v>
      </c>
      <c r="U27" s="520"/>
      <c r="V27" s="280"/>
      <c r="W27" s="521">
        <f t="shared" si="5"/>
        <v>500000</v>
      </c>
      <c r="X27" s="1924">
        <f t="shared" si="1"/>
        <v>500000</v>
      </c>
      <c r="Y27" s="1816"/>
      <c r="Z27" s="1816"/>
      <c r="AA27" s="1816"/>
      <c r="AB27" s="1816"/>
      <c r="AC27" s="1816"/>
      <c r="AD27" s="1816"/>
      <c r="AE27" s="1816"/>
      <c r="AF27" s="1816"/>
      <c r="AG27" s="1816"/>
    </row>
    <row r="28" spans="1:33" s="1466" customFormat="1" ht="26">
      <c r="A28" s="1951" t="s">
        <v>47</v>
      </c>
      <c r="B28" s="1919">
        <f t="shared" si="2"/>
        <v>22</v>
      </c>
      <c r="C28" s="1920"/>
      <c r="D28" s="1912" t="s">
        <v>43</v>
      </c>
      <c r="E28" s="1921">
        <v>45440</v>
      </c>
      <c r="F28" s="1922">
        <v>0.375</v>
      </c>
      <c r="G28" s="1922">
        <v>0.45833333333333331</v>
      </c>
      <c r="H28" s="1912" t="s">
        <v>1260</v>
      </c>
      <c r="I28" s="1912" t="s">
        <v>35</v>
      </c>
      <c r="J28" s="1912"/>
      <c r="K28" s="1912" t="s">
        <v>76</v>
      </c>
      <c r="L28" s="1912"/>
      <c r="M28" s="1912" t="s">
        <v>1262</v>
      </c>
      <c r="N28" s="1940">
        <v>45439.708333333336</v>
      </c>
      <c r="O28" s="1912" t="s">
        <v>1160</v>
      </c>
      <c r="P28" s="521"/>
      <c r="Q28" s="521">
        <f t="shared" si="4"/>
        <v>0</v>
      </c>
      <c r="R28" s="521">
        <v>500000</v>
      </c>
      <c r="S28" s="520" t="str">
        <f t="shared" si="7"/>
        <v>2:00</v>
      </c>
      <c r="T28" s="520">
        <f t="shared" si="3"/>
        <v>2</v>
      </c>
      <c r="U28" s="520"/>
      <c r="V28" s="292"/>
      <c r="W28" s="521">
        <f t="shared" si="5"/>
        <v>1000000</v>
      </c>
      <c r="X28" s="1924">
        <f t="shared" si="1"/>
        <v>1000000</v>
      </c>
      <c r="Y28" s="1807"/>
      <c r="Z28" s="1807"/>
      <c r="AA28" s="1807"/>
      <c r="AB28" s="1807"/>
      <c r="AC28" s="1807"/>
      <c r="AD28" s="1807"/>
    </row>
    <row r="29" spans="1:33" s="1808" customFormat="1" ht="26">
      <c r="A29" s="1951" t="s">
        <v>47</v>
      </c>
      <c r="B29" s="1919">
        <f t="shared" si="2"/>
        <v>23</v>
      </c>
      <c r="C29" s="1920"/>
      <c r="D29" s="1912" t="s">
        <v>75</v>
      </c>
      <c r="E29" s="1921">
        <v>45441</v>
      </c>
      <c r="F29" s="1922">
        <v>0.5625</v>
      </c>
      <c r="G29" s="1922">
        <v>0.60416666666666663</v>
      </c>
      <c r="H29" s="1912" t="s">
        <v>1284</v>
      </c>
      <c r="I29" s="1912" t="s">
        <v>35</v>
      </c>
      <c r="J29" s="1912" t="s">
        <v>1166</v>
      </c>
      <c r="K29" s="1912">
        <v>6</v>
      </c>
      <c r="L29" s="1912"/>
      <c r="M29" s="1912" t="s">
        <v>1288</v>
      </c>
      <c r="N29" s="1940">
        <v>45440.512499999997</v>
      </c>
      <c r="O29" s="1912" t="s">
        <v>1160</v>
      </c>
      <c r="P29" s="280"/>
      <c r="Q29" s="521">
        <f t="shared" si="4"/>
        <v>0</v>
      </c>
      <c r="R29" s="521">
        <v>500000</v>
      </c>
      <c r="S29" s="520" t="str">
        <f t="shared" si="7"/>
        <v>1:00</v>
      </c>
      <c r="T29" s="520">
        <f t="shared" si="3"/>
        <v>1</v>
      </c>
      <c r="U29" s="520"/>
      <c r="V29" s="280"/>
      <c r="W29" s="521">
        <f t="shared" si="5"/>
        <v>500000</v>
      </c>
      <c r="X29" s="1924">
        <f t="shared" si="1"/>
        <v>500000</v>
      </c>
      <c r="Y29" s="1807"/>
      <c r="Z29" s="1807"/>
      <c r="AA29" s="1807"/>
      <c r="AB29" s="1807"/>
      <c r="AC29" s="1807"/>
      <c r="AD29" s="1807"/>
      <c r="AE29" s="1807"/>
      <c r="AF29" s="1807"/>
      <c r="AG29" s="1807"/>
    </row>
    <row r="30" spans="1:33" s="1808" customFormat="1">
      <c r="A30" s="1957" t="s">
        <v>1221</v>
      </c>
      <c r="B30" s="1919">
        <f t="shared" si="2"/>
        <v>24</v>
      </c>
      <c r="C30" s="1920"/>
      <c r="D30" s="1912" t="s">
        <v>32</v>
      </c>
      <c r="E30" s="1921">
        <v>45441</v>
      </c>
      <c r="F30" s="1922">
        <v>0.625</v>
      </c>
      <c r="G30" s="1922">
        <v>0.70833333333333337</v>
      </c>
      <c r="H30" s="1912" t="s">
        <v>1223</v>
      </c>
      <c r="I30" s="1912" t="s">
        <v>35</v>
      </c>
      <c r="J30" s="1912" t="s">
        <v>1201</v>
      </c>
      <c r="K30" s="1912">
        <v>12</v>
      </c>
      <c r="L30" s="1912"/>
      <c r="M30" s="1912"/>
      <c r="N30" s="1940">
        <v>45441.458333333336</v>
      </c>
      <c r="O30" s="1912" t="s">
        <v>1160</v>
      </c>
      <c r="P30" s="521"/>
      <c r="Q30" s="521">
        <f t="shared" si="4"/>
        <v>0</v>
      </c>
      <c r="R30" s="521">
        <v>950000</v>
      </c>
      <c r="S30" s="520" t="str">
        <f t="shared" si="7"/>
        <v>2:00</v>
      </c>
      <c r="T30" s="520">
        <f t="shared" si="3"/>
        <v>2</v>
      </c>
      <c r="U30" s="520"/>
      <c r="V30" s="1942"/>
      <c r="W30" s="521">
        <f t="shared" si="5"/>
        <v>1900000</v>
      </c>
      <c r="X30" s="1924">
        <f>(Q30+(((T30-U30)-0)*R30))*((100-P30)/100)</f>
        <v>1900000</v>
      </c>
      <c r="Y30" s="1816"/>
      <c r="Z30" s="1816"/>
      <c r="AA30" s="1816"/>
      <c r="AB30" s="1816"/>
      <c r="AC30" s="1816"/>
      <c r="AD30" s="1816"/>
      <c r="AE30" s="1807"/>
      <c r="AF30" s="1807"/>
      <c r="AG30" s="1807"/>
    </row>
    <row r="31" spans="1:33" s="1808" customFormat="1" hidden="1">
      <c r="A31" s="1958" t="s">
        <v>89</v>
      </c>
      <c r="B31" s="1943">
        <f t="shared" si="2"/>
        <v>25</v>
      </c>
      <c r="C31" s="1944"/>
      <c r="D31" s="1945" t="s">
        <v>43</v>
      </c>
      <c r="E31" s="1946">
        <v>45442</v>
      </c>
      <c r="F31" s="1944"/>
      <c r="G31" s="1944"/>
      <c r="H31" s="1944" t="s">
        <v>1269</v>
      </c>
      <c r="I31" s="1944" t="s">
        <v>35</v>
      </c>
      <c r="J31" s="1944" t="s">
        <v>1238</v>
      </c>
      <c r="K31" s="1944">
        <v>6</v>
      </c>
      <c r="L31" s="1944"/>
      <c r="M31" s="1944"/>
      <c r="N31" s="1947"/>
      <c r="O31" s="1944"/>
      <c r="P31" s="1959"/>
      <c r="Q31" s="716">
        <f t="shared" si="6"/>
        <v>0</v>
      </c>
      <c r="R31" s="716"/>
      <c r="S31" s="1948">
        <f t="shared" si="9"/>
        <v>0</v>
      </c>
      <c r="T31" s="520">
        <f t="shared" si="3"/>
        <v>0</v>
      </c>
      <c r="U31" s="1948"/>
      <c r="V31" s="1960"/>
      <c r="W31" s="716">
        <f t="shared" si="5"/>
        <v>0</v>
      </c>
      <c r="X31" s="1949">
        <f t="shared" si="8"/>
        <v>0</v>
      </c>
      <c r="Y31" s="1807"/>
      <c r="Z31" s="1807"/>
      <c r="AA31" s="1807"/>
      <c r="AB31" s="1807"/>
      <c r="AC31" s="1807"/>
      <c r="AD31" s="1807"/>
      <c r="AE31" s="1807"/>
      <c r="AF31" s="1807"/>
      <c r="AG31" s="1807"/>
    </row>
    <row r="32" spans="1:33" s="1808" customFormat="1">
      <c r="A32" s="1977" t="s">
        <v>1168</v>
      </c>
      <c r="B32" s="1943"/>
      <c r="C32" s="1943"/>
      <c r="D32" s="1978"/>
      <c r="E32" s="1978"/>
      <c r="F32" s="1978"/>
      <c r="G32" s="1978"/>
      <c r="H32" s="1978"/>
      <c r="I32" s="1978"/>
      <c r="J32" s="1978"/>
      <c r="K32" s="1978"/>
      <c r="L32" s="1978"/>
      <c r="M32" s="1978"/>
      <c r="N32" s="1944"/>
      <c r="O32" s="1978"/>
      <c r="P32" s="1979"/>
      <c r="Q32" s="1980"/>
      <c r="R32" s="1980"/>
      <c r="S32" s="1980"/>
      <c r="T32" s="1980"/>
      <c r="U32" s="1980"/>
      <c r="V32" s="1979"/>
      <c r="W32" s="1980"/>
      <c r="X32" s="1981">
        <f>SUBTOTAL(109,Table1[Actual billing Amount])</f>
        <v>23200000</v>
      </c>
      <c r="Y32" s="1807"/>
      <c r="Z32" s="1807"/>
      <c r="AA32" s="1807"/>
      <c r="AB32" s="1807"/>
      <c r="AC32" s="1807"/>
      <c r="AD32" s="1807"/>
      <c r="AE32" s="1807"/>
      <c r="AF32" s="1807"/>
      <c r="AG32" s="1807"/>
    </row>
    <row r="33" spans="1:33" s="1808" customFormat="1">
      <c r="A33" s="1988" t="s">
        <v>1169</v>
      </c>
      <c r="B33" s="1989"/>
      <c r="C33" s="1990"/>
      <c r="D33" s="1991"/>
      <c r="E33" s="1992"/>
      <c r="F33" s="1990"/>
      <c r="G33" s="1990"/>
      <c r="H33" s="1990"/>
      <c r="I33" s="1990"/>
      <c r="J33" s="1990"/>
      <c r="K33" s="1990"/>
      <c r="L33" s="1990"/>
      <c r="M33" s="1990"/>
      <c r="N33" s="1993"/>
      <c r="O33" s="1990"/>
      <c r="P33" s="1994"/>
      <c r="Q33" s="1995"/>
      <c r="R33" s="1995"/>
      <c r="S33" s="1996"/>
      <c r="T33" s="1996"/>
      <c r="U33" s="1996"/>
      <c r="V33" s="1997"/>
      <c r="W33" s="1995"/>
      <c r="X33" s="2009">
        <v>0</v>
      </c>
      <c r="Y33" s="1807"/>
      <c r="Z33" s="1807"/>
      <c r="AA33" s="1807"/>
      <c r="AB33" s="1807"/>
      <c r="AC33" s="1807"/>
      <c r="AD33" s="1807"/>
      <c r="AE33" s="1807"/>
      <c r="AF33" s="1807"/>
      <c r="AG33" s="1807"/>
    </row>
    <row r="34" spans="1:33" s="1808" customFormat="1">
      <c r="A34" s="1998" t="s">
        <v>1170</v>
      </c>
      <c r="B34" s="1961"/>
      <c r="C34" s="68"/>
      <c r="D34" s="1962"/>
      <c r="E34" s="1963"/>
      <c r="F34" s="68"/>
      <c r="G34" s="68"/>
      <c r="H34" s="68"/>
      <c r="I34" s="68"/>
      <c r="J34" s="68"/>
      <c r="K34" s="68"/>
      <c r="L34" s="68"/>
      <c r="M34" s="68"/>
      <c r="N34" s="1976"/>
      <c r="O34" s="68"/>
      <c r="P34" s="1964"/>
      <c r="Q34" s="1965"/>
      <c r="R34" s="1965"/>
      <c r="S34" s="1966"/>
      <c r="T34" s="1966"/>
      <c r="U34" s="1966"/>
      <c r="V34" s="104"/>
      <c r="W34" s="1965"/>
      <c r="X34" s="2010">
        <f>(Table1[[#Totals],[Actual billing Amount]]+X33)*10/100</f>
        <v>2320000</v>
      </c>
      <c r="Y34" s="1807"/>
      <c r="Z34" s="1807"/>
      <c r="AA34" s="1807"/>
      <c r="AB34" s="1807"/>
      <c r="AC34" s="1807"/>
      <c r="AD34" s="1807"/>
      <c r="AE34" s="1807"/>
      <c r="AF34" s="1807"/>
      <c r="AG34" s="1807"/>
    </row>
    <row r="35" spans="1:33" s="1064" customFormat="1" ht="13.5" customHeight="1">
      <c r="A35" s="1999" t="s">
        <v>1171</v>
      </c>
      <c r="B35" s="2000"/>
      <c r="C35" s="2001"/>
      <c r="D35" s="2002"/>
      <c r="E35" s="2003"/>
      <c r="F35" s="2001"/>
      <c r="G35" s="2001"/>
      <c r="H35" s="2001"/>
      <c r="I35" s="2001"/>
      <c r="J35" s="2001"/>
      <c r="K35" s="2001"/>
      <c r="L35" s="2001"/>
      <c r="M35" s="2001"/>
      <c r="N35" s="2004"/>
      <c r="O35" s="2001"/>
      <c r="P35" s="2005"/>
      <c r="Q35" s="2006"/>
      <c r="R35" s="2006"/>
      <c r="S35" s="2007"/>
      <c r="T35" s="2007"/>
      <c r="U35" s="2007"/>
      <c r="V35" s="2008"/>
      <c r="W35" s="2006"/>
      <c r="X35" s="2011">
        <f>SUM(X32:X34)</f>
        <v>25520000</v>
      </c>
    </row>
    <row r="36" spans="1:33" s="1825" customFormat="1" ht="13">
      <c r="A36" s="1064"/>
      <c r="B36" s="1064"/>
      <c r="C36" s="1064"/>
      <c r="D36" s="1962"/>
      <c r="E36" s="1982"/>
      <c r="F36" s="1064"/>
      <c r="G36" s="1064"/>
      <c r="H36" s="1064"/>
      <c r="I36" s="1962"/>
      <c r="J36" s="104"/>
      <c r="K36" s="1983"/>
      <c r="L36" s="1064"/>
      <c r="M36" s="1064"/>
      <c r="N36" s="1064"/>
      <c r="O36" s="1064"/>
      <c r="P36" s="1984"/>
      <c r="Q36" s="1985"/>
      <c r="R36" s="1965"/>
      <c r="S36" s="1064"/>
      <c r="T36" s="1986"/>
      <c r="U36" s="1986"/>
      <c r="V36" s="1064"/>
      <c r="W36" s="1987"/>
      <c r="X36" s="1987"/>
      <c r="Y36" s="104"/>
      <c r="Z36" s="104"/>
      <c r="AA36" s="104"/>
      <c r="AB36" s="104"/>
      <c r="AC36" s="104"/>
      <c r="AD36" s="104"/>
      <c r="AE36" s="104"/>
      <c r="AF36" s="104"/>
      <c r="AG36" s="104"/>
    </row>
    <row r="37" spans="1:33">
      <c r="A37" s="1969"/>
      <c r="B37" s="1961"/>
      <c r="C37" s="1970"/>
      <c r="D37" s="1962"/>
      <c r="E37" s="1963"/>
      <c r="F37" s="1971"/>
      <c r="G37" s="1971"/>
      <c r="H37" s="1962"/>
      <c r="I37" s="1962"/>
      <c r="J37" s="1972"/>
      <c r="K37" s="1962"/>
      <c r="L37" s="1973"/>
      <c r="M37" s="1962"/>
      <c r="N37" s="1974"/>
      <c r="O37" s="1962"/>
      <c r="P37" s="1965"/>
      <c r="Q37" s="1965"/>
      <c r="R37" s="1968"/>
      <c r="S37" s="1966"/>
      <c r="T37" s="1966"/>
      <c r="U37" s="1966"/>
      <c r="V37" s="1964"/>
      <c r="W37" s="1975">
        <f t="shared" ref="W37" si="10">S37*R37*(100-P37)/100</f>
        <v>0</v>
      </c>
      <c r="X37" s="1967"/>
      <c r="Y37" s="68"/>
      <c r="Z37" s="68"/>
      <c r="AA37" s="68"/>
      <c r="AB37" s="68"/>
      <c r="AC37" s="68"/>
      <c r="AD37" s="68"/>
      <c r="AE37" s="68"/>
      <c r="AF37" s="68"/>
      <c r="AG37" s="68"/>
    </row>
    <row r="38" spans="1:33">
      <c r="A38" s="68"/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  <c r="Q38" s="1782"/>
      <c r="R38" s="68"/>
      <c r="S38" s="68"/>
      <c r="T38" s="68"/>
      <c r="U38" s="68"/>
      <c r="V38" s="68"/>
      <c r="W38" s="68"/>
      <c r="X38" s="1782"/>
      <c r="Y38" s="68"/>
      <c r="Z38" s="68"/>
      <c r="AA38" s="68"/>
      <c r="AB38" s="68"/>
      <c r="AC38" s="68"/>
      <c r="AD38" s="68"/>
      <c r="AE38" s="68"/>
      <c r="AF38" s="68"/>
      <c r="AG38" s="68"/>
    </row>
    <row r="39" spans="1:33">
      <c r="A39" s="68"/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1782"/>
      <c r="R39" s="68"/>
      <c r="S39" s="68"/>
      <c r="T39" s="68"/>
      <c r="U39" s="68"/>
      <c r="V39" s="68"/>
      <c r="W39" s="68"/>
      <c r="X39" s="1782"/>
      <c r="Y39" s="68"/>
      <c r="Z39" s="68"/>
      <c r="AA39" s="68"/>
      <c r="AB39" s="68"/>
      <c r="AC39" s="68"/>
      <c r="AD39" s="68"/>
      <c r="AE39" s="68"/>
      <c r="AF39" s="68"/>
      <c r="AG39" s="68"/>
    </row>
    <row r="40" spans="1:33">
      <c r="A40" s="68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1782"/>
      <c r="R40" s="68"/>
      <c r="S40" s="68"/>
      <c r="T40" s="68"/>
      <c r="U40" s="68"/>
      <c r="V40" s="68"/>
      <c r="W40" s="68"/>
      <c r="X40" s="1782"/>
      <c r="Y40" s="68"/>
      <c r="Z40" s="68"/>
      <c r="AA40" s="68"/>
      <c r="AB40" s="68"/>
      <c r="AC40" s="68"/>
      <c r="AD40" s="68"/>
      <c r="AE40" s="68"/>
      <c r="AF40" s="68"/>
      <c r="AG40" s="68"/>
    </row>
    <row r="41" spans="1:33">
      <c r="A41" s="68"/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1782"/>
      <c r="R41" s="68"/>
      <c r="S41" s="68"/>
      <c r="T41" s="68"/>
      <c r="U41" s="68"/>
      <c r="V41" s="68"/>
      <c r="W41" s="68"/>
      <c r="X41" s="1782"/>
      <c r="Y41" s="68"/>
      <c r="Z41" s="68"/>
      <c r="AA41" s="68"/>
      <c r="AB41" s="68"/>
      <c r="AC41" s="68"/>
      <c r="AD41" s="68"/>
      <c r="AE41" s="68"/>
      <c r="AF41" s="68"/>
      <c r="AG41" s="68"/>
    </row>
    <row r="42" spans="1:33">
      <c r="A42" s="68"/>
      <c r="B42" s="68"/>
      <c r="C42" s="6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68"/>
      <c r="P42" s="68"/>
      <c r="Q42" s="1782"/>
      <c r="R42" s="68"/>
      <c r="S42" s="68"/>
      <c r="T42" s="68"/>
      <c r="U42" s="68"/>
      <c r="V42" s="68"/>
      <c r="W42" s="68"/>
      <c r="X42" s="1782"/>
      <c r="Y42" s="68"/>
      <c r="Z42" s="68"/>
      <c r="AA42" s="68"/>
      <c r="AB42" s="68"/>
      <c r="AC42" s="68"/>
      <c r="AD42" s="68"/>
      <c r="AE42" s="68"/>
      <c r="AF42" s="68"/>
      <c r="AG42" s="68"/>
    </row>
    <row r="43" spans="1:33">
      <c r="A43" s="68"/>
      <c r="B43" s="68"/>
      <c r="C43" s="6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68"/>
      <c r="P43" s="68"/>
      <c r="Q43" s="1782"/>
      <c r="R43" s="68"/>
      <c r="S43" s="68"/>
      <c r="T43" s="68"/>
      <c r="U43" s="68"/>
      <c r="V43" s="68"/>
      <c r="W43" s="68"/>
      <c r="X43" s="1782"/>
      <c r="Y43" s="68"/>
      <c r="Z43" s="68"/>
      <c r="AA43" s="68"/>
      <c r="AB43" s="68"/>
      <c r="AC43" s="68"/>
      <c r="AD43" s="68"/>
      <c r="AE43" s="68"/>
      <c r="AF43" s="68"/>
      <c r="AG43" s="68"/>
    </row>
    <row r="44" spans="1:33">
      <c r="A44" s="68"/>
      <c r="B44" s="68"/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  <c r="P44" s="68"/>
      <c r="Q44" s="1782"/>
      <c r="R44" s="68"/>
      <c r="S44" s="68"/>
      <c r="T44" s="68"/>
      <c r="U44" s="68"/>
      <c r="V44" s="68"/>
      <c r="W44" s="68"/>
      <c r="X44" s="1782"/>
      <c r="Y44" s="68"/>
      <c r="Z44" s="68"/>
      <c r="AA44" s="68"/>
      <c r="AB44" s="68"/>
      <c r="AC44" s="68"/>
      <c r="AD44" s="68"/>
      <c r="AE44" s="68"/>
      <c r="AF44" s="68"/>
      <c r="AG44" s="68"/>
    </row>
    <row r="45" spans="1:33">
      <c r="A45" s="68"/>
      <c r="B45" s="68"/>
      <c r="C45" s="6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68"/>
      <c r="P45" s="68"/>
      <c r="Q45" s="1782"/>
      <c r="R45" s="68"/>
      <c r="S45" s="68"/>
      <c r="T45" s="68"/>
      <c r="U45" s="68"/>
      <c r="V45" s="68"/>
      <c r="W45" s="68"/>
      <c r="X45" s="1782"/>
      <c r="Y45" s="68"/>
      <c r="Z45" s="68"/>
      <c r="AA45" s="68"/>
      <c r="AB45" s="68"/>
      <c r="AC45" s="68"/>
      <c r="AD45" s="68"/>
      <c r="AE45" s="68"/>
      <c r="AF45" s="68"/>
      <c r="AG45" s="68"/>
    </row>
    <row r="46" spans="1:33">
      <c r="A46" s="68"/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  <c r="M46" s="68"/>
      <c r="N46" s="68"/>
      <c r="O46" s="68"/>
      <c r="P46" s="68"/>
      <c r="Q46" s="1782"/>
      <c r="R46" s="68"/>
      <c r="S46" s="68"/>
      <c r="T46" s="68"/>
      <c r="U46" s="68"/>
      <c r="V46" s="68"/>
      <c r="W46" s="68"/>
      <c r="X46" s="1782"/>
      <c r="Y46" s="68"/>
      <c r="Z46" s="68"/>
      <c r="AA46" s="68"/>
      <c r="AB46" s="68"/>
      <c r="AC46" s="68"/>
      <c r="AD46" s="68"/>
      <c r="AE46" s="68"/>
      <c r="AF46" s="68"/>
      <c r="AG46" s="68"/>
    </row>
    <row r="47" spans="1:33">
      <c r="A47" s="68"/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  <c r="M47" s="68"/>
      <c r="N47" s="68"/>
      <c r="O47" s="68"/>
      <c r="P47" s="68"/>
      <c r="Q47" s="1782"/>
      <c r="R47" s="68"/>
      <c r="S47" s="68"/>
      <c r="T47" s="68"/>
      <c r="U47" s="68"/>
      <c r="V47" s="68"/>
      <c r="W47" s="68"/>
      <c r="X47" s="1782"/>
      <c r="Y47" s="68"/>
      <c r="Z47" s="68"/>
      <c r="AA47" s="68"/>
      <c r="AB47" s="68"/>
      <c r="AC47" s="68"/>
      <c r="AD47" s="68"/>
      <c r="AE47" s="68"/>
      <c r="AF47" s="68"/>
      <c r="AG47" s="68"/>
    </row>
    <row r="48" spans="1:33">
      <c r="A48" s="68"/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1782"/>
      <c r="R48" s="68"/>
      <c r="S48" s="68"/>
      <c r="T48" s="68"/>
      <c r="U48" s="68"/>
      <c r="V48" s="68"/>
      <c r="W48" s="68"/>
      <c r="X48" s="1782"/>
      <c r="Y48" s="68"/>
      <c r="Z48" s="68"/>
      <c r="AA48" s="68"/>
      <c r="AB48" s="68"/>
      <c r="AC48" s="68"/>
      <c r="AD48" s="68"/>
      <c r="AE48" s="68"/>
      <c r="AF48" s="68"/>
      <c r="AG48" s="68"/>
    </row>
    <row r="49" spans="1:33">
      <c r="A49" s="68"/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1782"/>
      <c r="R49" s="68"/>
      <c r="S49" s="68"/>
      <c r="T49" s="68"/>
      <c r="U49" s="68"/>
      <c r="V49" s="68"/>
      <c r="W49" s="68"/>
      <c r="X49" s="1782"/>
      <c r="Y49" s="68"/>
      <c r="Z49" s="68"/>
      <c r="AA49" s="68"/>
      <c r="AB49" s="68"/>
      <c r="AC49" s="68"/>
      <c r="AD49" s="68"/>
      <c r="AE49" s="68"/>
      <c r="AF49" s="68"/>
      <c r="AG49" s="68"/>
    </row>
    <row r="50" spans="1:33">
      <c r="A50" s="68"/>
      <c r="B50" s="68"/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  <c r="O50" s="68"/>
      <c r="P50" s="68"/>
      <c r="Q50" s="1782"/>
      <c r="R50" s="68"/>
      <c r="S50" s="68"/>
      <c r="T50" s="68"/>
      <c r="U50" s="68"/>
      <c r="V50" s="68"/>
      <c r="W50" s="68"/>
      <c r="X50" s="1782"/>
      <c r="Y50" s="68"/>
      <c r="Z50" s="68"/>
      <c r="AA50" s="68"/>
      <c r="AB50" s="68"/>
      <c r="AC50" s="68"/>
      <c r="AD50" s="68"/>
      <c r="AE50" s="68"/>
      <c r="AF50" s="68"/>
      <c r="AG50" s="68"/>
    </row>
    <row r="51" spans="1:33">
      <c r="A51" s="68"/>
      <c r="B51" s="68"/>
      <c r="C51" s="68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1782"/>
      <c r="R51" s="68"/>
      <c r="S51" s="68"/>
      <c r="T51" s="68"/>
      <c r="U51" s="68"/>
      <c r="V51" s="68"/>
      <c r="W51" s="68"/>
      <c r="X51" s="1782"/>
      <c r="Y51" s="68"/>
      <c r="Z51" s="68"/>
      <c r="AA51" s="68"/>
      <c r="AB51" s="68"/>
      <c r="AC51" s="68"/>
      <c r="AD51" s="68"/>
      <c r="AE51" s="68"/>
      <c r="AF51" s="68"/>
      <c r="AG51" s="68"/>
    </row>
    <row r="52" spans="1:33">
      <c r="A52" s="68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1782"/>
      <c r="R52" s="68"/>
      <c r="S52" s="68"/>
      <c r="T52" s="68"/>
      <c r="U52" s="68"/>
      <c r="V52" s="68"/>
      <c r="W52" s="68"/>
      <c r="X52" s="1782"/>
      <c r="Y52" s="68"/>
      <c r="Z52" s="68"/>
      <c r="AA52" s="68"/>
      <c r="AB52" s="68"/>
      <c r="AC52" s="68"/>
      <c r="AD52" s="68"/>
      <c r="AE52" s="68"/>
      <c r="AF52" s="68"/>
      <c r="AG52" s="68"/>
    </row>
    <row r="53" spans="1:33">
      <c r="A53" s="68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1782"/>
      <c r="R53" s="68"/>
      <c r="S53" s="68"/>
      <c r="T53" s="68"/>
      <c r="U53" s="68"/>
      <c r="V53" s="68"/>
      <c r="W53" s="68"/>
      <c r="X53" s="1782"/>
      <c r="Y53" s="68"/>
      <c r="Z53" s="68"/>
      <c r="AA53" s="68"/>
      <c r="AB53" s="68"/>
      <c r="AC53" s="68"/>
      <c r="AD53" s="68"/>
      <c r="AE53" s="68"/>
      <c r="AF53" s="68"/>
      <c r="AG53" s="68"/>
    </row>
    <row r="54" spans="1:33">
      <c r="A54" s="68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1782"/>
      <c r="R54" s="68"/>
      <c r="S54" s="68"/>
      <c r="T54" s="68"/>
      <c r="U54" s="68"/>
      <c r="V54" s="68"/>
      <c r="W54" s="68"/>
      <c r="X54" s="1782"/>
      <c r="Y54" s="68"/>
      <c r="Z54" s="68"/>
      <c r="AA54" s="68"/>
      <c r="AB54" s="68"/>
      <c r="AC54" s="68"/>
      <c r="AD54" s="68"/>
      <c r="AE54" s="68"/>
      <c r="AF54" s="68"/>
      <c r="AG54" s="68"/>
    </row>
    <row r="55" spans="1:33">
      <c r="A55" s="68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1782"/>
      <c r="R55" s="68"/>
      <c r="S55" s="68"/>
      <c r="T55" s="68"/>
      <c r="U55" s="68"/>
      <c r="V55" s="68"/>
      <c r="W55" s="68"/>
      <c r="X55" s="1782"/>
      <c r="Y55" s="68"/>
      <c r="Z55" s="68"/>
      <c r="AA55" s="68"/>
      <c r="AB55" s="68"/>
      <c r="AC55" s="68"/>
      <c r="AD55" s="68"/>
      <c r="AE55" s="68"/>
      <c r="AF55" s="68"/>
      <c r="AG55" s="68"/>
    </row>
    <row r="56" spans="1:33">
      <c r="A56" s="68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1782"/>
      <c r="R56" s="68"/>
      <c r="S56" s="68"/>
      <c r="T56" s="68"/>
      <c r="U56" s="68"/>
      <c r="V56" s="68"/>
      <c r="W56" s="68"/>
      <c r="X56" s="1782"/>
      <c r="Y56" s="68"/>
      <c r="Z56" s="68"/>
      <c r="AA56" s="68"/>
      <c r="AB56" s="68"/>
      <c r="AC56" s="68"/>
      <c r="AD56" s="68"/>
      <c r="AE56" s="68"/>
      <c r="AF56" s="68"/>
      <c r="AG56" s="68"/>
    </row>
    <row r="57" spans="1:33">
      <c r="A57" s="68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1782"/>
      <c r="R57" s="68"/>
      <c r="S57" s="68"/>
      <c r="T57" s="68"/>
      <c r="U57" s="68"/>
      <c r="V57" s="68"/>
      <c r="W57" s="68"/>
      <c r="X57" s="1782"/>
      <c r="Y57" s="68"/>
      <c r="Z57" s="68"/>
      <c r="AA57" s="68"/>
      <c r="AB57" s="68"/>
      <c r="AC57" s="68"/>
      <c r="AD57" s="68"/>
      <c r="AE57" s="68"/>
      <c r="AF57" s="68"/>
      <c r="AG57" s="68"/>
    </row>
    <row r="58" spans="1:33">
      <c r="A58" s="68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1782"/>
      <c r="R58" s="68"/>
      <c r="S58" s="68"/>
      <c r="T58" s="68"/>
      <c r="U58" s="68"/>
      <c r="V58" s="68"/>
      <c r="W58" s="68"/>
      <c r="X58" s="1782"/>
      <c r="Y58" s="68"/>
      <c r="Z58" s="68"/>
      <c r="AA58" s="68"/>
      <c r="AB58" s="68"/>
      <c r="AC58" s="68"/>
      <c r="AD58" s="68"/>
      <c r="AE58" s="68"/>
      <c r="AF58" s="68"/>
      <c r="AG58" s="68"/>
    </row>
    <row r="59" spans="1:33">
      <c r="A59" s="68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1782"/>
      <c r="R59" s="68"/>
      <c r="S59" s="68"/>
      <c r="T59" s="68"/>
      <c r="U59" s="68"/>
      <c r="V59" s="68"/>
      <c r="W59" s="68"/>
      <c r="X59" s="1782"/>
      <c r="Y59" s="68"/>
      <c r="Z59" s="68"/>
      <c r="AA59" s="68"/>
      <c r="AB59" s="68"/>
      <c r="AC59" s="68"/>
      <c r="AD59" s="68"/>
      <c r="AE59" s="68"/>
      <c r="AF59" s="68"/>
      <c r="AG59" s="68"/>
    </row>
    <row r="60" spans="1:33">
      <c r="A60" s="68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1782"/>
      <c r="R60" s="68"/>
      <c r="S60" s="68"/>
      <c r="T60" s="68"/>
      <c r="U60" s="68"/>
      <c r="V60" s="68"/>
      <c r="W60" s="68"/>
      <c r="X60" s="1782"/>
      <c r="Y60" s="68"/>
      <c r="Z60" s="68"/>
      <c r="AA60" s="68"/>
      <c r="AB60" s="68"/>
      <c r="AC60" s="68"/>
      <c r="AD60" s="68"/>
      <c r="AE60" s="68"/>
      <c r="AF60" s="68"/>
      <c r="AG60" s="68"/>
    </row>
    <row r="61" spans="1:33">
      <c r="A61" s="68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1782"/>
      <c r="R61" s="68"/>
      <c r="S61" s="68"/>
      <c r="T61" s="68"/>
      <c r="U61" s="68"/>
      <c r="V61" s="68"/>
      <c r="W61" s="68"/>
      <c r="X61" s="1782"/>
      <c r="Y61" s="68"/>
      <c r="Z61" s="68"/>
      <c r="AA61" s="68"/>
      <c r="AB61" s="68"/>
      <c r="AC61" s="68"/>
      <c r="AD61" s="68"/>
      <c r="AE61" s="68"/>
      <c r="AF61" s="68"/>
      <c r="AG61" s="68"/>
    </row>
    <row r="62" spans="1:33">
      <c r="A62" s="68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1782"/>
      <c r="R62" s="68"/>
      <c r="S62" s="68"/>
      <c r="T62" s="68"/>
      <c r="U62" s="68"/>
      <c r="V62" s="68"/>
      <c r="W62" s="68"/>
      <c r="X62" s="1782"/>
      <c r="Y62" s="68"/>
      <c r="Z62" s="68"/>
      <c r="AA62" s="68"/>
      <c r="AB62" s="68"/>
      <c r="AC62" s="68"/>
      <c r="AD62" s="68"/>
      <c r="AE62" s="68"/>
      <c r="AF62" s="68"/>
      <c r="AG62" s="68"/>
    </row>
    <row r="63" spans="1:33">
      <c r="A63" s="68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1782"/>
      <c r="R63" s="68"/>
      <c r="S63" s="68"/>
      <c r="T63" s="68"/>
      <c r="U63" s="68"/>
      <c r="V63" s="68"/>
      <c r="W63" s="68"/>
      <c r="X63" s="1782"/>
      <c r="Y63" s="68"/>
      <c r="Z63" s="68"/>
      <c r="AA63" s="68"/>
      <c r="AB63" s="68"/>
      <c r="AC63" s="68"/>
      <c r="AD63" s="68"/>
      <c r="AE63" s="68"/>
      <c r="AF63" s="68"/>
      <c r="AG63" s="68"/>
    </row>
    <row r="64" spans="1:33">
      <c r="A64" s="68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1782"/>
      <c r="R64" s="68"/>
      <c r="S64" s="68"/>
      <c r="T64" s="68"/>
      <c r="U64" s="68"/>
      <c r="V64" s="68"/>
      <c r="W64" s="68"/>
      <c r="X64" s="1782"/>
      <c r="Y64" s="68"/>
      <c r="Z64" s="68"/>
      <c r="AA64" s="68"/>
      <c r="AB64" s="68"/>
      <c r="AC64" s="68"/>
      <c r="AD64" s="68"/>
      <c r="AE64" s="68"/>
      <c r="AF64" s="68"/>
      <c r="AG64" s="68"/>
    </row>
    <row r="65" spans="1:33">
      <c r="A65" s="68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1782"/>
      <c r="R65" s="68"/>
      <c r="S65" s="68"/>
      <c r="T65" s="68"/>
      <c r="U65" s="68"/>
      <c r="V65" s="68"/>
      <c r="W65" s="68"/>
      <c r="X65" s="1782"/>
      <c r="Y65" s="68"/>
      <c r="Z65" s="68"/>
      <c r="AA65" s="68"/>
      <c r="AB65" s="68"/>
      <c r="AC65" s="68"/>
      <c r="AD65" s="68"/>
      <c r="AE65" s="68"/>
      <c r="AF65" s="68"/>
      <c r="AG65" s="68"/>
    </row>
    <row r="66" spans="1:33">
      <c r="A66" s="68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1782"/>
      <c r="R66" s="68"/>
      <c r="S66" s="68"/>
      <c r="T66" s="68"/>
      <c r="U66" s="68"/>
      <c r="V66" s="68"/>
      <c r="W66" s="68"/>
      <c r="X66" s="1782"/>
      <c r="Y66" s="68"/>
      <c r="Z66" s="68"/>
      <c r="AA66" s="68"/>
      <c r="AB66" s="68"/>
      <c r="AC66" s="68"/>
      <c r="AD66" s="68"/>
      <c r="AE66" s="68"/>
      <c r="AF66" s="68"/>
      <c r="AG66" s="68"/>
    </row>
    <row r="67" spans="1:33">
      <c r="A67" s="68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1782"/>
      <c r="R67" s="68"/>
      <c r="S67" s="68"/>
      <c r="T67" s="68"/>
      <c r="U67" s="68"/>
      <c r="V67" s="68"/>
      <c r="W67" s="68"/>
      <c r="X67" s="1782"/>
      <c r="Y67" s="68"/>
      <c r="Z67" s="68"/>
      <c r="AA67" s="68"/>
      <c r="AB67" s="68"/>
      <c r="AC67" s="68"/>
      <c r="AD67" s="68"/>
      <c r="AE67" s="68"/>
      <c r="AF67" s="68"/>
      <c r="AG67" s="68"/>
    </row>
    <row r="68" spans="1:33">
      <c r="A68" s="68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1782"/>
      <c r="R68" s="68"/>
      <c r="S68" s="68"/>
      <c r="T68" s="68"/>
      <c r="U68" s="68"/>
      <c r="V68" s="68"/>
      <c r="W68" s="68"/>
      <c r="X68" s="1782"/>
      <c r="Y68" s="68"/>
      <c r="Z68" s="68"/>
      <c r="AA68" s="68"/>
      <c r="AB68" s="68"/>
      <c r="AC68" s="68"/>
      <c r="AD68" s="68"/>
      <c r="AE68" s="68"/>
      <c r="AF68" s="68"/>
      <c r="AG68" s="68"/>
    </row>
    <row r="69" spans="1:33">
      <c r="A69" s="68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1782"/>
      <c r="R69" s="68"/>
      <c r="S69" s="68"/>
      <c r="T69" s="68"/>
      <c r="U69" s="68"/>
      <c r="V69" s="68"/>
      <c r="W69" s="68"/>
      <c r="X69" s="1782"/>
      <c r="Y69" s="68"/>
      <c r="Z69" s="68"/>
      <c r="AA69" s="68"/>
      <c r="AB69" s="68"/>
      <c r="AC69" s="68"/>
      <c r="AD69" s="68"/>
      <c r="AE69" s="68"/>
      <c r="AF69" s="68"/>
      <c r="AG69" s="68"/>
    </row>
    <row r="70" spans="1:33">
      <c r="A70" s="68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1782"/>
      <c r="R70" s="68"/>
      <c r="S70" s="68"/>
      <c r="T70" s="68"/>
      <c r="U70" s="68"/>
      <c r="V70" s="68"/>
      <c r="W70" s="68"/>
      <c r="X70" s="1782"/>
      <c r="Y70" s="68"/>
      <c r="Z70" s="68"/>
      <c r="AA70" s="68"/>
      <c r="AB70" s="68"/>
      <c r="AC70" s="68"/>
      <c r="AD70" s="68"/>
      <c r="AE70" s="68"/>
      <c r="AF70" s="68"/>
      <c r="AG70" s="68"/>
    </row>
    <row r="71" spans="1:33">
      <c r="A71" s="68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1782"/>
      <c r="R71" s="68"/>
      <c r="S71" s="68"/>
      <c r="T71" s="68"/>
      <c r="U71" s="68"/>
      <c r="V71" s="68"/>
      <c r="W71" s="68"/>
      <c r="X71" s="1782"/>
      <c r="Y71" s="68"/>
      <c r="Z71" s="68"/>
      <c r="AA71" s="68"/>
      <c r="AB71" s="68"/>
      <c r="AC71" s="68"/>
      <c r="AD71" s="68"/>
      <c r="AE71" s="68"/>
      <c r="AF71" s="68"/>
      <c r="AG71" s="68"/>
    </row>
    <row r="72" spans="1:33">
      <c r="A72" s="68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1782"/>
      <c r="R72" s="68"/>
      <c r="S72" s="68"/>
      <c r="T72" s="68"/>
      <c r="U72" s="68"/>
      <c r="V72" s="68"/>
      <c r="W72" s="68"/>
      <c r="X72" s="1782"/>
      <c r="Y72" s="68"/>
      <c r="Z72" s="68"/>
      <c r="AA72" s="68"/>
      <c r="AB72" s="68"/>
      <c r="AC72" s="68"/>
      <c r="AD72" s="68"/>
      <c r="AE72" s="68"/>
      <c r="AF72" s="68"/>
      <c r="AG72" s="68"/>
    </row>
    <row r="73" spans="1:33">
      <c r="A73" s="68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1782"/>
      <c r="R73" s="68"/>
      <c r="S73" s="68"/>
      <c r="T73" s="68"/>
      <c r="U73" s="68"/>
      <c r="V73" s="68"/>
      <c r="W73" s="68"/>
      <c r="X73" s="1782"/>
      <c r="Y73" s="68"/>
      <c r="Z73" s="68"/>
      <c r="AA73" s="68"/>
      <c r="AB73" s="68"/>
      <c r="AC73" s="68"/>
      <c r="AD73" s="68"/>
      <c r="AE73" s="68"/>
      <c r="AF73" s="68"/>
      <c r="AG73" s="68"/>
    </row>
    <row r="74" spans="1:33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1782"/>
      <c r="R74" s="68"/>
      <c r="S74" s="68"/>
      <c r="T74" s="68"/>
      <c r="U74" s="68"/>
      <c r="V74" s="68"/>
      <c r="W74" s="68"/>
      <c r="X74" s="1782"/>
      <c r="Y74" s="68"/>
      <c r="Z74" s="68"/>
      <c r="AA74" s="68"/>
      <c r="AB74" s="68"/>
      <c r="AC74" s="68"/>
      <c r="AD74" s="68"/>
      <c r="AE74" s="68"/>
      <c r="AF74" s="68"/>
      <c r="AG74" s="68"/>
    </row>
    <row r="75" spans="1:33">
      <c r="A75" s="68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1782"/>
      <c r="R75" s="68"/>
      <c r="S75" s="68"/>
      <c r="T75" s="68"/>
      <c r="U75" s="68"/>
      <c r="V75" s="68"/>
      <c r="W75" s="68"/>
      <c r="X75" s="1782"/>
      <c r="Y75" s="68"/>
      <c r="Z75" s="68"/>
      <c r="AA75" s="68"/>
      <c r="AB75" s="68"/>
      <c r="AC75" s="68"/>
      <c r="AD75" s="68"/>
      <c r="AE75" s="68"/>
      <c r="AF75" s="68"/>
      <c r="AG75" s="68"/>
    </row>
    <row r="76" spans="1:33">
      <c r="A76" s="68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1782"/>
      <c r="R76" s="68"/>
      <c r="S76" s="68"/>
      <c r="T76" s="68"/>
      <c r="U76" s="68"/>
      <c r="V76" s="68"/>
      <c r="W76" s="68"/>
      <c r="X76" s="1782"/>
      <c r="Y76" s="68"/>
      <c r="Z76" s="68"/>
      <c r="AA76" s="68"/>
      <c r="AB76" s="68"/>
      <c r="AC76" s="68"/>
      <c r="AD76" s="68"/>
      <c r="AE76" s="68"/>
      <c r="AF76" s="68"/>
      <c r="AG76" s="68"/>
    </row>
    <row r="77" spans="1:33">
      <c r="A77" s="68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1782"/>
      <c r="R77" s="68"/>
      <c r="S77" s="68"/>
      <c r="T77" s="68"/>
      <c r="U77" s="68"/>
      <c r="V77" s="68"/>
      <c r="W77" s="68"/>
      <c r="X77" s="1782"/>
      <c r="Y77" s="68"/>
      <c r="Z77" s="68"/>
      <c r="AA77" s="68"/>
      <c r="AB77" s="68"/>
      <c r="AC77" s="68"/>
      <c r="AD77" s="68"/>
      <c r="AE77" s="68"/>
      <c r="AF77" s="68"/>
      <c r="AG77" s="68"/>
    </row>
    <row r="78" spans="1:33">
      <c r="A78" s="68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1782"/>
      <c r="R78" s="68"/>
      <c r="S78" s="68"/>
      <c r="T78" s="68"/>
      <c r="U78" s="68"/>
      <c r="V78" s="68"/>
      <c r="W78" s="68"/>
      <c r="X78" s="1782"/>
      <c r="Y78" s="68"/>
      <c r="Z78" s="68"/>
      <c r="AA78" s="68"/>
      <c r="AB78" s="68"/>
      <c r="AC78" s="68"/>
      <c r="AD78" s="68"/>
      <c r="AE78" s="68"/>
      <c r="AF78" s="68"/>
      <c r="AG78" s="68"/>
    </row>
    <row r="79" spans="1:33">
      <c r="A79" s="68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1782"/>
      <c r="R79" s="68"/>
      <c r="S79" s="68"/>
      <c r="T79" s="68"/>
      <c r="U79" s="68"/>
      <c r="V79" s="68"/>
      <c r="W79" s="68"/>
      <c r="X79" s="1782"/>
      <c r="Y79" s="68"/>
      <c r="Z79" s="68"/>
      <c r="AA79" s="68"/>
      <c r="AB79" s="68"/>
      <c r="AC79" s="68"/>
      <c r="AD79" s="68"/>
      <c r="AE79" s="68"/>
      <c r="AF79" s="68"/>
      <c r="AG79" s="68"/>
    </row>
    <row r="80" spans="1:33">
      <c r="A80" s="68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1782"/>
      <c r="R80" s="68"/>
      <c r="S80" s="68"/>
      <c r="T80" s="68"/>
      <c r="U80" s="68"/>
      <c r="V80" s="68"/>
      <c r="W80" s="68"/>
      <c r="X80" s="1782"/>
      <c r="Y80" s="68"/>
      <c r="Z80" s="68"/>
      <c r="AA80" s="68"/>
      <c r="AB80" s="68"/>
      <c r="AC80" s="68"/>
      <c r="AD80" s="68"/>
      <c r="AE80" s="68"/>
      <c r="AF80" s="68"/>
      <c r="AG80" s="68"/>
    </row>
    <row r="81" spans="1:33">
      <c r="A81" s="68"/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1782"/>
      <c r="R81" s="68"/>
      <c r="S81" s="68"/>
      <c r="T81" s="68"/>
      <c r="U81" s="68"/>
      <c r="V81" s="68"/>
      <c r="W81" s="68"/>
      <c r="X81" s="1782"/>
      <c r="Y81" s="68"/>
      <c r="Z81" s="68"/>
      <c r="AA81" s="68"/>
      <c r="AB81" s="68"/>
      <c r="AC81" s="68"/>
      <c r="AD81" s="68"/>
      <c r="AE81" s="68"/>
      <c r="AF81" s="68"/>
      <c r="AG81" s="68"/>
    </row>
    <row r="82" spans="1:33">
      <c r="A82" s="68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1782"/>
      <c r="R82" s="68"/>
      <c r="S82" s="68"/>
      <c r="T82" s="68"/>
      <c r="U82" s="68"/>
      <c r="V82" s="68"/>
      <c r="W82" s="68"/>
      <c r="X82" s="1782"/>
      <c r="Y82" s="68"/>
      <c r="Z82" s="68"/>
      <c r="AA82" s="68"/>
      <c r="AB82" s="68"/>
      <c r="AC82" s="68"/>
      <c r="AD82" s="68"/>
      <c r="AE82" s="68"/>
      <c r="AF82" s="68"/>
      <c r="AG82" s="68"/>
    </row>
    <row r="83" spans="1:33">
      <c r="A83" s="68"/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1782"/>
      <c r="R83" s="68"/>
      <c r="S83" s="68"/>
      <c r="T83" s="68"/>
      <c r="U83" s="68"/>
      <c r="V83" s="68"/>
      <c r="W83" s="68"/>
      <c r="X83" s="1782"/>
      <c r="Y83" s="68"/>
      <c r="Z83" s="68"/>
      <c r="AA83" s="68"/>
      <c r="AB83" s="68"/>
      <c r="AC83" s="68"/>
      <c r="AD83" s="68"/>
      <c r="AE83" s="68"/>
      <c r="AF83" s="68"/>
      <c r="AG83" s="68"/>
    </row>
    <row r="84" spans="1:33">
      <c r="A84" s="68"/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1782"/>
      <c r="R84" s="68"/>
      <c r="S84" s="68"/>
      <c r="T84" s="68"/>
      <c r="U84" s="68"/>
      <c r="V84" s="68"/>
      <c r="W84" s="68"/>
      <c r="X84" s="1782"/>
      <c r="Y84" s="68"/>
      <c r="Z84" s="68"/>
      <c r="AA84" s="68"/>
      <c r="AB84" s="68"/>
      <c r="AC84" s="68"/>
      <c r="AD84" s="68"/>
      <c r="AE84" s="68"/>
      <c r="AF84" s="68"/>
      <c r="AG84" s="68"/>
    </row>
    <row r="85" spans="1:33">
      <c r="A85" s="68"/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1782"/>
      <c r="R85" s="68"/>
      <c r="S85" s="68"/>
      <c r="T85" s="68"/>
      <c r="U85" s="68"/>
      <c r="V85" s="68"/>
      <c r="W85" s="68"/>
      <c r="X85" s="1782"/>
      <c r="Y85" s="68"/>
      <c r="Z85" s="68"/>
      <c r="AA85" s="68"/>
      <c r="AB85" s="68"/>
      <c r="AC85" s="68"/>
      <c r="AD85" s="68"/>
      <c r="AE85" s="68"/>
      <c r="AF85" s="68"/>
      <c r="AG85" s="68"/>
    </row>
    <row r="86" spans="1:33">
      <c r="A86" s="68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1782"/>
      <c r="R86" s="68"/>
      <c r="S86" s="68"/>
      <c r="T86" s="68"/>
      <c r="U86" s="68"/>
      <c r="V86" s="68"/>
      <c r="W86" s="68"/>
      <c r="X86" s="1782"/>
      <c r="Y86" s="68"/>
      <c r="Z86" s="68"/>
      <c r="AA86" s="68"/>
      <c r="AB86" s="68"/>
      <c r="AC86" s="68"/>
      <c r="AD86" s="68"/>
      <c r="AE86" s="68"/>
      <c r="AF86" s="68"/>
      <c r="AG86" s="68"/>
    </row>
    <row r="87" spans="1:33">
      <c r="A87" s="68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1782"/>
      <c r="R87" s="68"/>
      <c r="S87" s="68"/>
      <c r="T87" s="68"/>
      <c r="U87" s="68"/>
      <c r="V87" s="68"/>
      <c r="W87" s="68"/>
      <c r="X87" s="1782"/>
      <c r="Y87" s="68"/>
      <c r="Z87" s="68"/>
      <c r="AA87" s="68"/>
      <c r="AB87" s="68"/>
      <c r="AC87" s="68"/>
      <c r="AD87" s="68"/>
      <c r="AE87" s="68"/>
      <c r="AF87" s="68"/>
      <c r="AG87" s="68"/>
    </row>
    <row r="88" spans="1:33">
      <c r="A88" s="68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1782"/>
      <c r="R88" s="68"/>
      <c r="S88" s="68"/>
      <c r="T88" s="68"/>
      <c r="U88" s="68"/>
      <c r="V88" s="68"/>
      <c r="W88" s="68"/>
      <c r="X88" s="1782"/>
      <c r="Y88" s="68"/>
      <c r="Z88" s="68"/>
      <c r="AA88" s="68"/>
      <c r="AB88" s="68"/>
      <c r="AC88" s="68"/>
      <c r="AD88" s="68"/>
      <c r="AE88" s="68"/>
      <c r="AF88" s="68"/>
      <c r="AG88" s="68"/>
    </row>
    <row r="89" spans="1:33">
      <c r="A89" s="68"/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1782"/>
      <c r="R89" s="68"/>
      <c r="S89" s="68"/>
      <c r="T89" s="68"/>
      <c r="U89" s="68"/>
      <c r="V89" s="68"/>
      <c r="W89" s="68"/>
      <c r="X89" s="1782"/>
      <c r="Y89" s="68"/>
      <c r="Z89" s="68"/>
      <c r="AA89" s="68"/>
      <c r="AB89" s="68"/>
      <c r="AC89" s="68"/>
      <c r="AD89" s="68"/>
      <c r="AE89" s="68"/>
      <c r="AF89" s="68"/>
      <c r="AG89" s="68"/>
    </row>
    <row r="90" spans="1:33">
      <c r="A90" s="68"/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1782"/>
      <c r="R90" s="68"/>
      <c r="S90" s="68"/>
      <c r="T90" s="68"/>
      <c r="U90" s="68"/>
      <c r="V90" s="68"/>
      <c r="W90" s="68"/>
      <c r="X90" s="1782"/>
      <c r="Y90" s="68"/>
      <c r="Z90" s="68"/>
      <c r="AA90" s="68"/>
      <c r="AB90" s="68"/>
      <c r="AC90" s="68"/>
      <c r="AD90" s="68"/>
      <c r="AE90" s="68"/>
      <c r="AF90" s="68"/>
      <c r="AG90" s="68"/>
    </row>
    <row r="91" spans="1:33">
      <c r="A91" s="68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1782"/>
      <c r="R91" s="68"/>
      <c r="S91" s="68"/>
      <c r="T91" s="68"/>
      <c r="U91" s="68"/>
      <c r="V91" s="68"/>
      <c r="W91" s="68"/>
      <c r="X91" s="1782"/>
      <c r="Y91" s="68"/>
      <c r="Z91" s="68"/>
      <c r="AA91" s="68"/>
      <c r="AB91" s="68"/>
      <c r="AC91" s="68"/>
      <c r="AD91" s="68"/>
      <c r="AE91" s="68"/>
      <c r="AF91" s="68"/>
      <c r="AG91" s="68"/>
    </row>
    <row r="92" spans="1:33">
      <c r="A92" s="68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1782"/>
      <c r="R92" s="68"/>
      <c r="S92" s="68"/>
      <c r="T92" s="68"/>
      <c r="U92" s="68"/>
      <c r="V92" s="68"/>
      <c r="W92" s="68"/>
      <c r="X92" s="1782"/>
      <c r="Y92" s="68"/>
      <c r="Z92" s="68"/>
      <c r="AA92" s="68"/>
      <c r="AB92" s="68"/>
      <c r="AC92" s="68"/>
      <c r="AD92" s="68"/>
      <c r="AE92" s="68"/>
      <c r="AF92" s="68"/>
      <c r="AG92" s="68"/>
    </row>
    <row r="93" spans="1:33">
      <c r="A93" s="68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1782"/>
      <c r="R93" s="68"/>
      <c r="S93" s="68"/>
      <c r="T93" s="68"/>
      <c r="U93" s="68"/>
      <c r="V93" s="68"/>
      <c r="W93" s="68"/>
      <c r="X93" s="1782"/>
      <c r="Y93" s="68"/>
      <c r="Z93" s="68"/>
      <c r="AA93" s="68"/>
      <c r="AB93" s="68"/>
      <c r="AC93" s="68"/>
      <c r="AD93" s="68"/>
      <c r="AE93" s="68"/>
      <c r="AF93" s="68"/>
      <c r="AG93" s="68"/>
    </row>
    <row r="94" spans="1:33">
      <c r="A94" s="68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1782"/>
      <c r="R94" s="68"/>
      <c r="S94" s="68"/>
      <c r="T94" s="68"/>
      <c r="U94" s="68"/>
      <c r="V94" s="68"/>
      <c r="W94" s="68"/>
      <c r="X94" s="1782"/>
      <c r="Y94" s="68"/>
      <c r="Z94" s="68"/>
      <c r="AA94" s="68"/>
      <c r="AB94" s="68"/>
      <c r="AC94" s="68"/>
      <c r="AD94" s="68"/>
      <c r="AE94" s="68"/>
      <c r="AF94" s="68"/>
      <c r="AG94" s="68"/>
    </row>
    <row r="95" spans="1:33">
      <c r="A95" s="68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1782"/>
      <c r="R95" s="68"/>
      <c r="S95" s="68"/>
      <c r="T95" s="68"/>
      <c r="U95" s="68"/>
      <c r="V95" s="68"/>
      <c r="W95" s="68"/>
      <c r="X95" s="1782"/>
      <c r="Y95" s="68"/>
      <c r="Z95" s="68"/>
      <c r="AA95" s="68"/>
      <c r="AB95" s="68"/>
      <c r="AC95" s="68"/>
      <c r="AD95" s="68"/>
      <c r="AE95" s="68"/>
      <c r="AF95" s="68"/>
      <c r="AG95" s="68"/>
    </row>
    <row r="96" spans="1:33">
      <c r="A96" s="68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1782"/>
      <c r="R96" s="68"/>
      <c r="S96" s="68"/>
      <c r="T96" s="68"/>
      <c r="U96" s="68"/>
      <c r="V96" s="68"/>
      <c r="W96" s="68"/>
      <c r="X96" s="1782"/>
      <c r="Y96" s="68"/>
      <c r="Z96" s="68"/>
      <c r="AA96" s="68"/>
      <c r="AB96" s="68"/>
      <c r="AC96" s="68"/>
      <c r="AD96" s="68"/>
      <c r="AE96" s="68"/>
      <c r="AF96" s="68"/>
      <c r="AG96" s="68"/>
    </row>
    <row r="97" spans="1:33">
      <c r="A97" s="68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1782"/>
      <c r="R97" s="68"/>
      <c r="S97" s="68"/>
      <c r="T97" s="68"/>
      <c r="U97" s="68"/>
      <c r="V97" s="68"/>
      <c r="W97" s="68"/>
      <c r="X97" s="1782"/>
      <c r="Y97" s="68"/>
      <c r="Z97" s="68"/>
      <c r="AA97" s="68"/>
      <c r="AB97" s="68"/>
      <c r="AC97" s="68"/>
      <c r="AD97" s="68"/>
      <c r="AE97" s="68"/>
      <c r="AF97" s="68"/>
      <c r="AG97" s="68"/>
    </row>
    <row r="98" spans="1:33">
      <c r="A98" s="68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1782"/>
      <c r="R98" s="68"/>
      <c r="S98" s="68"/>
      <c r="T98" s="68"/>
      <c r="U98" s="68"/>
      <c r="V98" s="68"/>
      <c r="W98" s="68"/>
      <c r="X98" s="1782"/>
      <c r="Y98" s="68"/>
      <c r="Z98" s="68"/>
      <c r="AA98" s="68"/>
      <c r="AB98" s="68"/>
      <c r="AC98" s="68"/>
      <c r="AD98" s="68"/>
      <c r="AE98" s="68"/>
      <c r="AF98" s="68"/>
      <c r="AG98" s="68"/>
    </row>
    <row r="99" spans="1:33">
      <c r="A99" s="68"/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1782"/>
      <c r="R99" s="68"/>
      <c r="S99" s="68"/>
      <c r="T99" s="68"/>
      <c r="U99" s="68"/>
      <c r="V99" s="68"/>
      <c r="W99" s="68"/>
      <c r="X99" s="1782"/>
      <c r="Y99" s="68"/>
      <c r="Z99" s="68"/>
      <c r="AA99" s="68"/>
      <c r="AB99" s="68"/>
      <c r="AC99" s="68"/>
      <c r="AD99" s="68"/>
      <c r="AE99" s="68"/>
      <c r="AF99" s="68"/>
      <c r="AG99" s="68"/>
    </row>
    <row r="100" spans="1:33">
      <c r="A100" s="68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1782"/>
      <c r="R100" s="68"/>
      <c r="S100" s="68"/>
      <c r="T100" s="68"/>
      <c r="U100" s="68"/>
      <c r="V100" s="68"/>
      <c r="W100" s="68"/>
      <c r="X100" s="1782"/>
      <c r="Y100" s="68"/>
      <c r="Z100" s="68"/>
      <c r="AA100" s="68"/>
      <c r="AB100" s="68"/>
      <c r="AC100" s="68"/>
      <c r="AD100" s="68"/>
      <c r="AE100" s="68"/>
      <c r="AF100" s="68"/>
      <c r="AG100" s="68"/>
    </row>
    <row r="101" spans="1:33">
      <c r="A101" s="68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1782"/>
      <c r="R101" s="68"/>
      <c r="S101" s="68"/>
      <c r="T101" s="68"/>
      <c r="U101" s="68"/>
      <c r="V101" s="68"/>
      <c r="W101" s="68"/>
      <c r="X101" s="1782"/>
      <c r="Y101" s="68"/>
      <c r="Z101" s="68"/>
      <c r="AA101" s="68"/>
      <c r="AB101" s="68"/>
      <c r="AC101" s="68"/>
      <c r="AD101" s="68"/>
      <c r="AE101" s="68"/>
      <c r="AF101" s="68"/>
      <c r="AG101" s="68"/>
    </row>
    <row r="102" spans="1:33">
      <c r="A102" s="68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1782"/>
      <c r="R102" s="68"/>
      <c r="S102" s="68"/>
      <c r="T102" s="68"/>
      <c r="U102" s="68"/>
      <c r="V102" s="68"/>
      <c r="W102" s="68"/>
      <c r="X102" s="1782"/>
      <c r="Y102" s="68"/>
      <c r="Z102" s="68"/>
      <c r="AA102" s="68"/>
      <c r="AB102" s="68"/>
      <c r="AC102" s="68"/>
      <c r="AD102" s="68"/>
      <c r="AE102" s="68"/>
      <c r="AF102" s="68"/>
      <c r="AG102" s="68"/>
    </row>
    <row r="103" spans="1:33">
      <c r="A103" s="68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1782"/>
      <c r="R103" s="68"/>
      <c r="S103" s="68"/>
      <c r="T103" s="68"/>
      <c r="U103" s="68"/>
      <c r="V103" s="68"/>
      <c r="W103" s="68"/>
      <c r="X103" s="1782"/>
      <c r="Y103" s="68"/>
      <c r="Z103" s="68"/>
      <c r="AA103" s="68"/>
      <c r="AB103" s="68"/>
      <c r="AC103" s="68"/>
      <c r="AD103" s="68"/>
      <c r="AE103" s="68"/>
      <c r="AF103" s="68"/>
      <c r="AG103" s="68"/>
    </row>
    <row r="104" spans="1:33">
      <c r="A104" s="68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1782"/>
      <c r="R104" s="68"/>
      <c r="S104" s="68"/>
      <c r="T104" s="68"/>
      <c r="U104" s="68"/>
      <c r="V104" s="68"/>
      <c r="W104" s="68"/>
      <c r="X104" s="1782"/>
      <c r="Y104" s="68"/>
      <c r="Z104" s="68"/>
      <c r="AA104" s="68"/>
      <c r="AB104" s="68"/>
      <c r="AC104" s="68"/>
      <c r="AD104" s="68"/>
      <c r="AE104" s="68"/>
      <c r="AF104" s="68"/>
      <c r="AG104" s="68"/>
    </row>
    <row r="105" spans="1:33">
      <c r="A105" s="68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1782"/>
      <c r="R105" s="68"/>
      <c r="S105" s="68"/>
      <c r="T105" s="68"/>
      <c r="U105" s="68"/>
      <c r="V105" s="68"/>
      <c r="W105" s="68"/>
      <c r="X105" s="1782"/>
      <c r="Y105" s="68"/>
      <c r="Z105" s="68"/>
      <c r="AA105" s="68"/>
      <c r="AB105" s="68"/>
      <c r="AC105" s="68"/>
      <c r="AD105" s="68"/>
      <c r="AE105" s="68"/>
      <c r="AF105" s="68"/>
      <c r="AG105" s="68"/>
    </row>
    <row r="1048509" spans="1:33">
      <c r="A1048509" s="68"/>
      <c r="B1048509" s="68"/>
      <c r="C1048509" s="68"/>
      <c r="D1048509" s="68"/>
      <c r="E1048509" s="68"/>
      <c r="F1048509" s="68"/>
      <c r="G1048509" s="68"/>
      <c r="H1048509" s="68"/>
      <c r="I1048509" s="68"/>
      <c r="J1048509" s="68"/>
      <c r="K1048509" s="68"/>
      <c r="L1048509" s="68"/>
      <c r="M1048509" s="68"/>
      <c r="N1048509" s="68"/>
      <c r="O1048509" s="68"/>
      <c r="P1048509" s="68"/>
      <c r="Q1048509" s="1782"/>
      <c r="R1048509" s="68"/>
      <c r="S1048509" s="68"/>
      <c r="T1048509" s="68"/>
      <c r="U1048509" s="68"/>
      <c r="V1048509" s="68"/>
      <c r="W1048509" s="68"/>
      <c r="X1048509" s="1782"/>
      <c r="Y1048509" s="68"/>
      <c r="Z1048509" s="68"/>
      <c r="AA1048509" s="68"/>
      <c r="AB1048509" s="68"/>
      <c r="AC1048509" s="68"/>
      <c r="AD1048509" s="68"/>
      <c r="AE1048509" s="68"/>
      <c r="AF1048509" s="68"/>
      <c r="AG1048509" s="68"/>
    </row>
    <row r="1048510" spans="1:33">
      <c r="A1048510" s="68"/>
      <c r="B1048510" s="68"/>
      <c r="C1048510" s="68"/>
      <c r="D1048510" s="1361" t="s">
        <v>43</v>
      </c>
      <c r="E1048510" s="68"/>
      <c r="F1048510" s="68"/>
      <c r="G1048510" s="68"/>
      <c r="H1048510" s="68"/>
      <c r="I1048510" s="68"/>
      <c r="J1048510" s="68"/>
      <c r="K1048510" s="68"/>
      <c r="L1048510" s="68"/>
      <c r="M1048510" s="68"/>
      <c r="N1048510" s="68"/>
      <c r="O1048510" s="68"/>
      <c r="P1048510" s="68"/>
      <c r="Q1048510" s="1782"/>
      <c r="R1048510" s="68"/>
      <c r="S1048510" s="68"/>
      <c r="T1048510" s="68"/>
      <c r="U1048510" s="68"/>
      <c r="V1048510" s="68"/>
      <c r="W1048510" s="68"/>
      <c r="X1048510" s="1782"/>
      <c r="Y1048510" s="68"/>
      <c r="Z1048510" s="68"/>
      <c r="AA1048510" s="68"/>
      <c r="AB1048510" s="68"/>
      <c r="AC1048510" s="68"/>
      <c r="AD1048510" s="68"/>
      <c r="AE1048510" s="68"/>
      <c r="AF1048510" s="68"/>
      <c r="AG1048510" s="68"/>
    </row>
    <row r="1048511" spans="1:33">
      <c r="A1048511" s="68"/>
      <c r="B1048511" s="68"/>
      <c r="C1048511" s="68"/>
      <c r="D1048511" s="68"/>
      <c r="E1048511" s="68"/>
      <c r="F1048511" s="68"/>
      <c r="G1048511" s="68"/>
      <c r="H1048511" s="68"/>
      <c r="I1048511" s="68"/>
      <c r="J1048511" s="68"/>
      <c r="K1048511" s="68"/>
      <c r="L1048511" s="68"/>
      <c r="M1048511" s="68"/>
      <c r="N1048511" s="68"/>
      <c r="O1048511" s="68"/>
      <c r="P1048511" s="68"/>
      <c r="Q1048511" s="1782"/>
      <c r="R1048511" s="68"/>
      <c r="S1048511" s="68"/>
      <c r="T1048511" s="68"/>
      <c r="U1048511" s="68"/>
      <c r="V1048511" s="68"/>
      <c r="W1048511" s="68"/>
      <c r="X1048511" s="1782"/>
      <c r="Y1048511" s="68"/>
      <c r="Z1048511" s="68"/>
      <c r="AA1048511" s="68"/>
      <c r="AB1048511" s="68"/>
      <c r="AC1048511" s="68"/>
      <c r="AD1048511" s="68"/>
      <c r="AE1048511" s="68"/>
      <c r="AF1048511" s="68"/>
      <c r="AG1048511" s="68"/>
    </row>
    <row r="1048545" spans="1:33">
      <c r="A1048545" s="68"/>
      <c r="B1048545" s="68"/>
      <c r="C1048545" s="68"/>
      <c r="D1048545" s="68"/>
      <c r="E1048545" s="68"/>
      <c r="F1048545" s="68"/>
      <c r="G1048545" s="68"/>
      <c r="H1048545" s="68"/>
      <c r="I1048545" s="68"/>
      <c r="J1048545" s="68"/>
      <c r="K1048545" s="68"/>
      <c r="L1048545" s="68"/>
      <c r="M1048545" s="68"/>
      <c r="N1048545" s="68"/>
      <c r="O1048545" s="68"/>
      <c r="P1048545" s="68"/>
      <c r="Q1048545" s="1782"/>
      <c r="R1048545" s="68"/>
      <c r="S1048545" s="68"/>
      <c r="T1048545" s="68"/>
      <c r="U1048545" s="68"/>
      <c r="V1048545" s="68"/>
      <c r="W1048545" s="68"/>
      <c r="X1048545" s="1782"/>
      <c r="Y1048545" s="68"/>
      <c r="Z1048545" s="68"/>
      <c r="AA1048545" s="68"/>
      <c r="AB1048545" s="68"/>
      <c r="AC1048545" s="68"/>
      <c r="AD1048545" s="68"/>
      <c r="AE1048545" s="68"/>
      <c r="AF1048545" s="68"/>
      <c r="AG1048545" s="68"/>
    </row>
    <row r="1048546" spans="1:33">
      <c r="A1048546" s="68"/>
      <c r="B1048546" s="68"/>
      <c r="C1048546" s="68"/>
      <c r="D1048546" s="68"/>
      <c r="E1048546" s="68"/>
      <c r="F1048546" s="68"/>
      <c r="G1048546" s="68"/>
      <c r="H1048546" s="68"/>
      <c r="I1048546" s="68"/>
      <c r="J1048546" s="68"/>
      <c r="K1048546" s="68"/>
      <c r="L1048546" s="68"/>
      <c r="M1048546" s="68"/>
      <c r="N1048546" s="68"/>
      <c r="O1048546" s="68"/>
      <c r="P1048546" s="68"/>
      <c r="Q1048546" s="1782"/>
      <c r="R1048546" s="68"/>
      <c r="S1048546" s="68"/>
      <c r="T1048546" s="68"/>
      <c r="U1048546" s="68"/>
      <c r="V1048546" s="68"/>
      <c r="W1048546" s="68"/>
      <c r="X1048546" s="1782"/>
      <c r="Y1048546" s="68"/>
      <c r="Z1048546" s="68"/>
      <c r="AA1048546" s="68"/>
      <c r="AB1048546" s="68"/>
      <c r="AC1048546" s="68"/>
      <c r="AD1048546" s="68"/>
      <c r="AE1048546" s="68"/>
      <c r="AF1048546" s="68"/>
      <c r="AG1048546" s="68"/>
    </row>
    <row r="1048559" spans="1:33">
      <c r="A1048559" s="68"/>
      <c r="B1048559" s="68"/>
      <c r="C1048559" s="68"/>
      <c r="D1048559" s="68"/>
      <c r="E1048559" s="68"/>
      <c r="F1048559" s="68"/>
      <c r="G1048559" s="68"/>
      <c r="H1048559" s="68"/>
      <c r="I1048559" s="68"/>
      <c r="J1048559" s="68"/>
      <c r="K1048559" s="68"/>
      <c r="L1048559" s="68"/>
      <c r="M1048559" s="68"/>
      <c r="N1048559" s="68"/>
      <c r="O1048559" s="68"/>
      <c r="P1048559" s="68"/>
      <c r="Q1048559" s="1782"/>
      <c r="R1048559" s="68"/>
      <c r="S1048559" s="68"/>
      <c r="T1048559" s="68"/>
      <c r="U1048559" s="68"/>
      <c r="V1048559" s="68"/>
      <c r="W1048559" s="68"/>
      <c r="X1048559" s="1782"/>
      <c r="Y1048559" s="68"/>
      <c r="Z1048559" s="68"/>
      <c r="AA1048559" s="68"/>
      <c r="AB1048559" s="68"/>
      <c r="AC1048559" s="68"/>
      <c r="AD1048559" s="68"/>
      <c r="AE1048559" s="68"/>
      <c r="AF1048559" s="68"/>
      <c r="AG1048559" s="68"/>
    </row>
    <row r="1048560" spans="1:33">
      <c r="A1048560" s="68"/>
      <c r="B1048560" s="68"/>
      <c r="C1048560" s="68"/>
      <c r="D1048560" s="68"/>
      <c r="E1048560" s="68"/>
      <c r="F1048560" s="68"/>
      <c r="G1048560" s="68"/>
      <c r="H1048560" s="68"/>
      <c r="I1048560" s="68"/>
      <c r="J1048560" s="68"/>
      <c r="K1048560" s="68"/>
      <c r="L1048560" s="68"/>
      <c r="M1048560" s="68"/>
      <c r="N1048560" s="68"/>
      <c r="O1048560" s="68"/>
      <c r="P1048560" s="68"/>
      <c r="Q1048560" s="1782"/>
      <c r="R1048560" s="68"/>
      <c r="S1048560" s="68"/>
      <c r="T1048560" s="68"/>
      <c r="U1048560" s="68"/>
      <c r="V1048560" s="68"/>
      <c r="W1048560" s="68"/>
      <c r="X1048560" s="1782"/>
      <c r="Y1048560" s="68"/>
      <c r="Z1048560" s="68"/>
      <c r="AA1048560" s="68"/>
      <c r="AB1048560" s="68"/>
      <c r="AC1048560" s="68"/>
      <c r="AD1048560" s="68"/>
      <c r="AE1048560" s="68"/>
      <c r="AF1048560" s="68"/>
      <c r="AG1048560" s="68"/>
    </row>
    <row r="1048561" spans="1:33">
      <c r="A1048561" s="68"/>
      <c r="B1048561" s="68"/>
      <c r="C1048561" s="68"/>
      <c r="D1048561" s="68"/>
      <c r="E1048561" s="68"/>
      <c r="F1048561" s="68"/>
      <c r="G1048561" s="68"/>
      <c r="H1048561" s="68"/>
      <c r="I1048561" s="68"/>
      <c r="J1048561" s="68"/>
      <c r="K1048561" s="68"/>
      <c r="L1048561" s="68"/>
      <c r="M1048561" s="68"/>
      <c r="N1048561" s="68"/>
      <c r="O1048561" s="68"/>
      <c r="P1048561" s="68"/>
      <c r="Q1048561" s="1782"/>
      <c r="R1048561" s="68"/>
      <c r="S1048561" s="68"/>
      <c r="T1048561" s="68"/>
      <c r="U1048561" s="68"/>
      <c r="V1048561" s="68"/>
      <c r="W1048561" s="68"/>
      <c r="X1048561" s="1782"/>
      <c r="Y1048561" s="68"/>
      <c r="Z1048561" s="68"/>
      <c r="AA1048561" s="68"/>
      <c r="AB1048561" s="68"/>
      <c r="AC1048561" s="68"/>
      <c r="AD1048561" s="68"/>
      <c r="AE1048561" s="68"/>
      <c r="AF1048561" s="68"/>
      <c r="AG1048561" s="68"/>
    </row>
    <row r="1048562" spans="1:33">
      <c r="A1048562" s="68"/>
      <c r="B1048562" s="68"/>
      <c r="C1048562" s="68"/>
      <c r="D1048562" s="68"/>
      <c r="E1048562" s="68"/>
      <c r="F1048562" s="68"/>
      <c r="G1048562" s="68"/>
      <c r="H1048562" s="68"/>
      <c r="I1048562" s="68"/>
      <c r="J1048562" s="68"/>
      <c r="K1048562" s="68"/>
      <c r="L1048562" s="68"/>
      <c r="M1048562" s="68"/>
      <c r="N1048562" s="68"/>
      <c r="O1048562" s="68"/>
      <c r="P1048562" s="68"/>
      <c r="Q1048562" s="1782"/>
      <c r="R1048562" s="68"/>
      <c r="S1048562" s="68"/>
      <c r="T1048562" s="68"/>
      <c r="U1048562" s="68"/>
      <c r="V1048562" s="68"/>
      <c r="W1048562" s="68"/>
      <c r="X1048562" s="1782"/>
      <c r="Y1048562" s="68"/>
      <c r="Z1048562" s="68"/>
      <c r="AA1048562" s="68"/>
      <c r="AB1048562" s="68"/>
      <c r="AC1048562" s="68"/>
      <c r="AD1048562" s="68"/>
      <c r="AE1048562" s="68"/>
      <c r="AF1048562" s="68"/>
      <c r="AG1048562" s="68"/>
    </row>
    <row r="1048563" spans="1:33">
      <c r="A1048563" s="68"/>
      <c r="B1048563" s="68"/>
      <c r="C1048563" s="68"/>
      <c r="D1048563" s="68"/>
      <c r="E1048563" s="68"/>
      <c r="F1048563" s="68"/>
      <c r="G1048563" s="68"/>
      <c r="H1048563" s="68"/>
      <c r="I1048563" s="68"/>
      <c r="J1048563" s="68"/>
      <c r="K1048563" s="68"/>
      <c r="L1048563" s="68"/>
      <c r="M1048563" s="68"/>
      <c r="N1048563" s="68"/>
      <c r="O1048563" s="68"/>
      <c r="P1048563" s="68"/>
      <c r="Q1048563" s="1782"/>
      <c r="R1048563" s="68"/>
      <c r="S1048563" s="68"/>
      <c r="T1048563" s="68"/>
      <c r="U1048563" s="68"/>
      <c r="V1048563" s="68"/>
      <c r="W1048563" s="68"/>
      <c r="X1048563" s="1782"/>
      <c r="Y1048563" s="68"/>
      <c r="Z1048563" s="68"/>
      <c r="AA1048563" s="68"/>
      <c r="AB1048563" s="68"/>
      <c r="AC1048563" s="68"/>
      <c r="AD1048563" s="68"/>
      <c r="AE1048563" s="68"/>
      <c r="AF1048563" s="68"/>
      <c r="AG1048563" s="68"/>
    </row>
  </sheetData>
  <pageMargins left="0.7" right="0.7" top="0.75" bottom="0.75" header="0.3" footer="0.3"/>
  <pageSetup scale="26" fitToHeight="0" orientation="landscape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14165-4FCB-4DDA-BB9E-DA088D8E7A60}">
  <sheetPr codeName="Sheet20" filterMode="1">
    <pageSetUpPr fitToPage="1"/>
  </sheetPr>
  <dimension ref="A1:AE100"/>
  <sheetViews>
    <sheetView topLeftCell="D5" zoomScale="90" zoomScaleNormal="90" workbookViewId="0">
      <selection activeCell="H62" sqref="H62"/>
    </sheetView>
  </sheetViews>
  <sheetFormatPr defaultColWidth="9.1796875" defaultRowHeight="14.5"/>
  <cols>
    <col min="1" max="2" width="8.81640625" style="830" customWidth="1"/>
    <col min="3" max="3" width="8.81640625" style="830" bestFit="1" customWidth="1"/>
    <col min="4" max="4" width="27.26953125" style="838" customWidth="1"/>
    <col min="5" max="5" width="13.81640625" style="837" customWidth="1"/>
    <col min="6" max="6" width="10.81640625" style="837" bestFit="1" customWidth="1"/>
    <col min="7" max="7" width="10" style="837" customWidth="1"/>
    <col min="8" max="8" width="38.26953125" style="838" customWidth="1"/>
    <col min="9" max="9" width="13.81640625" style="838" hidden="1" customWidth="1"/>
    <col min="10" max="10" width="9.7265625" style="838" hidden="1" customWidth="1"/>
    <col min="11" max="11" width="9.26953125" style="837" hidden="1" customWidth="1"/>
    <col min="12" max="12" width="13.1796875" style="838" customWidth="1"/>
    <col min="13" max="13" width="15" style="838" customWidth="1"/>
    <col min="14" max="14" width="22.26953125" style="837" customWidth="1"/>
    <col min="15" max="15" width="12.54296875" style="838" customWidth="1"/>
    <col min="16" max="16" width="9.1796875" style="838" bestFit="1" customWidth="1"/>
    <col min="17" max="17" width="13.26953125" style="839" customWidth="1"/>
    <col min="18" max="18" width="11.26953125" style="830" bestFit="1" customWidth="1"/>
    <col min="19" max="20" width="9.1796875" style="830" bestFit="1" customWidth="1"/>
    <col min="21" max="21" width="16.54296875" style="830" customWidth="1"/>
    <col min="22" max="22" width="14.26953125" style="839" customWidth="1"/>
    <col min="23" max="23" width="13.1796875" style="830" bestFit="1" customWidth="1"/>
    <col min="24" max="24" width="28.1796875" style="830" customWidth="1"/>
    <col min="25" max="25" width="13.7265625" style="830" customWidth="1"/>
    <col min="26" max="29" width="9.1796875" style="830" customWidth="1"/>
    <col min="30" max="16384" width="9.1796875" style="830"/>
  </cols>
  <sheetData>
    <row r="1" spans="1:31">
      <c r="A1" s="100"/>
      <c r="B1" s="100"/>
      <c r="C1" s="100"/>
      <c r="D1" s="59"/>
      <c r="E1" s="68"/>
      <c r="F1" s="68"/>
      <c r="G1" s="68"/>
      <c r="H1" s="59"/>
      <c r="I1" s="59"/>
      <c r="J1" s="59"/>
      <c r="K1" s="68"/>
      <c r="L1" s="59"/>
      <c r="M1" s="59"/>
      <c r="N1" s="68"/>
      <c r="O1" s="59"/>
      <c r="P1" s="59"/>
      <c r="Q1" s="101"/>
      <c r="R1" s="100"/>
      <c r="S1" s="100"/>
      <c r="T1" s="100"/>
      <c r="U1" s="100"/>
      <c r="V1" s="101"/>
      <c r="W1" s="100"/>
      <c r="X1" s="100"/>
      <c r="Y1" s="100"/>
      <c r="Z1" s="100"/>
      <c r="AA1" s="100"/>
      <c r="AB1" s="100"/>
      <c r="AC1" s="100"/>
      <c r="AD1" s="100"/>
      <c r="AE1" s="100"/>
    </row>
    <row r="2" spans="1:31" s="831" customFormat="1" ht="20.25" customHeight="1">
      <c r="A2" s="52" t="s">
        <v>0</v>
      </c>
      <c r="B2" s="52"/>
      <c r="C2" s="52"/>
      <c r="D2" s="390"/>
      <c r="E2" s="391"/>
      <c r="F2" s="391"/>
      <c r="G2" s="391"/>
      <c r="H2" s="390"/>
      <c r="I2" s="52"/>
      <c r="J2" s="389"/>
      <c r="K2" s="391"/>
      <c r="L2" s="390"/>
      <c r="M2" s="390"/>
      <c r="N2" s="391"/>
      <c r="O2" s="390"/>
      <c r="P2" s="390"/>
      <c r="Q2" s="52"/>
      <c r="R2" s="52"/>
      <c r="S2" s="52"/>
      <c r="T2" s="52"/>
      <c r="U2" s="52"/>
      <c r="V2" s="53"/>
      <c r="W2" s="54"/>
      <c r="X2" s="52"/>
      <c r="Y2" s="435"/>
      <c r="Z2" s="56"/>
      <c r="AA2" s="57"/>
      <c r="AB2" s="57"/>
      <c r="AC2" s="57"/>
      <c r="AD2" s="58"/>
      <c r="AE2" s="59" t="s">
        <v>1</v>
      </c>
    </row>
    <row r="3" spans="1:31" s="831" customFormat="1" ht="20.25" customHeight="1">
      <c r="A3" s="60" t="s">
        <v>2</v>
      </c>
      <c r="B3" s="60"/>
      <c r="C3" s="60"/>
      <c r="D3" s="393"/>
      <c r="E3" s="394"/>
      <c r="F3" s="394"/>
      <c r="G3" s="394"/>
      <c r="H3" s="393"/>
      <c r="I3" s="60"/>
      <c r="J3" s="392"/>
      <c r="K3" s="394"/>
      <c r="L3" s="393"/>
      <c r="M3" s="393"/>
      <c r="N3" s="394"/>
      <c r="O3" s="393"/>
      <c r="P3" s="393"/>
      <c r="Q3" s="60"/>
      <c r="R3" s="60"/>
      <c r="S3" s="60"/>
      <c r="T3" s="60"/>
      <c r="U3" s="60"/>
      <c r="V3" s="61"/>
      <c r="W3" s="62"/>
      <c r="X3" s="60"/>
      <c r="Y3" s="63"/>
      <c r="Z3" s="56"/>
      <c r="AA3" s="57"/>
      <c r="AB3" s="57"/>
      <c r="AC3" s="57"/>
      <c r="AD3" s="64"/>
      <c r="AE3" s="59" t="s">
        <v>3</v>
      </c>
    </row>
    <row r="4" spans="1:31" s="831" customFormat="1" ht="20.25" customHeight="1">
      <c r="A4" s="60" t="s">
        <v>1289</v>
      </c>
      <c r="B4" s="60"/>
      <c r="C4" s="60"/>
      <c r="D4" s="393"/>
      <c r="E4" s="394"/>
      <c r="F4" s="394"/>
      <c r="G4" s="394"/>
      <c r="H4" s="393"/>
      <c r="I4" s="60"/>
      <c r="J4" s="392"/>
      <c r="K4" s="394"/>
      <c r="L4" s="393"/>
      <c r="M4" s="393"/>
      <c r="N4" s="394"/>
      <c r="O4" s="393"/>
      <c r="P4" s="393"/>
      <c r="Q4" s="60"/>
      <c r="R4" s="60"/>
      <c r="S4" s="60"/>
      <c r="T4" s="60"/>
      <c r="U4" s="60"/>
      <c r="V4" s="61"/>
      <c r="W4" s="62"/>
      <c r="X4" s="60"/>
      <c r="Y4" s="63"/>
      <c r="Z4" s="56"/>
      <c r="AA4" s="57"/>
      <c r="AB4" s="57"/>
      <c r="AC4" s="57"/>
      <c r="AD4" s="65"/>
      <c r="AE4" s="59" t="s">
        <v>5</v>
      </c>
    </row>
    <row r="5" spans="1:31" s="831" customFormat="1" ht="6" customHeight="1">
      <c r="A5" s="57"/>
      <c r="B5" s="57"/>
      <c r="C5" s="57"/>
      <c r="D5" s="66"/>
      <c r="E5" s="67"/>
      <c r="F5" s="67"/>
      <c r="G5" s="67"/>
      <c r="H5" s="66"/>
      <c r="I5" s="66"/>
      <c r="J5" s="66"/>
      <c r="K5" s="67"/>
      <c r="L5" s="66"/>
      <c r="M5" s="59"/>
      <c r="N5" s="68"/>
      <c r="O5" s="59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  <c r="AA5" s="57"/>
      <c r="AB5" s="57"/>
      <c r="AC5" s="57"/>
      <c r="AD5" s="57"/>
      <c r="AE5" s="57"/>
    </row>
    <row r="6" spans="1:31" s="832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1143</v>
      </c>
      <c r="I6" s="161" t="s">
        <v>13</v>
      </c>
      <c r="J6" s="159" t="s">
        <v>14</v>
      </c>
      <c r="K6" s="74" t="s">
        <v>15</v>
      </c>
      <c r="L6" s="159" t="s">
        <v>16</v>
      </c>
      <c r="M6" s="159" t="s">
        <v>17</v>
      </c>
      <c r="N6" s="75" t="s">
        <v>18</v>
      </c>
      <c r="O6" s="1089" t="s">
        <v>19</v>
      </c>
      <c r="P6" s="159" t="s">
        <v>20</v>
      </c>
      <c r="Q6" s="136" t="s">
        <v>21</v>
      </c>
      <c r="R6" s="74" t="s">
        <v>22</v>
      </c>
      <c r="S6" s="74" t="s">
        <v>23</v>
      </c>
      <c r="T6" s="74" t="s">
        <v>24</v>
      </c>
      <c r="U6" s="663" t="s">
        <v>25</v>
      </c>
      <c r="V6" s="74" t="s">
        <v>1146</v>
      </c>
      <c r="W6" s="79"/>
      <c r="X6" s="79"/>
      <c r="Y6" s="79"/>
      <c r="Z6" s="72" t="s">
        <v>27</v>
      </c>
      <c r="AA6" s="80" t="s">
        <v>28</v>
      </c>
      <c r="AB6" s="74" t="s">
        <v>29</v>
      </c>
      <c r="AC6" s="72" t="s">
        <v>30</v>
      </c>
      <c r="AD6" s="79"/>
      <c r="AE6" s="79"/>
    </row>
    <row r="7" spans="1:31" s="1164" customFormat="1" ht="13">
      <c r="A7" s="1115"/>
      <c r="B7" s="1095">
        <v>1</v>
      </c>
      <c r="C7" s="1096">
        <v>4655</v>
      </c>
      <c r="D7" s="1097" t="s">
        <v>43</v>
      </c>
      <c r="E7" s="1096" t="s">
        <v>1290</v>
      </c>
      <c r="F7" s="1098">
        <v>1630</v>
      </c>
      <c r="G7" s="1098">
        <v>1730</v>
      </c>
      <c r="H7" s="1097" t="s">
        <v>969</v>
      </c>
      <c r="I7" s="140" t="s">
        <v>35</v>
      </c>
      <c r="J7" s="140" t="s">
        <v>36</v>
      </c>
      <c r="K7" s="670">
        <v>6</v>
      </c>
      <c r="L7" s="1099" t="s">
        <v>284</v>
      </c>
      <c r="M7" s="1100"/>
      <c r="N7" s="1101" t="s">
        <v>1291</v>
      </c>
      <c r="O7" s="1097" t="s">
        <v>40</v>
      </c>
      <c r="P7" s="1116"/>
      <c r="Q7" s="1117"/>
      <c r="R7" s="1118">
        <v>500000</v>
      </c>
      <c r="S7" s="1119">
        <f t="shared" ref="S7:S14" si="0">(G7-F7)/100</f>
        <v>1</v>
      </c>
      <c r="T7" s="1120"/>
      <c r="U7" s="1118">
        <f t="shared" ref="U7:U38" si="1">S7*R7*(100-P7)/100</f>
        <v>500000</v>
      </c>
      <c r="V7" s="1121">
        <f t="shared" ref="V7:V18" si="2">(Q7+((S7-0)*R7))*((100-P7)/100)</f>
        <v>500000</v>
      </c>
      <c r="W7" s="1111"/>
      <c r="X7" s="1111"/>
      <c r="Y7" s="1111"/>
      <c r="Z7" s="1111"/>
      <c r="AA7" s="1112"/>
      <c r="AB7" s="1113"/>
      <c r="AC7" s="1111"/>
      <c r="AD7" s="1111"/>
      <c r="AE7" s="1111"/>
    </row>
    <row r="8" spans="1:31" s="1358" customFormat="1" ht="13">
      <c r="A8" s="1344"/>
      <c r="B8" s="1345">
        <v>16</v>
      </c>
      <c r="C8" s="1346">
        <v>4640</v>
      </c>
      <c r="D8" s="1347" t="s">
        <v>43</v>
      </c>
      <c r="E8" s="1346" t="s">
        <v>1290</v>
      </c>
      <c r="F8" s="1348">
        <v>900</v>
      </c>
      <c r="G8" s="1348">
        <v>1100</v>
      </c>
      <c r="H8" s="1349" t="s">
        <v>1292</v>
      </c>
      <c r="I8" s="140" t="s">
        <v>35</v>
      </c>
      <c r="J8" s="140" t="s">
        <v>36</v>
      </c>
      <c r="K8" s="670">
        <v>4</v>
      </c>
      <c r="L8" s="1349" t="s">
        <v>372</v>
      </c>
      <c r="M8" s="1350"/>
      <c r="N8" s="1351" t="s">
        <v>1293</v>
      </c>
      <c r="O8" s="1349" t="s">
        <v>40</v>
      </c>
      <c r="P8" s="1352"/>
      <c r="Q8" s="1352"/>
      <c r="R8" s="1352">
        <f>500000*1.25</f>
        <v>625000</v>
      </c>
      <c r="S8" s="1353">
        <f t="shared" si="0"/>
        <v>2</v>
      </c>
      <c r="T8" s="1349"/>
      <c r="U8" s="1352">
        <f t="shared" si="1"/>
        <v>1250000</v>
      </c>
      <c r="V8" s="1354">
        <f t="shared" si="2"/>
        <v>1250000</v>
      </c>
      <c r="W8" s="1355"/>
      <c r="X8" s="1356"/>
      <c r="Y8" s="1355"/>
      <c r="Z8" s="1357"/>
      <c r="AA8" s="1357"/>
      <c r="AB8" s="1357"/>
      <c r="AC8" s="1357"/>
      <c r="AD8" s="1357"/>
      <c r="AE8" s="1357"/>
    </row>
    <row r="9" spans="1:31" s="1164" customFormat="1" ht="29">
      <c r="A9" s="1115"/>
      <c r="B9" s="1202" t="s">
        <v>197</v>
      </c>
      <c r="C9" s="1203" t="s">
        <v>197</v>
      </c>
      <c r="D9" s="1099" t="s">
        <v>198</v>
      </c>
      <c r="E9" s="1204" t="s">
        <v>1294</v>
      </c>
      <c r="F9" s="1135" t="s">
        <v>1295</v>
      </c>
      <c r="G9" s="1205" t="s">
        <v>1296</v>
      </c>
      <c r="H9" s="1156" t="s">
        <v>1297</v>
      </c>
      <c r="I9" s="632"/>
      <c r="J9" s="1053" t="s">
        <v>1279</v>
      </c>
      <c r="K9" s="1054" t="s">
        <v>547</v>
      </c>
      <c r="L9" s="1129" t="s">
        <v>1221</v>
      </c>
      <c r="M9" s="1206"/>
      <c r="N9" s="1206"/>
      <c r="O9" s="1156" t="s">
        <v>40</v>
      </c>
      <c r="P9" s="1156"/>
      <c r="Q9" s="1108"/>
      <c r="R9" s="1207">
        <v>2200000</v>
      </c>
      <c r="S9" s="1208">
        <f t="shared" si="0"/>
        <v>2</v>
      </c>
      <c r="T9" s="1209"/>
      <c r="U9" s="1108">
        <f t="shared" si="1"/>
        <v>4400000</v>
      </c>
      <c r="V9" s="1210">
        <f t="shared" si="2"/>
        <v>4400000</v>
      </c>
      <c r="W9" s="1211"/>
      <c r="X9" s="1211"/>
      <c r="Y9" s="1211"/>
      <c r="Z9" s="1211"/>
      <c r="AA9" s="1211"/>
      <c r="AB9" s="1211"/>
      <c r="AC9" s="1211"/>
      <c r="AD9" s="1211"/>
      <c r="AE9" s="1211"/>
    </row>
    <row r="10" spans="1:31" s="833" customFormat="1" ht="13" hidden="1">
      <c r="A10" s="81"/>
      <c r="B10" s="671">
        <v>4</v>
      </c>
      <c r="C10" s="670">
        <v>4652</v>
      </c>
      <c r="D10" s="669" t="s">
        <v>43</v>
      </c>
      <c r="E10" s="670" t="s">
        <v>1298</v>
      </c>
      <c r="F10" s="668">
        <v>1000</v>
      </c>
      <c r="G10" s="668">
        <v>1100</v>
      </c>
      <c r="H10" s="735" t="s">
        <v>1299</v>
      </c>
      <c r="I10" s="140" t="s">
        <v>35</v>
      </c>
      <c r="J10" s="140" t="s">
        <v>36</v>
      </c>
      <c r="K10" s="670">
        <v>6</v>
      </c>
      <c r="L10" s="737" t="s">
        <v>47</v>
      </c>
      <c r="M10" s="877"/>
      <c r="N10" s="1070" t="s">
        <v>1300</v>
      </c>
      <c r="O10" s="734" t="s">
        <v>174</v>
      </c>
      <c r="P10" s="737"/>
      <c r="Q10" s="731"/>
      <c r="R10" s="732"/>
      <c r="S10" s="531">
        <f t="shared" si="0"/>
        <v>1</v>
      </c>
      <c r="T10" s="706"/>
      <c r="U10" s="914">
        <f t="shared" si="1"/>
        <v>0</v>
      </c>
      <c r="V10" s="707">
        <f t="shared" si="2"/>
        <v>0</v>
      </c>
      <c r="W10" s="439"/>
      <c r="X10" s="91"/>
      <c r="Y10" s="439"/>
      <c r="Z10" s="82"/>
      <c r="AA10" s="82"/>
      <c r="AB10" s="82"/>
      <c r="AC10" s="82"/>
      <c r="AD10" s="82"/>
      <c r="AE10" s="82"/>
    </row>
    <row r="11" spans="1:31" s="1114" customFormat="1" ht="13">
      <c r="A11" s="1115"/>
      <c r="B11" s="1095">
        <v>6</v>
      </c>
      <c r="C11" s="1096">
        <v>4647</v>
      </c>
      <c r="D11" s="1097" t="s">
        <v>32</v>
      </c>
      <c r="E11" s="1096" t="s">
        <v>1301</v>
      </c>
      <c r="F11" s="1098">
        <v>1600</v>
      </c>
      <c r="G11" s="1098">
        <v>1700</v>
      </c>
      <c r="H11" s="1097" t="s">
        <v>1302</v>
      </c>
      <c r="I11" s="140" t="s">
        <v>35</v>
      </c>
      <c r="J11" s="140" t="s">
        <v>36</v>
      </c>
      <c r="K11" s="670">
        <v>10</v>
      </c>
      <c r="L11" s="1099" t="s">
        <v>72</v>
      </c>
      <c r="M11" s="1100"/>
      <c r="N11" s="1101" t="s">
        <v>1303</v>
      </c>
      <c r="O11" s="1097" t="s">
        <v>40</v>
      </c>
      <c r="P11" s="1099"/>
      <c r="Q11" s="1143"/>
      <c r="R11" s="1118">
        <v>950000</v>
      </c>
      <c r="S11" s="1119">
        <f t="shared" si="0"/>
        <v>1</v>
      </c>
      <c r="T11" s="1144"/>
      <c r="U11" s="1118">
        <f t="shared" si="1"/>
        <v>950000</v>
      </c>
      <c r="V11" s="1121">
        <f t="shared" si="2"/>
        <v>950000</v>
      </c>
      <c r="W11" s="1128"/>
      <c r="X11" s="1128"/>
      <c r="Y11" s="1128"/>
      <c r="Z11" s="1128"/>
      <c r="AA11" s="1128"/>
      <c r="AB11" s="1128"/>
      <c r="AC11" s="1128"/>
      <c r="AD11" s="1128"/>
      <c r="AE11" s="1128"/>
    </row>
    <row r="12" spans="1:31" s="1114" customFormat="1" ht="14">
      <c r="A12" s="1115"/>
      <c r="B12" s="1095">
        <v>11</v>
      </c>
      <c r="C12" s="1096">
        <v>4645</v>
      </c>
      <c r="D12" s="1097" t="s">
        <v>32</v>
      </c>
      <c r="E12" s="1096" t="s">
        <v>1298</v>
      </c>
      <c r="F12" s="1098">
        <v>1400</v>
      </c>
      <c r="G12" s="1098">
        <v>1600</v>
      </c>
      <c r="H12" s="1097" t="s">
        <v>1304</v>
      </c>
      <c r="I12" s="140" t="s">
        <v>35</v>
      </c>
      <c r="J12" s="140" t="s">
        <v>36</v>
      </c>
      <c r="K12" s="670">
        <v>12</v>
      </c>
      <c r="L12" s="1099" t="s">
        <v>72</v>
      </c>
      <c r="M12" s="1100"/>
      <c r="N12" s="1101" t="s">
        <v>1305</v>
      </c>
      <c r="O12" s="1097" t="s">
        <v>40</v>
      </c>
      <c r="P12" s="1179"/>
      <c r="Q12" s="1180"/>
      <c r="R12" s="1118">
        <v>950000</v>
      </c>
      <c r="S12" s="1119">
        <f t="shared" si="0"/>
        <v>2</v>
      </c>
      <c r="T12" s="1181"/>
      <c r="U12" s="1182">
        <f t="shared" si="1"/>
        <v>1900000</v>
      </c>
      <c r="V12" s="1134">
        <f t="shared" si="2"/>
        <v>1900000</v>
      </c>
      <c r="W12" s="1126"/>
      <c r="X12" s="1178"/>
      <c r="Y12" s="1126"/>
      <c r="Z12" s="1128"/>
      <c r="AA12" s="1128"/>
      <c r="AB12" s="1128"/>
      <c r="AC12" s="1128"/>
      <c r="AD12" s="1128"/>
      <c r="AE12" s="1128"/>
    </row>
    <row r="13" spans="1:31" s="1114" customFormat="1" ht="13">
      <c r="A13" s="1094"/>
      <c r="B13" s="1095">
        <v>2</v>
      </c>
      <c r="C13" s="1096">
        <v>4654</v>
      </c>
      <c r="D13" s="1097" t="s">
        <v>43</v>
      </c>
      <c r="E13" s="1096" t="s">
        <v>1298</v>
      </c>
      <c r="F13" s="1098">
        <v>1000</v>
      </c>
      <c r="G13" s="1098">
        <v>1100</v>
      </c>
      <c r="H13" s="1097" t="s">
        <v>1299</v>
      </c>
      <c r="I13" s="140" t="s">
        <v>35</v>
      </c>
      <c r="J13" s="140" t="s">
        <v>36</v>
      </c>
      <c r="K13" s="670">
        <v>6</v>
      </c>
      <c r="L13" s="1099" t="s">
        <v>47</v>
      </c>
      <c r="M13" s="1100" t="s">
        <v>1306</v>
      </c>
      <c r="N13" s="1101" t="s">
        <v>1307</v>
      </c>
      <c r="O13" s="1102" t="s">
        <v>40</v>
      </c>
      <c r="P13" s="1103"/>
      <c r="Q13" s="1104"/>
      <c r="R13" s="1105">
        <v>500000</v>
      </c>
      <c r="S13" s="1106">
        <f t="shared" si="0"/>
        <v>1</v>
      </c>
      <c r="T13" s="1107"/>
      <c r="U13" s="1108">
        <f t="shared" si="1"/>
        <v>500000</v>
      </c>
      <c r="V13" s="396">
        <f t="shared" si="2"/>
        <v>500000</v>
      </c>
      <c r="W13" s="1109"/>
      <c r="X13" s="1110"/>
      <c r="Y13" s="1111"/>
      <c r="Z13" s="1111"/>
      <c r="AA13" s="1112"/>
      <c r="AB13" s="1113"/>
      <c r="AC13" s="1111"/>
      <c r="AD13" s="1111"/>
      <c r="AE13" s="1111"/>
    </row>
    <row r="14" spans="1:31" s="833" customFormat="1" ht="14.5" hidden="1" customHeight="1">
      <c r="A14" s="712"/>
      <c r="B14" s="671">
        <v>8</v>
      </c>
      <c r="C14" s="670">
        <v>4648</v>
      </c>
      <c r="D14" s="669" t="s">
        <v>75</v>
      </c>
      <c r="E14" s="670" t="s">
        <v>1308</v>
      </c>
      <c r="F14" s="668">
        <v>1400</v>
      </c>
      <c r="G14" s="668">
        <v>1500</v>
      </c>
      <c r="H14" s="667" t="s">
        <v>1309</v>
      </c>
      <c r="I14" s="140" t="s">
        <v>35</v>
      </c>
      <c r="J14" s="140" t="s">
        <v>36</v>
      </c>
      <c r="K14" s="670">
        <v>6</v>
      </c>
      <c r="L14" s="261" t="s">
        <v>255</v>
      </c>
      <c r="M14" s="879"/>
      <c r="N14" s="803" t="s">
        <v>1310</v>
      </c>
      <c r="O14" s="669" t="s">
        <v>174</v>
      </c>
      <c r="P14" s="743"/>
      <c r="Q14" s="786"/>
      <c r="R14" s="538"/>
      <c r="S14" s="162">
        <f t="shared" si="0"/>
        <v>1</v>
      </c>
      <c r="T14" s="730"/>
      <c r="U14" s="901">
        <f t="shared" si="1"/>
        <v>0</v>
      </c>
      <c r="V14" s="808">
        <f t="shared" si="2"/>
        <v>0</v>
      </c>
      <c r="W14" s="439"/>
      <c r="X14" s="386">
        <f>(Q14+((S14-0)*R14))*((100-P14)/100)</f>
        <v>0</v>
      </c>
      <c r="Y14" s="439"/>
      <c r="Z14" s="82"/>
      <c r="AA14" s="82"/>
      <c r="AB14" s="82"/>
      <c r="AC14" s="82"/>
      <c r="AD14" s="82"/>
      <c r="AE14" s="82"/>
    </row>
    <row r="15" spans="1:31" s="1114" customFormat="1" ht="13">
      <c r="A15" s="1115"/>
      <c r="B15" s="1095">
        <v>3</v>
      </c>
      <c r="C15" s="1096">
        <v>4653</v>
      </c>
      <c r="D15" s="1097" t="s">
        <v>43</v>
      </c>
      <c r="E15" s="1096" t="s">
        <v>1298</v>
      </c>
      <c r="F15" s="1098">
        <v>1330</v>
      </c>
      <c r="G15" s="1098">
        <v>1400</v>
      </c>
      <c r="H15" s="1097" t="s">
        <v>1311</v>
      </c>
      <c r="I15" s="140" t="s">
        <v>35</v>
      </c>
      <c r="J15" s="140" t="s">
        <v>36</v>
      </c>
      <c r="K15" s="670">
        <v>6</v>
      </c>
      <c r="L15" s="1099" t="s">
        <v>47</v>
      </c>
      <c r="M15" s="1100" t="s">
        <v>1306</v>
      </c>
      <c r="N15" s="1101" t="s">
        <v>1312</v>
      </c>
      <c r="O15" s="1097" t="s">
        <v>40</v>
      </c>
      <c r="P15" s="1116"/>
      <c r="Q15" s="1117"/>
      <c r="R15" s="1118">
        <v>500000</v>
      </c>
      <c r="S15" s="1119">
        <f>(G15-1350)/100</f>
        <v>0.5</v>
      </c>
      <c r="T15" s="1120"/>
      <c r="U15" s="1118">
        <f t="shared" si="1"/>
        <v>250000</v>
      </c>
      <c r="V15" s="1121">
        <f t="shared" si="2"/>
        <v>250000</v>
      </c>
      <c r="W15" s="1111"/>
      <c r="X15" s="1111"/>
      <c r="Y15" s="1111"/>
      <c r="Z15" s="1111"/>
      <c r="AA15" s="1112"/>
      <c r="AB15" s="1113"/>
      <c r="AC15" s="1111"/>
      <c r="AD15" s="1111"/>
      <c r="AE15" s="1111"/>
    </row>
    <row r="16" spans="1:31" s="1114" customFormat="1" ht="13">
      <c r="A16" s="1095"/>
      <c r="B16" s="1095">
        <v>5</v>
      </c>
      <c r="C16" s="1096">
        <v>4651</v>
      </c>
      <c r="D16" s="1097" t="s">
        <v>32</v>
      </c>
      <c r="E16" s="1096" t="s">
        <v>1313</v>
      </c>
      <c r="F16" s="1098">
        <v>1330</v>
      </c>
      <c r="G16" s="1098">
        <v>1430</v>
      </c>
      <c r="H16" s="1097" t="s">
        <v>1304</v>
      </c>
      <c r="I16" s="140" t="s">
        <v>35</v>
      </c>
      <c r="J16" s="140" t="s">
        <v>36</v>
      </c>
      <c r="K16" s="670">
        <v>6</v>
      </c>
      <c r="L16" s="1099" t="s">
        <v>72</v>
      </c>
      <c r="M16" s="1100"/>
      <c r="N16" s="1101" t="s">
        <v>1314</v>
      </c>
      <c r="O16" s="1097" t="s">
        <v>40</v>
      </c>
      <c r="P16" s="1097"/>
      <c r="Q16" s="1183"/>
      <c r="R16" s="1118">
        <v>950000</v>
      </c>
      <c r="S16" s="1119">
        <f t="shared" ref="S16:S22" si="3">(G16-F16)/100</f>
        <v>1</v>
      </c>
      <c r="T16" s="1170"/>
      <c r="U16" s="1171">
        <f t="shared" si="1"/>
        <v>950000</v>
      </c>
      <c r="V16" s="1121">
        <f t="shared" si="2"/>
        <v>950000</v>
      </c>
      <c r="W16" s="1126"/>
      <c r="X16" s="1178"/>
      <c r="Y16" s="1126"/>
      <c r="Z16" s="1128"/>
      <c r="AA16" s="1128"/>
      <c r="AB16" s="1128"/>
      <c r="AC16" s="1128"/>
      <c r="AD16" s="1128"/>
      <c r="AE16" s="1128"/>
    </row>
    <row r="17" spans="1:31" s="1114" customFormat="1" ht="13">
      <c r="A17" s="1095"/>
      <c r="B17" s="1095">
        <v>4</v>
      </c>
      <c r="C17" s="1096">
        <v>4650</v>
      </c>
      <c r="D17" s="1097" t="s">
        <v>43</v>
      </c>
      <c r="E17" s="1096" t="s">
        <v>1308</v>
      </c>
      <c r="F17" s="1098">
        <v>1600</v>
      </c>
      <c r="G17" s="1098">
        <v>1700</v>
      </c>
      <c r="H17" s="1097" t="s">
        <v>1315</v>
      </c>
      <c r="I17" s="140" t="s">
        <v>35</v>
      </c>
      <c r="J17" s="140" t="s">
        <v>36</v>
      </c>
      <c r="K17" s="670">
        <v>6</v>
      </c>
      <c r="L17" s="1099" t="s">
        <v>1209</v>
      </c>
      <c r="M17" s="1100"/>
      <c r="N17" s="1101" t="s">
        <v>1316</v>
      </c>
      <c r="O17" s="1097" t="s">
        <v>40</v>
      </c>
      <c r="P17" s="1097"/>
      <c r="Q17" s="1169"/>
      <c r="R17" s="1118">
        <v>500000</v>
      </c>
      <c r="S17" s="1119">
        <f t="shared" si="3"/>
        <v>1</v>
      </c>
      <c r="T17" s="1170"/>
      <c r="U17" s="1171">
        <f t="shared" si="1"/>
        <v>500000</v>
      </c>
      <c r="V17" s="1121">
        <f t="shared" si="2"/>
        <v>500000</v>
      </c>
      <c r="W17" s="1126"/>
      <c r="X17" s="1140">
        <f>(Q17+((S17-0)*R17))*((100-P17)/100)</f>
        <v>500000</v>
      </c>
      <c r="Y17" s="1126"/>
      <c r="Z17" s="1128"/>
      <c r="AA17" s="1128"/>
      <c r="AB17" s="1128"/>
      <c r="AC17" s="1128"/>
      <c r="AD17" s="1128"/>
      <c r="AE17" s="1128"/>
    </row>
    <row r="18" spans="1:31" s="833" customFormat="1" hidden="1">
      <c r="A18" s="765"/>
      <c r="B18" s="671">
        <v>12</v>
      </c>
      <c r="C18" s="670">
        <v>4644</v>
      </c>
      <c r="D18" s="669" t="s">
        <v>32</v>
      </c>
      <c r="E18" s="670" t="s">
        <v>1313</v>
      </c>
      <c r="F18" s="668">
        <v>1530</v>
      </c>
      <c r="G18" s="668">
        <v>1630</v>
      </c>
      <c r="H18" s="667" t="s">
        <v>1302</v>
      </c>
      <c r="I18" s="140" t="s">
        <v>35</v>
      </c>
      <c r="J18" s="140" t="s">
        <v>36</v>
      </c>
      <c r="K18" s="670">
        <v>12</v>
      </c>
      <c r="L18" s="261" t="s">
        <v>72</v>
      </c>
      <c r="M18" s="879"/>
      <c r="N18" s="803" t="s">
        <v>1317</v>
      </c>
      <c r="O18" s="669" t="s">
        <v>174</v>
      </c>
      <c r="P18" s="774"/>
      <c r="Q18" s="978"/>
      <c r="R18" s="756"/>
      <c r="S18" s="701">
        <f t="shared" si="3"/>
        <v>1</v>
      </c>
      <c r="T18" s="762"/>
      <c r="U18" s="846">
        <f t="shared" si="1"/>
        <v>0</v>
      </c>
      <c r="V18" s="784">
        <f t="shared" si="2"/>
        <v>0</v>
      </c>
      <c r="W18" s="439"/>
      <c r="X18" s="91"/>
      <c r="Y18" s="439"/>
      <c r="Z18" s="82"/>
      <c r="AA18" s="82"/>
      <c r="AB18" s="82"/>
      <c r="AC18" s="82"/>
      <c r="AD18" s="82"/>
      <c r="AE18" s="82"/>
    </row>
    <row r="19" spans="1:31" s="1114" customFormat="1" ht="13">
      <c r="A19" s="1146"/>
      <c r="B19" s="1095">
        <v>6</v>
      </c>
      <c r="C19" s="1096">
        <v>4649</v>
      </c>
      <c r="D19" s="1097" t="s">
        <v>32</v>
      </c>
      <c r="E19" s="1096" t="s">
        <v>1308</v>
      </c>
      <c r="F19" s="1098">
        <v>1400</v>
      </c>
      <c r="G19" s="1098">
        <v>1700</v>
      </c>
      <c r="H19" s="1097" t="s">
        <v>1309</v>
      </c>
      <c r="I19" s="140" t="s">
        <v>35</v>
      </c>
      <c r="J19" s="140" t="s">
        <v>36</v>
      </c>
      <c r="K19" s="670">
        <v>12</v>
      </c>
      <c r="L19" s="1131" t="s">
        <v>255</v>
      </c>
      <c r="M19" s="1100"/>
      <c r="N19" s="1101" t="s">
        <v>1318</v>
      </c>
      <c r="O19" s="1097" t="s">
        <v>40</v>
      </c>
      <c r="P19" s="1229"/>
      <c r="Q19" s="1230"/>
      <c r="R19" s="1108">
        <v>950000</v>
      </c>
      <c r="S19" s="1208">
        <f t="shared" si="3"/>
        <v>3</v>
      </c>
      <c r="T19" s="1220"/>
      <c r="U19" s="1221">
        <f t="shared" si="1"/>
        <v>2850000</v>
      </c>
      <c r="V19" s="1231">
        <f>U19</f>
        <v>2850000</v>
      </c>
      <c r="W19" s="1232"/>
      <c r="X19" s="1140">
        <f>(Q19+((S19-0)*R19))*((100-P19)/100)</f>
        <v>2850000</v>
      </c>
      <c r="Y19" s="1128"/>
      <c r="Z19" s="1128"/>
      <c r="AA19" s="1128"/>
      <c r="AB19" s="1128"/>
      <c r="AC19" s="1128"/>
      <c r="AD19" s="1128"/>
      <c r="AE19" s="1128"/>
    </row>
    <row r="20" spans="1:31" s="1114" customFormat="1" ht="13">
      <c r="A20" s="1115"/>
      <c r="B20" s="1095">
        <v>10</v>
      </c>
      <c r="C20" s="1096">
        <v>4646</v>
      </c>
      <c r="D20" s="1097" t="s">
        <v>43</v>
      </c>
      <c r="E20" s="1096" t="s">
        <v>1308</v>
      </c>
      <c r="F20" s="1098">
        <v>1500</v>
      </c>
      <c r="G20" s="1098">
        <v>1600</v>
      </c>
      <c r="H20" s="1097" t="s">
        <v>1315</v>
      </c>
      <c r="I20" s="140" t="s">
        <v>35</v>
      </c>
      <c r="J20" s="140" t="s">
        <v>36</v>
      </c>
      <c r="K20" s="1012">
        <v>12</v>
      </c>
      <c r="L20" s="1129" t="s">
        <v>1209</v>
      </c>
      <c r="M20" s="1130"/>
      <c r="N20" s="1101" t="s">
        <v>1319</v>
      </c>
      <c r="O20" s="1097" t="s">
        <v>40</v>
      </c>
      <c r="P20" s="1166"/>
      <c r="Q20" s="1143"/>
      <c r="R20" s="1124">
        <v>500000</v>
      </c>
      <c r="S20" s="1172">
        <f t="shared" si="3"/>
        <v>1</v>
      </c>
      <c r="T20" s="1123"/>
      <c r="U20" s="1173">
        <f t="shared" si="1"/>
        <v>500000</v>
      </c>
      <c r="V20" s="1125">
        <f>(Q20+((S20-0)*R20))*((100-P20)/100)</f>
        <v>500000</v>
      </c>
      <c r="W20" s="1126"/>
      <c r="X20" s="396">
        <f>(Q20+((S20-0)*R20))*((100-P20)/100)</f>
        <v>500000</v>
      </c>
      <c r="Y20" s="1126"/>
      <c r="Z20" s="1128"/>
      <c r="AA20" s="1128"/>
      <c r="AB20" s="1128"/>
      <c r="AC20" s="1128"/>
      <c r="AD20" s="1128"/>
      <c r="AE20" s="1128"/>
    </row>
    <row r="21" spans="1:31" s="833" customFormat="1" ht="13" hidden="1">
      <c r="A21" s="728"/>
      <c r="B21" s="671">
        <v>15</v>
      </c>
      <c r="C21" s="670">
        <v>4641</v>
      </c>
      <c r="D21" s="669" t="s">
        <v>43</v>
      </c>
      <c r="E21" s="670" t="s">
        <v>1320</v>
      </c>
      <c r="F21" s="668">
        <v>1030</v>
      </c>
      <c r="G21" s="668">
        <v>1200</v>
      </c>
      <c r="H21" s="667" t="s">
        <v>1132</v>
      </c>
      <c r="I21" s="140" t="s">
        <v>35</v>
      </c>
      <c r="J21" s="140" t="s">
        <v>36</v>
      </c>
      <c r="K21" s="670">
        <v>6</v>
      </c>
      <c r="L21" s="737" t="s">
        <v>1221</v>
      </c>
      <c r="M21" s="879" t="s">
        <v>1321</v>
      </c>
      <c r="N21" s="803" t="s">
        <v>1322</v>
      </c>
      <c r="O21" s="669" t="s">
        <v>174</v>
      </c>
      <c r="P21" s="737"/>
      <c r="Q21" s="731"/>
      <c r="R21" s="732"/>
      <c r="S21" s="162">
        <f t="shared" si="3"/>
        <v>1.7</v>
      </c>
      <c r="T21" s="706"/>
      <c r="U21" s="914">
        <f t="shared" si="1"/>
        <v>0</v>
      </c>
      <c r="V21" s="809">
        <f>(Q21+((S21-0)*R21))*((100-P21)/100)</f>
        <v>0</v>
      </c>
      <c r="W21" s="439"/>
      <c r="X21" s="91"/>
      <c r="Y21" s="439"/>
      <c r="Z21" s="82"/>
      <c r="AA21" s="82"/>
      <c r="AB21" s="82"/>
      <c r="AC21" s="82"/>
      <c r="AD21" s="82"/>
      <c r="AE21" s="82"/>
    </row>
    <row r="22" spans="1:31" s="1226" customFormat="1">
      <c r="A22" s="1095"/>
      <c r="B22" s="1095">
        <v>13</v>
      </c>
      <c r="C22" s="1096">
        <v>4643</v>
      </c>
      <c r="D22" s="1097" t="s">
        <v>32</v>
      </c>
      <c r="E22" s="1096" t="s">
        <v>1308</v>
      </c>
      <c r="F22" s="1098">
        <v>900</v>
      </c>
      <c r="G22" s="1098">
        <v>1400</v>
      </c>
      <c r="H22" s="1149" t="s">
        <v>1323</v>
      </c>
      <c r="I22" s="140" t="s">
        <v>35</v>
      </c>
      <c r="J22" s="140" t="s">
        <v>36</v>
      </c>
      <c r="K22" s="670">
        <v>12</v>
      </c>
      <c r="L22" s="1131" t="s">
        <v>255</v>
      </c>
      <c r="M22" s="1229"/>
      <c r="N22" s="1187" t="s">
        <v>1324</v>
      </c>
      <c r="O22" s="1149" t="s">
        <v>40</v>
      </c>
      <c r="P22" s="1233"/>
      <c r="Q22" s="1234">
        <f>R22*3</f>
        <v>2850000</v>
      </c>
      <c r="R22" s="1132">
        <v>950000</v>
      </c>
      <c r="S22" s="1188">
        <f t="shared" si="3"/>
        <v>5</v>
      </c>
      <c r="T22" s="1235"/>
      <c r="U22" s="1236">
        <f t="shared" si="1"/>
        <v>4750000</v>
      </c>
      <c r="V22" s="1237">
        <f>(Q22+((S22-4)*R22))*((100-P22)/100)</f>
        <v>3800000</v>
      </c>
      <c r="W22" s="1126"/>
      <c r="X22" s="1127"/>
      <c r="Y22" s="1126"/>
      <c r="Z22" s="1128"/>
      <c r="AA22" s="1128"/>
      <c r="AB22" s="1128"/>
      <c r="AC22" s="1128"/>
      <c r="AD22" s="1128"/>
      <c r="AE22" s="1128"/>
    </row>
    <row r="23" spans="1:31" s="1114" customFormat="1" ht="13">
      <c r="A23" s="1094"/>
      <c r="B23" s="1095">
        <v>14</v>
      </c>
      <c r="C23" s="1096">
        <v>4642</v>
      </c>
      <c r="D23" s="1097" t="s">
        <v>43</v>
      </c>
      <c r="E23" s="1096" t="s">
        <v>1325</v>
      </c>
      <c r="F23" s="1098">
        <v>1030</v>
      </c>
      <c r="G23" s="1212">
        <v>1200</v>
      </c>
      <c r="H23" s="1213" t="s">
        <v>1132</v>
      </c>
      <c r="I23" s="910" t="s">
        <v>35</v>
      </c>
      <c r="J23" s="140" t="s">
        <v>36</v>
      </c>
      <c r="K23" s="1012">
        <v>6</v>
      </c>
      <c r="L23" s="1129" t="s">
        <v>1221</v>
      </c>
      <c r="M23" s="1214"/>
      <c r="N23" s="1215" t="s">
        <v>1326</v>
      </c>
      <c r="O23" s="1213" t="s">
        <v>40</v>
      </c>
      <c r="P23" s="1129" t="s">
        <v>41</v>
      </c>
      <c r="Q23" s="1216"/>
      <c r="R23" s="1108">
        <v>500000</v>
      </c>
      <c r="S23" s="1208">
        <f>(G23-1050)/100</f>
        <v>1.5</v>
      </c>
      <c r="T23" s="1145"/>
      <c r="U23" s="1108">
        <f t="shared" si="1"/>
        <v>0</v>
      </c>
      <c r="V23" s="1217">
        <f t="shared" ref="V23:V28" si="4">(Q23+((S23-0)*R23))*((100-P23)/100)</f>
        <v>0</v>
      </c>
      <c r="W23" s="1128"/>
      <c r="X23" s="1140">
        <f>(Q23+((S23-0)*R23))*((100-P23)/100)</f>
        <v>0</v>
      </c>
      <c r="Y23" s="1128"/>
      <c r="Z23" s="1128"/>
      <c r="AA23" s="1128"/>
      <c r="AB23" s="1128"/>
      <c r="AC23" s="1128"/>
      <c r="AD23" s="1128"/>
      <c r="AE23" s="1128"/>
    </row>
    <row r="24" spans="1:31" s="833" customFormat="1" ht="13" hidden="1">
      <c r="A24" s="712"/>
      <c r="B24" s="671">
        <v>18</v>
      </c>
      <c r="C24" s="670">
        <v>4638</v>
      </c>
      <c r="D24" s="669" t="s">
        <v>75</v>
      </c>
      <c r="E24" s="670" t="s">
        <v>1327</v>
      </c>
      <c r="F24" s="668">
        <v>930</v>
      </c>
      <c r="G24" s="668">
        <v>1030</v>
      </c>
      <c r="H24" s="763" t="s">
        <v>1328</v>
      </c>
      <c r="I24" s="140" t="s">
        <v>35</v>
      </c>
      <c r="J24" s="140" t="s">
        <v>36</v>
      </c>
      <c r="K24" s="670">
        <v>6</v>
      </c>
      <c r="L24" s="743" t="s">
        <v>47</v>
      </c>
      <c r="M24" s="1071" t="s">
        <v>1329</v>
      </c>
      <c r="N24" s="1190" t="s">
        <v>1330</v>
      </c>
      <c r="O24" s="762" t="s">
        <v>174</v>
      </c>
      <c r="P24" s="758"/>
      <c r="Q24" s="786"/>
      <c r="R24" s="759"/>
      <c r="S24" s="536">
        <f t="shared" ref="S24:S32" si="5">(G24-F24)/100</f>
        <v>1</v>
      </c>
      <c r="T24" s="537"/>
      <c r="U24" s="901">
        <f t="shared" si="1"/>
        <v>0</v>
      </c>
      <c r="V24" s="704">
        <f t="shared" si="4"/>
        <v>0</v>
      </c>
      <c r="W24" s="82"/>
      <c r="X24" s="82"/>
      <c r="Y24" s="82"/>
      <c r="Z24" s="82"/>
      <c r="AA24" s="82"/>
      <c r="AB24" s="82"/>
      <c r="AC24" s="82"/>
      <c r="AD24" s="82"/>
      <c r="AE24" s="82"/>
    </row>
    <row r="25" spans="1:31" s="1114" customFormat="1">
      <c r="A25" s="1146"/>
      <c r="B25" s="1115">
        <v>56</v>
      </c>
      <c r="C25" s="1135" t="s">
        <v>1331</v>
      </c>
      <c r="D25" s="1097" t="s">
        <v>32</v>
      </c>
      <c r="E25" s="1141" t="s">
        <v>1325</v>
      </c>
      <c r="F25" s="1136">
        <v>1600</v>
      </c>
      <c r="G25" s="1218">
        <v>1800</v>
      </c>
      <c r="H25" s="1129" t="s">
        <v>1132</v>
      </c>
      <c r="I25" s="910" t="s">
        <v>35</v>
      </c>
      <c r="J25" s="140" t="s">
        <v>36</v>
      </c>
      <c r="K25" s="315" t="s">
        <v>37</v>
      </c>
      <c r="L25" s="1129" t="s">
        <v>1221</v>
      </c>
      <c r="M25" s="1156" t="s">
        <v>1332</v>
      </c>
      <c r="N25" s="1152">
        <v>45352.736550925925</v>
      </c>
      <c r="O25" s="1129" t="s">
        <v>40</v>
      </c>
      <c r="P25" s="1213"/>
      <c r="Q25" s="1219"/>
      <c r="R25" s="1108">
        <v>950000</v>
      </c>
      <c r="S25" s="1208">
        <f t="shared" si="5"/>
        <v>2</v>
      </c>
      <c r="T25" s="1220"/>
      <c r="U25" s="1221">
        <f t="shared" si="1"/>
        <v>1900000</v>
      </c>
      <c r="V25" s="1222">
        <f t="shared" si="4"/>
        <v>1900000</v>
      </c>
      <c r="W25" s="1128"/>
      <c r="X25" s="1140">
        <f>(Q25+((S25-0)*R25))*((100-P25)/100)</f>
        <v>1900000</v>
      </c>
      <c r="Y25" s="1128"/>
      <c r="Z25" s="1128"/>
      <c r="AA25" s="1128"/>
      <c r="AB25" s="1128"/>
      <c r="AC25" s="1128"/>
      <c r="AD25" s="1128"/>
      <c r="AE25" s="1128"/>
    </row>
    <row r="26" spans="1:31" s="1114" customFormat="1" ht="13">
      <c r="A26" s="1115"/>
      <c r="B26" s="1095">
        <v>17</v>
      </c>
      <c r="C26" s="1096">
        <v>4639</v>
      </c>
      <c r="D26" s="1097" t="s">
        <v>43</v>
      </c>
      <c r="E26" s="1096" t="s">
        <v>1333</v>
      </c>
      <c r="F26" s="1098">
        <v>930</v>
      </c>
      <c r="G26" s="1098">
        <v>1030</v>
      </c>
      <c r="H26" s="1191" t="s">
        <v>1328</v>
      </c>
      <c r="I26" s="140" t="s">
        <v>35</v>
      </c>
      <c r="J26" s="140" t="s">
        <v>36</v>
      </c>
      <c r="K26" s="670">
        <v>6</v>
      </c>
      <c r="L26" s="1175" t="s">
        <v>47</v>
      </c>
      <c r="M26" s="1192" t="s">
        <v>1334</v>
      </c>
      <c r="N26" s="1193" t="s">
        <v>1335</v>
      </c>
      <c r="O26" s="1191" t="s">
        <v>40</v>
      </c>
      <c r="P26" s="1175">
        <v>100</v>
      </c>
      <c r="Q26" s="1122"/>
      <c r="R26" s="1124">
        <v>500000</v>
      </c>
      <c r="S26" s="1172">
        <f t="shared" si="5"/>
        <v>1</v>
      </c>
      <c r="T26" s="1123"/>
      <c r="U26" s="1124">
        <f t="shared" si="1"/>
        <v>0</v>
      </c>
      <c r="V26" s="1125">
        <f t="shared" si="4"/>
        <v>0</v>
      </c>
      <c r="W26" s="1126"/>
      <c r="X26" s="1127"/>
      <c r="Y26" s="1126"/>
      <c r="Z26" s="1128"/>
      <c r="AA26" s="1128"/>
      <c r="AB26" s="1128"/>
      <c r="AC26" s="1128"/>
      <c r="AD26" s="1128"/>
      <c r="AE26" s="1128"/>
    </row>
    <row r="27" spans="1:31" s="834" customFormat="1" ht="13" hidden="1">
      <c r="A27" s="728"/>
      <c r="B27" s="671">
        <v>21</v>
      </c>
      <c r="C27" s="670">
        <v>4635</v>
      </c>
      <c r="D27" s="669" t="s">
        <v>43</v>
      </c>
      <c r="E27" s="670" t="s">
        <v>1290</v>
      </c>
      <c r="F27" s="668">
        <v>900</v>
      </c>
      <c r="G27" s="668">
        <v>1030</v>
      </c>
      <c r="H27" s="667" t="s">
        <v>1336</v>
      </c>
      <c r="I27" s="140" t="s">
        <v>35</v>
      </c>
      <c r="J27" s="140" t="s">
        <v>36</v>
      </c>
      <c r="K27" s="670">
        <v>4</v>
      </c>
      <c r="L27" s="261" t="s">
        <v>372</v>
      </c>
      <c r="M27" s="879"/>
      <c r="N27" s="803" t="s">
        <v>1337</v>
      </c>
      <c r="O27" s="669" t="s">
        <v>174</v>
      </c>
      <c r="P27" s="731"/>
      <c r="Q27" s="731"/>
      <c r="R27" s="756"/>
      <c r="S27" s="701">
        <f t="shared" si="5"/>
        <v>1.3</v>
      </c>
      <c r="T27" s="760"/>
      <c r="U27" s="930">
        <f t="shared" si="1"/>
        <v>0</v>
      </c>
      <c r="V27" s="761">
        <f t="shared" si="4"/>
        <v>0</v>
      </c>
      <c r="W27" s="605"/>
      <c r="X27" s="386">
        <f>(Q27+((S27-0)*R27))*((100-P27)/100)</f>
        <v>0</v>
      </c>
      <c r="Y27" s="605"/>
      <c r="Z27" s="605"/>
      <c r="AA27" s="605"/>
      <c r="AB27" s="605"/>
      <c r="AC27" s="605"/>
      <c r="AD27" s="605"/>
      <c r="AE27" s="605"/>
    </row>
    <row r="28" spans="1:31" s="1168" customFormat="1" ht="13">
      <c r="A28" s="1115"/>
      <c r="B28" s="1095">
        <v>19</v>
      </c>
      <c r="C28" s="1096">
        <v>4637</v>
      </c>
      <c r="D28" s="1097" t="s">
        <v>75</v>
      </c>
      <c r="E28" s="1096" t="s">
        <v>1327</v>
      </c>
      <c r="F28" s="1098">
        <v>1400</v>
      </c>
      <c r="G28" s="1098">
        <v>1600</v>
      </c>
      <c r="H28" s="1097" t="s">
        <v>1338</v>
      </c>
      <c r="I28" s="140" t="s">
        <v>35</v>
      </c>
      <c r="J28" s="140" t="s">
        <v>36</v>
      </c>
      <c r="K28" s="670">
        <v>6</v>
      </c>
      <c r="L28" s="1131" t="s">
        <v>255</v>
      </c>
      <c r="M28" s="1229"/>
      <c r="N28" s="1187" t="s">
        <v>1339</v>
      </c>
      <c r="O28" s="1149" t="s">
        <v>40</v>
      </c>
      <c r="P28" s="1238"/>
      <c r="Q28" s="1239"/>
      <c r="R28" s="1268">
        <v>500000</v>
      </c>
      <c r="S28" s="1208">
        <f t="shared" si="5"/>
        <v>2</v>
      </c>
      <c r="T28" s="1240"/>
      <c r="U28" s="1108">
        <f t="shared" si="1"/>
        <v>1000000</v>
      </c>
      <c r="V28" s="396">
        <f t="shared" si="4"/>
        <v>1000000</v>
      </c>
      <c r="W28" s="1126"/>
      <c r="X28" s="1127"/>
      <c r="Y28" s="1126"/>
      <c r="Z28" s="1128"/>
      <c r="AA28" s="1128"/>
      <c r="AB28" s="1128"/>
      <c r="AC28" s="1128"/>
      <c r="AD28" s="1128"/>
      <c r="AE28" s="1128"/>
    </row>
    <row r="29" spans="1:31" s="1168" customFormat="1" ht="13">
      <c r="A29" s="1227"/>
      <c r="B29" s="1095">
        <v>22</v>
      </c>
      <c r="C29" s="1096">
        <v>4634</v>
      </c>
      <c r="D29" s="1097" t="s">
        <v>43</v>
      </c>
      <c r="E29" s="1096" t="s">
        <v>1327</v>
      </c>
      <c r="F29" s="1098">
        <v>1000</v>
      </c>
      <c r="G29" s="1098">
        <v>1400</v>
      </c>
      <c r="H29" s="1149" t="s">
        <v>1338</v>
      </c>
      <c r="I29" s="140" t="s">
        <v>35</v>
      </c>
      <c r="J29" s="140" t="s">
        <v>36</v>
      </c>
      <c r="K29" s="1012">
        <v>6</v>
      </c>
      <c r="L29" s="1129" t="s">
        <v>255</v>
      </c>
      <c r="M29" s="1214"/>
      <c r="N29" s="1215" t="s">
        <v>1340</v>
      </c>
      <c r="O29" s="1213" t="s">
        <v>40</v>
      </c>
      <c r="P29" s="1223"/>
      <c r="Q29" s="1219">
        <f>R29*3</f>
        <v>1500000</v>
      </c>
      <c r="R29" s="1108">
        <v>500000</v>
      </c>
      <c r="S29" s="1306">
        <f t="shared" si="5"/>
        <v>4</v>
      </c>
      <c r="T29" s="1241"/>
      <c r="U29" s="1242">
        <f t="shared" si="1"/>
        <v>2000000</v>
      </c>
      <c r="V29" s="1154">
        <f>(Q29+((S29-4)*R29))*((100-P29)/100)</f>
        <v>1500000</v>
      </c>
      <c r="W29" s="1126"/>
      <c r="X29" s="1127"/>
      <c r="Y29" s="1126"/>
      <c r="Z29" s="1243"/>
      <c r="AA29" s="1243"/>
      <c r="AB29" s="1243"/>
      <c r="AC29" s="1243"/>
      <c r="AD29" s="1243"/>
      <c r="AE29" s="1243"/>
    </row>
    <row r="30" spans="1:31" s="1226" customFormat="1" ht="13">
      <c r="A30" s="1115"/>
      <c r="B30" s="1095">
        <v>25</v>
      </c>
      <c r="C30" s="1096">
        <v>4631</v>
      </c>
      <c r="D30" s="1097" t="s">
        <v>32</v>
      </c>
      <c r="E30" s="1096" t="s">
        <v>1327</v>
      </c>
      <c r="F30" s="1098">
        <v>1100</v>
      </c>
      <c r="G30" s="1212">
        <v>1200</v>
      </c>
      <c r="H30" s="1213" t="s">
        <v>1132</v>
      </c>
      <c r="I30" s="910" t="s">
        <v>35</v>
      </c>
      <c r="J30" s="140" t="s">
        <v>36</v>
      </c>
      <c r="K30" s="1012">
        <v>12</v>
      </c>
      <c r="L30" s="1316" t="s">
        <v>1221</v>
      </c>
      <c r="M30" s="1317"/>
      <c r="N30" s="1277">
        <v>45627.429525462961</v>
      </c>
      <c r="O30" s="1318" t="s">
        <v>40</v>
      </c>
      <c r="P30" s="1319"/>
      <c r="Q30" s="1320"/>
      <c r="R30" s="1250">
        <v>950000</v>
      </c>
      <c r="S30" s="1208">
        <f t="shared" si="5"/>
        <v>1</v>
      </c>
      <c r="T30" s="1145"/>
      <c r="U30" s="1108">
        <f t="shared" si="1"/>
        <v>950000</v>
      </c>
      <c r="V30" s="1225">
        <f>(Q30+((S30-0)*R30))*((100-P30)/100)</f>
        <v>950000</v>
      </c>
      <c r="W30" s="1128"/>
      <c r="X30" s="1167">
        <f>V30*((100-P30)/100)</f>
        <v>950000</v>
      </c>
      <c r="Y30" s="1128"/>
      <c r="Z30" s="1128"/>
      <c r="AA30" s="1128"/>
      <c r="AB30" s="1128"/>
      <c r="AC30" s="1128"/>
      <c r="AD30" s="1128"/>
      <c r="AE30" s="1128"/>
    </row>
    <row r="31" spans="1:31" s="1114" customFormat="1" ht="13">
      <c r="A31" s="1115"/>
      <c r="B31" s="1095">
        <v>20</v>
      </c>
      <c r="C31" s="1096">
        <v>4636</v>
      </c>
      <c r="D31" s="1097" t="s">
        <v>43</v>
      </c>
      <c r="E31" s="1096" t="s">
        <v>1327</v>
      </c>
      <c r="F31" s="1098">
        <v>1500</v>
      </c>
      <c r="G31" s="1098">
        <v>1600</v>
      </c>
      <c r="H31" s="1194" t="s">
        <v>45</v>
      </c>
      <c r="I31" s="140" t="s">
        <v>35</v>
      </c>
      <c r="J31" s="140" t="s">
        <v>36</v>
      </c>
      <c r="K31" s="1012">
        <v>6</v>
      </c>
      <c r="L31" s="1195" t="s">
        <v>47</v>
      </c>
      <c r="M31" s="1196" t="s">
        <v>1341</v>
      </c>
      <c r="N31" s="1197" t="s">
        <v>1342</v>
      </c>
      <c r="O31" s="1194" t="s">
        <v>40</v>
      </c>
      <c r="P31" s="1198">
        <v>100</v>
      </c>
      <c r="Q31" s="1199"/>
      <c r="R31" s="1199">
        <v>500000</v>
      </c>
      <c r="S31" s="1200">
        <f t="shared" si="5"/>
        <v>1</v>
      </c>
      <c r="T31" s="1201"/>
      <c r="U31" s="1199">
        <f t="shared" si="1"/>
        <v>0</v>
      </c>
      <c r="V31" s="1134">
        <f>(Q31+((S31-0)*R31))*((100-P31)/100)</f>
        <v>0</v>
      </c>
      <c r="W31" s="1126"/>
      <c r="X31" s="1127"/>
      <c r="Y31" s="1126"/>
      <c r="Z31" s="1128"/>
      <c r="AA31" s="1128"/>
      <c r="AB31" s="1128"/>
      <c r="AC31" s="1128"/>
      <c r="AD31" s="1128"/>
      <c r="AE31" s="1128"/>
    </row>
    <row r="32" spans="1:31" s="1114" customFormat="1">
      <c r="A32" s="1227"/>
      <c r="B32" s="1115">
        <v>57</v>
      </c>
      <c r="C32" s="1135" t="s">
        <v>1343</v>
      </c>
      <c r="D32" s="1097" t="s">
        <v>32</v>
      </c>
      <c r="E32" s="1141" t="s">
        <v>1327</v>
      </c>
      <c r="F32" s="1136">
        <v>900</v>
      </c>
      <c r="G32" s="1218">
        <v>1100</v>
      </c>
      <c r="H32" s="1129" t="s">
        <v>1132</v>
      </c>
      <c r="I32" s="910" t="s">
        <v>35</v>
      </c>
      <c r="J32" s="140" t="s">
        <v>36</v>
      </c>
      <c r="K32" s="315" t="s">
        <v>37</v>
      </c>
      <c r="L32" s="1186" t="s">
        <v>1221</v>
      </c>
      <c r="M32" s="1311" t="s">
        <v>1332</v>
      </c>
      <c r="N32" s="1158">
        <v>45352.736296296294</v>
      </c>
      <c r="O32" s="1186" t="s">
        <v>40</v>
      </c>
      <c r="P32" s="1186"/>
      <c r="Q32" s="1312"/>
      <c r="R32" s="1268">
        <v>950000</v>
      </c>
      <c r="S32" s="1208">
        <f t="shared" si="5"/>
        <v>2</v>
      </c>
      <c r="T32" s="1145"/>
      <c r="U32" s="1108">
        <f t="shared" si="1"/>
        <v>1900000</v>
      </c>
      <c r="V32" s="1222">
        <f>(Q32+((S32-0)*R32))*((100-P32)/100)</f>
        <v>1900000</v>
      </c>
      <c r="W32" s="1128"/>
      <c r="X32" s="1140">
        <f>(Q32+((S32-0)*R32))*((100-P32)/100)</f>
        <v>1900000</v>
      </c>
      <c r="Y32" s="1128"/>
      <c r="Z32" s="1128"/>
      <c r="AA32" s="1128"/>
      <c r="AB32" s="1128"/>
      <c r="AC32" s="1128"/>
      <c r="AD32" s="1128"/>
      <c r="AE32" s="1128"/>
    </row>
    <row r="33" spans="1:31" s="1114" customFormat="1" ht="13">
      <c r="A33" s="1115"/>
      <c r="B33" s="1095">
        <v>23</v>
      </c>
      <c r="C33" s="1096">
        <v>4633</v>
      </c>
      <c r="D33" s="1097" t="s">
        <v>43</v>
      </c>
      <c r="E33" s="1096" t="s">
        <v>1344</v>
      </c>
      <c r="F33" s="1098">
        <v>1330</v>
      </c>
      <c r="G33" s="1098">
        <v>1700</v>
      </c>
      <c r="H33" s="1191" t="s">
        <v>1338</v>
      </c>
      <c r="I33" s="140" t="s">
        <v>35</v>
      </c>
      <c r="J33" s="140" t="s">
        <v>36</v>
      </c>
      <c r="K33" s="1012">
        <v>6</v>
      </c>
      <c r="L33" s="1129" t="s">
        <v>255</v>
      </c>
      <c r="M33" s="1214"/>
      <c r="N33" s="1215" t="s">
        <v>1345</v>
      </c>
      <c r="O33" s="1213" t="s">
        <v>40</v>
      </c>
      <c r="P33" s="1223"/>
      <c r="Q33" s="1206"/>
      <c r="R33" s="1108">
        <v>500000</v>
      </c>
      <c r="S33" s="1307">
        <f>(G33-1350)/100</f>
        <v>3.5</v>
      </c>
      <c r="T33" s="1245"/>
      <c r="U33" s="1124">
        <f t="shared" si="1"/>
        <v>1750000</v>
      </c>
      <c r="V33" s="1125">
        <f>(Q33+((S33-0)*R33))*((100-P33)/100)</f>
        <v>1750000</v>
      </c>
      <c r="W33" s="1243"/>
      <c r="X33" s="1243"/>
      <c r="Y33" s="1243"/>
      <c r="Z33" s="1243"/>
      <c r="AA33" s="1243"/>
      <c r="AB33" s="1243"/>
      <c r="AC33" s="1243"/>
      <c r="AD33" s="1243"/>
      <c r="AE33" s="1243"/>
    </row>
    <row r="34" spans="1:31" s="833" customFormat="1" ht="13">
      <c r="A34" s="1060"/>
      <c r="B34" s="1060">
        <v>24</v>
      </c>
      <c r="C34" s="1055">
        <v>4632</v>
      </c>
      <c r="D34" s="1083" t="s">
        <v>32</v>
      </c>
      <c r="E34" s="1055" t="s">
        <v>1344</v>
      </c>
      <c r="F34" s="1061">
        <v>900</v>
      </c>
      <c r="G34" s="1061">
        <v>1000</v>
      </c>
      <c r="H34" s="1184" t="s">
        <v>1346</v>
      </c>
      <c r="I34" s="140" t="s">
        <v>35</v>
      </c>
      <c r="J34" s="140" t="s">
        <v>36</v>
      </c>
      <c r="K34" s="670">
        <v>12</v>
      </c>
      <c r="L34" s="1088" t="s">
        <v>484</v>
      </c>
      <c r="M34" s="1075"/>
      <c r="N34" s="1321" t="s">
        <v>1347</v>
      </c>
      <c r="O34" s="1093" t="s">
        <v>40</v>
      </c>
      <c r="P34" s="1322">
        <v>100</v>
      </c>
      <c r="Q34" s="1323"/>
      <c r="R34" s="1189">
        <v>950000</v>
      </c>
      <c r="S34" s="1185">
        <f t="shared" ref="S34:S42" si="6">(G34-F34)/100</f>
        <v>1</v>
      </c>
      <c r="T34" s="1056"/>
      <c r="U34" s="1058">
        <f t="shared" si="1"/>
        <v>0</v>
      </c>
      <c r="V34" s="1080">
        <f>(Q34+((S34-0)*R34))*((100-P34)/100)</f>
        <v>0</v>
      </c>
      <c r="W34" s="1062"/>
      <c r="X34" s="1063"/>
      <c r="Y34" s="1062"/>
      <c r="Z34" s="1064"/>
      <c r="AA34" s="1064"/>
      <c r="AB34" s="1064"/>
      <c r="AC34" s="1064"/>
      <c r="AD34" s="1064"/>
      <c r="AE34" s="1064"/>
    </row>
    <row r="35" spans="1:31" s="1114" customFormat="1">
      <c r="A35" s="1115"/>
      <c r="B35" s="1115">
        <v>58</v>
      </c>
      <c r="C35" s="1135" t="s">
        <v>1348</v>
      </c>
      <c r="D35" s="1097" t="s">
        <v>32</v>
      </c>
      <c r="E35" s="1135" t="s">
        <v>1349</v>
      </c>
      <c r="F35" s="1136">
        <v>1600</v>
      </c>
      <c r="G35" s="1218">
        <v>1800</v>
      </c>
      <c r="H35" s="1129" t="s">
        <v>1132</v>
      </c>
      <c r="I35" s="910" t="s">
        <v>35</v>
      </c>
      <c r="J35" s="140" t="s">
        <v>36</v>
      </c>
      <c r="K35" s="315" t="s">
        <v>37</v>
      </c>
      <c r="L35" s="1186" t="s">
        <v>1221</v>
      </c>
      <c r="M35" s="1311" t="s">
        <v>1332</v>
      </c>
      <c r="N35" s="1158">
        <v>45352.735798611109</v>
      </c>
      <c r="O35" s="1186" t="s">
        <v>40</v>
      </c>
      <c r="P35" s="1186"/>
      <c r="Q35" s="1313"/>
      <c r="R35" s="1268">
        <v>950000</v>
      </c>
      <c r="S35" s="1208">
        <f t="shared" si="6"/>
        <v>2</v>
      </c>
      <c r="T35" s="1145"/>
      <c r="U35" s="1108">
        <f t="shared" si="1"/>
        <v>1900000</v>
      </c>
      <c r="V35" s="1210">
        <f>Q35+((S35-0)*R35)</f>
        <v>1900000</v>
      </c>
      <c r="W35" s="1128"/>
      <c r="X35" s="1140">
        <f>(Q35+((S35-0)*R35))*((100-P35)/100)</f>
        <v>1900000</v>
      </c>
      <c r="Y35" s="1128"/>
      <c r="Z35" s="1128"/>
      <c r="AA35" s="1128"/>
      <c r="AB35" s="1128"/>
      <c r="AC35" s="1128"/>
      <c r="AD35" s="1128"/>
      <c r="AE35" s="1128"/>
    </row>
    <row r="36" spans="1:31" s="1114" customFormat="1">
      <c r="A36" s="1095"/>
      <c r="B36" s="1115">
        <v>43</v>
      </c>
      <c r="C36" s="1135" t="s">
        <v>1350</v>
      </c>
      <c r="D36" s="1097" t="s">
        <v>32</v>
      </c>
      <c r="E36" s="1135" t="s">
        <v>1351</v>
      </c>
      <c r="F36" s="1136">
        <v>900</v>
      </c>
      <c r="G36" s="1136">
        <v>1400</v>
      </c>
      <c r="H36" s="1175" t="s">
        <v>1338</v>
      </c>
      <c r="I36" s="140" t="s">
        <v>35</v>
      </c>
      <c r="J36" s="140" t="s">
        <v>36</v>
      </c>
      <c r="K36" s="315" t="s">
        <v>37</v>
      </c>
      <c r="L36" s="1129" t="s">
        <v>255</v>
      </c>
      <c r="M36" s="1296"/>
      <c r="N36" s="1152">
        <v>45505.599351851852</v>
      </c>
      <c r="O36" s="1129" t="s">
        <v>40</v>
      </c>
      <c r="P36" s="1213"/>
      <c r="Q36" s="1219">
        <f>R36*3</f>
        <v>2850000</v>
      </c>
      <c r="R36" s="1108">
        <v>950000</v>
      </c>
      <c r="S36" s="1307">
        <f t="shared" si="6"/>
        <v>5</v>
      </c>
      <c r="T36" s="1246"/>
      <c r="U36" s="1247">
        <f t="shared" si="1"/>
        <v>4750000</v>
      </c>
      <c r="V36" s="1237">
        <f>(Q36+((S36-4)*R36))*((100-P36)/100)</f>
        <v>3800000</v>
      </c>
      <c r="W36" s="1128"/>
      <c r="X36" s="1128"/>
      <c r="Y36" s="1128"/>
      <c r="Z36" s="1128"/>
      <c r="AA36" s="1128"/>
      <c r="AB36" s="1128"/>
      <c r="AC36" s="1128"/>
      <c r="AD36" s="1128"/>
      <c r="AE36" s="1128"/>
    </row>
    <row r="37" spans="1:31" s="836" customFormat="1" ht="13" hidden="1">
      <c r="A37" s="502"/>
      <c r="B37" s="502">
        <v>31</v>
      </c>
      <c r="C37" s="258" t="s">
        <v>1352</v>
      </c>
      <c r="D37" s="259" t="s">
        <v>43</v>
      </c>
      <c r="E37" s="258" t="s">
        <v>1351</v>
      </c>
      <c r="F37" s="86">
        <v>1600</v>
      </c>
      <c r="G37" s="86">
        <v>1700</v>
      </c>
      <c r="H37" s="261" t="s">
        <v>1353</v>
      </c>
      <c r="I37" s="140" t="s">
        <v>35</v>
      </c>
      <c r="J37" s="140" t="s">
        <v>36</v>
      </c>
      <c r="K37" s="258" t="s">
        <v>76</v>
      </c>
      <c r="L37" s="737" t="s">
        <v>255</v>
      </c>
      <c r="M37" s="875"/>
      <c r="N37" s="1324">
        <v>45566.415972222225</v>
      </c>
      <c r="O37" s="706" t="s">
        <v>174</v>
      </c>
      <c r="P37" s="737"/>
      <c r="Q37" s="732"/>
      <c r="R37" s="732"/>
      <c r="S37" s="162">
        <f t="shared" si="6"/>
        <v>1</v>
      </c>
      <c r="T37" s="504"/>
      <c r="U37" s="827">
        <f t="shared" si="1"/>
        <v>0</v>
      </c>
      <c r="V37" s="828">
        <f>(Q37+((S37-4)*R37))*((100-P37)/100)</f>
        <v>0</v>
      </c>
      <c r="W37" s="935"/>
      <c r="X37" s="936"/>
      <c r="Y37" s="935"/>
      <c r="Z37" s="823"/>
      <c r="AA37" s="823"/>
      <c r="AB37" s="823"/>
      <c r="AC37" s="823"/>
      <c r="AD37" s="823"/>
      <c r="AE37" s="823"/>
    </row>
    <row r="38" spans="1:31" s="833" customFormat="1" ht="13" hidden="1">
      <c r="A38" s="671"/>
      <c r="B38" s="671">
        <v>32</v>
      </c>
      <c r="C38" s="670" t="s">
        <v>1354</v>
      </c>
      <c r="D38" s="669" t="s">
        <v>43</v>
      </c>
      <c r="E38" s="670" t="s">
        <v>1351</v>
      </c>
      <c r="F38" s="668">
        <v>900</v>
      </c>
      <c r="G38" s="668">
        <v>1200</v>
      </c>
      <c r="H38" s="667" t="s">
        <v>1353</v>
      </c>
      <c r="I38" s="140" t="s">
        <v>35</v>
      </c>
      <c r="J38" s="140" t="s">
        <v>36</v>
      </c>
      <c r="K38" s="670" t="s">
        <v>76</v>
      </c>
      <c r="L38" s="261" t="s">
        <v>255</v>
      </c>
      <c r="M38" s="879"/>
      <c r="N38" s="803">
        <v>45566.415173611109</v>
      </c>
      <c r="O38" s="669" t="s">
        <v>174</v>
      </c>
      <c r="P38" s="756"/>
      <c r="Q38" s="665"/>
      <c r="R38" s="665"/>
      <c r="S38" s="162">
        <f t="shared" si="6"/>
        <v>3</v>
      </c>
      <c r="T38" s="669"/>
      <c r="U38" s="841">
        <f t="shared" si="1"/>
        <v>0</v>
      </c>
      <c r="V38" s="887">
        <f>Q38+R38*((S38*(100-P38)/100)-4)</f>
        <v>0</v>
      </c>
      <c r="W38" s="439"/>
      <c r="X38" s="841">
        <f>(Q38+((S38-4)*R38))*((100-P38)/100)</f>
        <v>0</v>
      </c>
      <c r="Y38" s="439"/>
      <c r="Z38" s="82"/>
      <c r="AA38" s="82"/>
      <c r="AB38" s="82"/>
      <c r="AC38" s="82"/>
      <c r="AD38" s="82"/>
      <c r="AE38" s="82"/>
    </row>
    <row r="39" spans="1:31" s="833" customFormat="1" hidden="1">
      <c r="A39" s="777"/>
      <c r="B39" s="777">
        <v>33</v>
      </c>
      <c r="C39" s="778" t="s">
        <v>1355</v>
      </c>
      <c r="D39" s="762" t="s">
        <v>43</v>
      </c>
      <c r="E39" s="779">
        <v>45566</v>
      </c>
      <c r="F39" s="780">
        <v>1000</v>
      </c>
      <c r="G39" s="780">
        <v>1215</v>
      </c>
      <c r="H39" s="763" t="s">
        <v>1353</v>
      </c>
      <c r="I39" s="924" t="s">
        <v>35</v>
      </c>
      <c r="J39" s="924" t="s">
        <v>36</v>
      </c>
      <c r="K39" s="781" t="s">
        <v>76</v>
      </c>
      <c r="L39" s="926" t="s">
        <v>255</v>
      </c>
      <c r="M39" s="878"/>
      <c r="N39" s="782">
        <v>45566.413611111115</v>
      </c>
      <c r="O39" s="783" t="s">
        <v>174</v>
      </c>
      <c r="P39" s="763"/>
      <c r="Q39" s="665"/>
      <c r="R39" s="665"/>
      <c r="S39" s="162">
        <f t="shared" si="6"/>
        <v>2.15</v>
      </c>
      <c r="T39" s="762"/>
      <c r="U39" s="846">
        <f t="shared" ref="U39:U70" si="7">S39*R39*(100-P39)/100</f>
        <v>0</v>
      </c>
      <c r="V39" s="784">
        <f>(Q39+((S39-8)*R39))*((100-P39)/100)</f>
        <v>0</v>
      </c>
      <c r="W39" s="439"/>
      <c r="X39" s="91"/>
      <c r="Y39" s="439"/>
      <c r="Z39" s="82"/>
      <c r="AA39" s="82"/>
      <c r="AB39" s="82"/>
      <c r="AC39" s="82"/>
      <c r="AD39" s="82"/>
      <c r="AE39" s="82"/>
    </row>
    <row r="40" spans="1:31" s="1114" customFormat="1">
      <c r="A40" s="1115"/>
      <c r="B40" s="1115">
        <v>36</v>
      </c>
      <c r="C40" s="1135" t="s">
        <v>1356</v>
      </c>
      <c r="D40" s="1097" t="s">
        <v>75</v>
      </c>
      <c r="E40" s="1135" t="s">
        <v>1357</v>
      </c>
      <c r="F40" s="1136">
        <v>1400</v>
      </c>
      <c r="G40" s="1136">
        <v>1500</v>
      </c>
      <c r="H40" s="1099" t="s">
        <v>45</v>
      </c>
      <c r="I40" s="140" t="s">
        <v>35</v>
      </c>
      <c r="J40" s="140" t="s">
        <v>36</v>
      </c>
      <c r="K40" s="258" t="s">
        <v>76</v>
      </c>
      <c r="L40" s="1099" t="s">
        <v>47</v>
      </c>
      <c r="M40" s="1137"/>
      <c r="N40" s="1138">
        <v>45536.540497685186</v>
      </c>
      <c r="O40" s="1099" t="s">
        <v>40</v>
      </c>
      <c r="P40" s="1099"/>
      <c r="Q40" s="1118"/>
      <c r="R40" s="1118">
        <v>500000</v>
      </c>
      <c r="S40" s="1119">
        <f t="shared" si="6"/>
        <v>1</v>
      </c>
      <c r="T40" s="1139"/>
      <c r="U40" s="1118">
        <f t="shared" si="7"/>
        <v>500000</v>
      </c>
      <c r="V40" s="1121">
        <f>(Q40+((S40-0)*R40))*((100-P40)/100)</f>
        <v>500000</v>
      </c>
      <c r="W40" s="1126"/>
      <c r="X40" s="1140">
        <f>(Q40+((S40-4)*R40))*((100-P40)/100)</f>
        <v>-1500000</v>
      </c>
      <c r="Y40" s="1126"/>
      <c r="Z40" s="1128"/>
      <c r="AA40" s="1128"/>
      <c r="AB40" s="1128"/>
      <c r="AC40" s="1128"/>
      <c r="AD40" s="1128"/>
      <c r="AE40" s="1128"/>
    </row>
    <row r="41" spans="1:31" s="833" customFormat="1" ht="26" hidden="1">
      <c r="A41" s="81"/>
      <c r="B41" s="81">
        <v>35</v>
      </c>
      <c r="C41" s="258" t="s">
        <v>1358</v>
      </c>
      <c r="D41" s="669" t="s">
        <v>32</v>
      </c>
      <c r="E41" s="258" t="s">
        <v>1359</v>
      </c>
      <c r="F41" s="86">
        <v>800</v>
      </c>
      <c r="G41" s="86">
        <v>1530</v>
      </c>
      <c r="H41" s="261" t="s">
        <v>1360</v>
      </c>
      <c r="I41" s="937" t="s">
        <v>35</v>
      </c>
      <c r="J41" s="924" t="s">
        <v>36</v>
      </c>
      <c r="K41" s="258" t="s">
        <v>37</v>
      </c>
      <c r="L41" s="938" t="s">
        <v>47</v>
      </c>
      <c r="M41" s="355" t="s">
        <v>1361</v>
      </c>
      <c r="N41" s="903">
        <v>45536.541250000002</v>
      </c>
      <c r="O41" s="259" t="s">
        <v>174</v>
      </c>
      <c r="P41" s="261"/>
      <c r="Q41" s="756"/>
      <c r="R41" s="665"/>
      <c r="S41" s="162">
        <f t="shared" si="6"/>
        <v>7.3</v>
      </c>
      <c r="T41" s="259"/>
      <c r="U41" s="894">
        <f t="shared" si="7"/>
        <v>0</v>
      </c>
      <c r="V41" s="707">
        <f>(Q41+((S41-4)*R41))*((100-P41)/100)</f>
        <v>0</v>
      </c>
      <c r="W41" s="439"/>
      <c r="X41" s="91"/>
      <c r="Y41" s="439"/>
      <c r="Z41" s="82"/>
      <c r="AA41" s="82"/>
      <c r="AB41" s="82"/>
      <c r="AC41" s="82"/>
      <c r="AD41" s="82"/>
      <c r="AE41" s="82"/>
    </row>
    <row r="42" spans="1:31" s="1114" customFormat="1">
      <c r="A42" s="1094"/>
      <c r="B42" s="1094">
        <v>34</v>
      </c>
      <c r="C42" s="1174" t="s">
        <v>1362</v>
      </c>
      <c r="D42" s="1175" t="s">
        <v>75</v>
      </c>
      <c r="E42" s="1174" t="s">
        <v>1357</v>
      </c>
      <c r="F42" s="1176">
        <v>1600</v>
      </c>
      <c r="G42" s="1176">
        <v>1700</v>
      </c>
      <c r="H42" s="1175" t="s">
        <v>1315</v>
      </c>
      <c r="I42" s="140" t="s">
        <v>35</v>
      </c>
      <c r="J42" s="140" t="s">
        <v>36</v>
      </c>
      <c r="K42" s="876" t="s">
        <v>76</v>
      </c>
      <c r="L42" s="1131" t="s">
        <v>1209</v>
      </c>
      <c r="M42" s="1314"/>
      <c r="N42" s="1288">
        <v>45536.635972222219</v>
      </c>
      <c r="O42" s="1198" t="s">
        <v>40</v>
      </c>
      <c r="P42" s="1131"/>
      <c r="Q42" s="1268"/>
      <c r="R42" s="1251">
        <v>500000</v>
      </c>
      <c r="S42" s="1119">
        <f t="shared" si="6"/>
        <v>1</v>
      </c>
      <c r="T42" s="1123"/>
      <c r="U42" s="1124">
        <f t="shared" si="7"/>
        <v>500000</v>
      </c>
      <c r="V42" s="1125">
        <f>(Q42+((S42-0)*R42))*((100-P42)/100)</f>
        <v>500000</v>
      </c>
      <c r="W42" s="1126"/>
      <c r="X42" s="1178"/>
      <c r="Y42" s="1126"/>
      <c r="Z42" s="1128"/>
      <c r="AA42" s="1128"/>
      <c r="AB42" s="1128"/>
      <c r="AC42" s="1128"/>
      <c r="AD42" s="1128"/>
      <c r="AE42" s="1128"/>
    </row>
    <row r="43" spans="1:31" s="1114" customFormat="1">
      <c r="A43" s="1094"/>
      <c r="B43" s="1094">
        <v>37</v>
      </c>
      <c r="C43" s="1174" t="s">
        <v>1363</v>
      </c>
      <c r="D43" s="1191" t="s">
        <v>75</v>
      </c>
      <c r="E43" s="1174" t="s">
        <v>1357</v>
      </c>
      <c r="F43" s="1176">
        <v>1100</v>
      </c>
      <c r="G43" s="1176">
        <v>1130</v>
      </c>
      <c r="H43" s="1175" t="s">
        <v>1364</v>
      </c>
      <c r="I43" s="875" t="s">
        <v>35</v>
      </c>
      <c r="J43" s="875" t="s">
        <v>36</v>
      </c>
      <c r="K43" s="915" t="s">
        <v>76</v>
      </c>
      <c r="L43" s="1129" t="s">
        <v>255</v>
      </c>
      <c r="M43" s="1296"/>
      <c r="N43" s="1152">
        <v>45536.500937500001</v>
      </c>
      <c r="O43" s="1129" t="s">
        <v>40</v>
      </c>
      <c r="P43" s="1129"/>
      <c r="Q43" s="1108"/>
      <c r="R43" s="1108">
        <v>500000</v>
      </c>
      <c r="S43" s="1308">
        <f>(1150-F43)/100</f>
        <v>0.5</v>
      </c>
      <c r="T43" s="1252"/>
      <c r="U43" s="1153">
        <f t="shared" si="7"/>
        <v>250000</v>
      </c>
      <c r="V43" s="1154">
        <f>(Q43+((S43-0)*R43))*((100-P43)/100)</f>
        <v>250000</v>
      </c>
      <c r="W43" s="1128"/>
      <c r="X43" s="1128"/>
      <c r="Y43" s="1128"/>
      <c r="Z43" s="1128"/>
      <c r="AA43" s="1128"/>
      <c r="AB43" s="1128"/>
      <c r="AC43" s="1128"/>
      <c r="AD43" s="1128"/>
      <c r="AE43" s="1128"/>
    </row>
    <row r="44" spans="1:31" s="1114" customFormat="1">
      <c r="A44" s="1146"/>
      <c r="B44" s="1147">
        <v>38</v>
      </c>
      <c r="C44" s="1148" t="s">
        <v>1365</v>
      </c>
      <c r="D44" s="1149" t="s">
        <v>43</v>
      </c>
      <c r="E44" s="1148" t="s">
        <v>1357</v>
      </c>
      <c r="F44" s="1151">
        <v>1000</v>
      </c>
      <c r="G44" s="1151">
        <v>1130</v>
      </c>
      <c r="H44" s="1131" t="s">
        <v>1366</v>
      </c>
      <c r="I44" s="721" t="s">
        <v>35</v>
      </c>
      <c r="J44" s="721" t="s">
        <v>36</v>
      </c>
      <c r="K44" s="897" t="s">
        <v>76</v>
      </c>
      <c r="L44" s="1129" t="s">
        <v>255</v>
      </c>
      <c r="M44" s="1296"/>
      <c r="N44" s="1152">
        <v>45536.460092592592</v>
      </c>
      <c r="O44" s="1129" t="s">
        <v>40</v>
      </c>
      <c r="P44" s="1213"/>
      <c r="Q44" s="1108"/>
      <c r="R44" s="1108">
        <v>500000</v>
      </c>
      <c r="S44" s="1308">
        <f>(1150-F44)/100</f>
        <v>1.5</v>
      </c>
      <c r="T44" s="1161"/>
      <c r="U44" s="1162">
        <f t="shared" si="7"/>
        <v>750000</v>
      </c>
      <c r="V44" s="1253">
        <f>U44</f>
        <v>750000</v>
      </c>
      <c r="W44" s="1128"/>
      <c r="X44" s="1128"/>
      <c r="Y44" s="1128"/>
      <c r="Z44" s="1128"/>
      <c r="AA44" s="1128"/>
      <c r="AB44" s="1128"/>
      <c r="AC44" s="1128"/>
      <c r="AD44" s="1128"/>
      <c r="AE44" s="1128"/>
    </row>
    <row r="45" spans="1:31" s="1114" customFormat="1">
      <c r="A45" s="1115"/>
      <c r="B45" s="1115">
        <v>39</v>
      </c>
      <c r="C45" s="1135" t="s">
        <v>1367</v>
      </c>
      <c r="D45" s="1097" t="s">
        <v>43</v>
      </c>
      <c r="E45" s="1135" t="s">
        <v>1357</v>
      </c>
      <c r="F45" s="1136">
        <v>1430</v>
      </c>
      <c r="G45" s="1136">
        <v>1530</v>
      </c>
      <c r="H45" s="1099" t="s">
        <v>1338</v>
      </c>
      <c r="I45" s="140" t="s">
        <v>35</v>
      </c>
      <c r="J45" s="140" t="s">
        <v>36</v>
      </c>
      <c r="K45" s="315" t="s">
        <v>76</v>
      </c>
      <c r="L45" s="1129" t="s">
        <v>255</v>
      </c>
      <c r="M45" s="1296"/>
      <c r="N45" s="1152">
        <v>45505.766608796293</v>
      </c>
      <c r="O45" s="1129" t="s">
        <v>40</v>
      </c>
      <c r="P45" s="1129"/>
      <c r="Q45" s="1108"/>
      <c r="R45" s="1108">
        <v>500000</v>
      </c>
      <c r="S45" s="1309">
        <f>(G45-F45)/100</f>
        <v>1</v>
      </c>
      <c r="T45" s="1255"/>
      <c r="U45" s="1132">
        <f t="shared" si="7"/>
        <v>500000</v>
      </c>
      <c r="V45" s="1134">
        <f>U45</f>
        <v>500000</v>
      </c>
      <c r="W45" s="1128"/>
      <c r="X45" s="1128"/>
      <c r="Y45" s="1128"/>
      <c r="Z45" s="1128"/>
      <c r="AA45" s="1128"/>
      <c r="AB45" s="1128"/>
      <c r="AC45" s="1128"/>
      <c r="AD45" s="1128"/>
      <c r="AE45" s="1128"/>
    </row>
    <row r="46" spans="1:31" s="1114" customFormat="1">
      <c r="A46" s="1147"/>
      <c r="B46" s="1147">
        <v>40</v>
      </c>
      <c r="C46" s="1148" t="s">
        <v>1368</v>
      </c>
      <c r="D46" s="1149" t="s">
        <v>32</v>
      </c>
      <c r="E46" s="1148" t="s">
        <v>1357</v>
      </c>
      <c r="F46" s="1151">
        <v>900</v>
      </c>
      <c r="G46" s="1151">
        <v>1430</v>
      </c>
      <c r="H46" s="1131" t="s">
        <v>1338</v>
      </c>
      <c r="I46" s="721" t="s">
        <v>35</v>
      </c>
      <c r="J46" s="721" t="s">
        <v>36</v>
      </c>
      <c r="K46" s="897" t="s">
        <v>37</v>
      </c>
      <c r="L46" s="1129" t="s">
        <v>255</v>
      </c>
      <c r="M46" s="1296"/>
      <c r="N46" s="1152">
        <v>45505.766377314816</v>
      </c>
      <c r="O46" s="1129" t="s">
        <v>40</v>
      </c>
      <c r="P46" s="1129"/>
      <c r="Q46" s="1219">
        <f>R46*3</f>
        <v>2850000</v>
      </c>
      <c r="R46" s="1108">
        <v>950000</v>
      </c>
      <c r="S46" s="1310">
        <f>(1450-F46)/100</f>
        <v>5.5</v>
      </c>
      <c r="T46" s="1257"/>
      <c r="U46" s="1108">
        <f t="shared" si="7"/>
        <v>5225000</v>
      </c>
      <c r="V46" s="396">
        <f>(Q46+((S46-4)*R46))*((100-P46)/100)</f>
        <v>4275000</v>
      </c>
      <c r="W46" s="1128"/>
      <c r="X46" s="1128"/>
      <c r="Y46" s="1128"/>
      <c r="Z46" s="1128"/>
      <c r="AA46" s="1128"/>
      <c r="AB46" s="1128"/>
      <c r="AC46" s="1128"/>
      <c r="AD46" s="1128"/>
      <c r="AE46" s="1128"/>
    </row>
    <row r="47" spans="1:31" s="835" customFormat="1" hidden="1">
      <c r="A47" s="671"/>
      <c r="B47" s="81">
        <v>41</v>
      </c>
      <c r="C47" s="258" t="s">
        <v>1369</v>
      </c>
      <c r="D47" s="669" t="s">
        <v>43</v>
      </c>
      <c r="E47" s="258" t="s">
        <v>1349</v>
      </c>
      <c r="F47" s="86">
        <v>1300</v>
      </c>
      <c r="G47" s="86">
        <v>1530</v>
      </c>
      <c r="H47" s="261" t="s">
        <v>1370</v>
      </c>
      <c r="I47" s="140" t="s">
        <v>35</v>
      </c>
      <c r="J47" s="140" t="s">
        <v>36</v>
      </c>
      <c r="K47" s="258" t="s">
        <v>76</v>
      </c>
      <c r="L47" s="737" t="s">
        <v>47</v>
      </c>
      <c r="M47" s="401"/>
      <c r="N47" s="912">
        <v>45505.722685185188</v>
      </c>
      <c r="O47" s="706" t="s">
        <v>174</v>
      </c>
      <c r="P47" s="735"/>
      <c r="Q47" s="732"/>
      <c r="R47" s="732"/>
      <c r="S47" s="531">
        <f t="shared" ref="S47:S53" si="8">(G47-F47)/100</f>
        <v>2.2999999999999998</v>
      </c>
      <c r="T47" s="734"/>
      <c r="U47" s="850">
        <f t="shared" si="7"/>
        <v>0</v>
      </c>
      <c r="V47" s="1069">
        <f>(Q47+((S47-8)*R47))*((100-P47)/100)</f>
        <v>0</v>
      </c>
      <c r="W47" s="848"/>
      <c r="X47" s="849"/>
      <c r="Y47" s="848"/>
    </row>
    <row r="48" spans="1:31" s="833" customFormat="1" hidden="1">
      <c r="A48" s="765"/>
      <c r="B48" s="728">
        <v>42</v>
      </c>
      <c r="C48" s="876" t="s">
        <v>1371</v>
      </c>
      <c r="D48" s="734" t="s">
        <v>43</v>
      </c>
      <c r="E48" s="876" t="s">
        <v>1351</v>
      </c>
      <c r="F48" s="911">
        <v>1400</v>
      </c>
      <c r="G48" s="911">
        <v>1500</v>
      </c>
      <c r="H48" s="737" t="s">
        <v>1372</v>
      </c>
      <c r="I48" s="875" t="s">
        <v>35</v>
      </c>
      <c r="J48" s="875" t="s">
        <v>36</v>
      </c>
      <c r="K48" s="876" t="s">
        <v>76</v>
      </c>
      <c r="L48" s="743" t="s">
        <v>47</v>
      </c>
      <c r="M48" s="427"/>
      <c r="N48" s="947">
        <v>45505.722280092596</v>
      </c>
      <c r="O48" s="730" t="s">
        <v>174</v>
      </c>
      <c r="P48" s="763"/>
      <c r="Q48" s="756"/>
      <c r="R48" s="756"/>
      <c r="S48" s="701">
        <f t="shared" si="8"/>
        <v>1</v>
      </c>
      <c r="T48" s="762"/>
      <c r="U48" s="852">
        <f t="shared" si="7"/>
        <v>0</v>
      </c>
      <c r="V48" s="761">
        <f>(Q48+((S48-4)*R48))*((100-P48)/100)</f>
        <v>0</v>
      </c>
      <c r="W48" s="439"/>
      <c r="X48" s="91"/>
      <c r="Y48" s="439"/>
      <c r="Z48" s="82"/>
      <c r="AA48" s="82"/>
      <c r="AB48" s="82"/>
      <c r="AC48" s="82"/>
      <c r="AD48" s="82"/>
      <c r="AE48" s="82"/>
    </row>
    <row r="49" spans="1:31" s="1114" customFormat="1">
      <c r="A49" s="1115"/>
      <c r="B49" s="1115">
        <v>44</v>
      </c>
      <c r="C49" s="1135" t="s">
        <v>1373</v>
      </c>
      <c r="D49" s="1097" t="s">
        <v>75</v>
      </c>
      <c r="E49" s="1135" t="s">
        <v>1374</v>
      </c>
      <c r="F49" s="1136">
        <v>1200</v>
      </c>
      <c r="G49" s="1136">
        <v>1500</v>
      </c>
      <c r="H49" s="1099" t="s">
        <v>1364</v>
      </c>
      <c r="I49" s="940" t="s">
        <v>35</v>
      </c>
      <c r="J49" s="875" t="s">
        <v>36</v>
      </c>
      <c r="K49" s="315" t="s">
        <v>76</v>
      </c>
      <c r="L49" s="1129" t="s">
        <v>255</v>
      </c>
      <c r="M49" s="1156"/>
      <c r="N49" s="1152">
        <v>45505.546458333331</v>
      </c>
      <c r="O49" s="1129" t="s">
        <v>40</v>
      </c>
      <c r="P49" s="1129"/>
      <c r="Q49" s="1216"/>
      <c r="R49" s="1108">
        <v>500000</v>
      </c>
      <c r="S49" s="1310">
        <f t="shared" si="8"/>
        <v>3</v>
      </c>
      <c r="T49" s="1145"/>
      <c r="U49" s="1108">
        <f t="shared" si="7"/>
        <v>1500000</v>
      </c>
      <c r="V49" s="396">
        <f>(Q49+((S49-0)*R49))*((100-P49)/100)</f>
        <v>1500000</v>
      </c>
      <c r="W49" s="1128"/>
      <c r="X49" s="1140">
        <f>(Q49+((S49-0)*R49))*((100-P49)/100)</f>
        <v>1500000</v>
      </c>
      <c r="Y49" s="1128"/>
      <c r="Z49" s="1128"/>
      <c r="AA49" s="1128"/>
      <c r="AB49" s="1128"/>
      <c r="AC49" s="1128"/>
      <c r="AD49" s="1128"/>
      <c r="AE49" s="1128"/>
    </row>
    <row r="50" spans="1:31" s="833" customFormat="1">
      <c r="A50" s="1073"/>
      <c r="B50" s="1073">
        <v>47</v>
      </c>
      <c r="C50" s="1068" t="s">
        <v>1375</v>
      </c>
      <c r="D50" s="1088" t="s">
        <v>32</v>
      </c>
      <c r="E50" s="1068" t="s">
        <v>1374</v>
      </c>
      <c r="F50" s="1074">
        <v>900</v>
      </c>
      <c r="G50" s="1074">
        <v>1000</v>
      </c>
      <c r="H50" s="1088" t="s">
        <v>1376</v>
      </c>
      <c r="I50" s="721" t="s">
        <v>35</v>
      </c>
      <c r="J50" s="721" t="s">
        <v>36</v>
      </c>
      <c r="K50" s="925" t="s">
        <v>37</v>
      </c>
      <c r="L50" s="1325" t="s">
        <v>484</v>
      </c>
      <c r="M50" s="1075"/>
      <c r="N50" s="1076">
        <v>45505.42827546296</v>
      </c>
      <c r="O50" s="1090" t="s">
        <v>40</v>
      </c>
      <c r="P50" s="1093" t="s">
        <v>41</v>
      </c>
      <c r="Q50" s="1326"/>
      <c r="R50" s="1077">
        <v>950000</v>
      </c>
      <c r="S50" s="1072">
        <f t="shared" si="8"/>
        <v>1</v>
      </c>
      <c r="T50" s="1078"/>
      <c r="U50" s="1079">
        <f t="shared" si="7"/>
        <v>0</v>
      </c>
      <c r="V50" s="1081">
        <f>(Q50+((S50-0)*R50))*((100-P50)/100)</f>
        <v>0</v>
      </c>
      <c r="W50" s="1064"/>
      <c r="X50" s="1082"/>
      <c r="Y50" s="1064"/>
      <c r="Z50" s="1064"/>
      <c r="AA50" s="1064"/>
      <c r="AB50" s="1064"/>
      <c r="AC50" s="1064"/>
      <c r="AD50" s="1064"/>
      <c r="AE50" s="1064"/>
    </row>
    <row r="51" spans="1:31" s="833" customFormat="1" hidden="1">
      <c r="A51" s="81"/>
      <c r="B51" s="81">
        <v>45</v>
      </c>
      <c r="C51" s="258" t="s">
        <v>1377</v>
      </c>
      <c r="D51" s="669" t="s">
        <v>43</v>
      </c>
      <c r="E51" s="258" t="s">
        <v>1349</v>
      </c>
      <c r="F51" s="86">
        <v>1300</v>
      </c>
      <c r="G51" s="86">
        <v>1530</v>
      </c>
      <c r="H51" s="261" t="s">
        <v>1370</v>
      </c>
      <c r="I51" s="140" t="s">
        <v>35</v>
      </c>
      <c r="J51" s="140" t="s">
        <v>36</v>
      </c>
      <c r="K51" s="258" t="s">
        <v>76</v>
      </c>
      <c r="L51" s="140" t="s">
        <v>47</v>
      </c>
      <c r="M51" s="140" t="s">
        <v>1378</v>
      </c>
      <c r="N51" s="903">
        <v>45505.525254629632</v>
      </c>
      <c r="O51" s="259" t="s">
        <v>174</v>
      </c>
      <c r="P51" s="261"/>
      <c r="Q51" s="731"/>
      <c r="R51" s="665"/>
      <c r="S51" s="162">
        <f t="shared" si="8"/>
        <v>2.2999999999999998</v>
      </c>
      <c r="T51" s="259"/>
      <c r="U51" s="894">
        <f t="shared" si="7"/>
        <v>0</v>
      </c>
      <c r="V51" s="707">
        <f>(Q51+((S51-0)*R51))*((100-P51)/100)</f>
        <v>0</v>
      </c>
      <c r="W51" s="439"/>
      <c r="X51" s="91"/>
      <c r="Y51" s="439"/>
      <c r="Z51" s="82"/>
      <c r="AA51" s="82"/>
      <c r="AB51" s="82"/>
      <c r="AC51" s="82"/>
      <c r="AD51" s="82"/>
      <c r="AE51" s="82"/>
    </row>
    <row r="52" spans="1:31" s="833" customFormat="1" hidden="1">
      <c r="A52" s="777"/>
      <c r="B52" s="729">
        <v>46</v>
      </c>
      <c r="C52" s="922" t="s">
        <v>1379</v>
      </c>
      <c r="D52" s="762" t="s">
        <v>43</v>
      </c>
      <c r="E52" s="922" t="s">
        <v>1351</v>
      </c>
      <c r="F52" s="923">
        <v>1400</v>
      </c>
      <c r="G52" s="923">
        <v>1500</v>
      </c>
      <c r="H52" s="743" t="s">
        <v>1372</v>
      </c>
      <c r="I52" s="924" t="s">
        <v>35</v>
      </c>
      <c r="J52" s="924" t="s">
        <v>36</v>
      </c>
      <c r="K52" s="922" t="s">
        <v>76</v>
      </c>
      <c r="L52" s="721" t="s">
        <v>47</v>
      </c>
      <c r="M52" s="721" t="s">
        <v>1378</v>
      </c>
      <c r="N52" s="947">
        <v>45505.524768518517</v>
      </c>
      <c r="O52" s="730" t="s">
        <v>174</v>
      </c>
      <c r="P52" s="763"/>
      <c r="Q52" s="998"/>
      <c r="R52" s="759"/>
      <c r="S52" s="162">
        <f t="shared" si="8"/>
        <v>1</v>
      </c>
      <c r="T52" s="762"/>
      <c r="U52" s="852">
        <f t="shared" si="7"/>
        <v>0</v>
      </c>
      <c r="V52" s="761">
        <f>(Q52+((S52-0)*R52))*((100-P52)/100)</f>
        <v>0</v>
      </c>
      <c r="W52" s="439"/>
      <c r="X52" s="91"/>
      <c r="Y52" s="439"/>
      <c r="Z52" s="82"/>
      <c r="AA52" s="82"/>
      <c r="AB52" s="82"/>
      <c r="AC52" s="82"/>
      <c r="AD52" s="82"/>
      <c r="AE52" s="82"/>
    </row>
    <row r="53" spans="1:31" s="1226" customFormat="1">
      <c r="A53" s="1259"/>
      <c r="B53" s="1147">
        <v>48</v>
      </c>
      <c r="C53" s="1148" t="s">
        <v>1380</v>
      </c>
      <c r="D53" s="1149" t="s">
        <v>75</v>
      </c>
      <c r="E53" s="1148" t="s">
        <v>1374</v>
      </c>
      <c r="F53" s="1151">
        <v>900</v>
      </c>
      <c r="G53" s="1151">
        <v>1200</v>
      </c>
      <c r="H53" s="1131" t="s">
        <v>1381</v>
      </c>
      <c r="I53" s="721" t="s">
        <v>35</v>
      </c>
      <c r="J53" s="721" t="s">
        <v>36</v>
      </c>
      <c r="K53" s="897" t="s">
        <v>76</v>
      </c>
      <c r="L53" s="1129" t="s">
        <v>255</v>
      </c>
      <c r="M53" s="1156"/>
      <c r="N53" s="1152">
        <v>45505.4216087963</v>
      </c>
      <c r="O53" s="1129" t="s">
        <v>40</v>
      </c>
      <c r="P53" s="1297"/>
      <c r="Q53" s="1298"/>
      <c r="R53" s="1108">
        <v>500000</v>
      </c>
      <c r="S53" s="1308">
        <f t="shared" si="8"/>
        <v>3</v>
      </c>
      <c r="T53" s="1265"/>
      <c r="U53" s="1236">
        <f t="shared" si="7"/>
        <v>1500000</v>
      </c>
      <c r="V53" s="1266">
        <f>(Q53+((S53-0)*R53))*((100-P53)/100)</f>
        <v>1500000</v>
      </c>
      <c r="W53" s="1128"/>
      <c r="X53" s="1128"/>
      <c r="Y53" s="1128"/>
      <c r="Z53" s="1128"/>
      <c r="AA53" s="1128"/>
      <c r="AB53" s="1128"/>
      <c r="AC53" s="1128"/>
      <c r="AD53" s="1128"/>
      <c r="AE53" s="1128"/>
    </row>
    <row r="54" spans="1:31" s="1114" customFormat="1">
      <c r="A54" s="1260"/>
      <c r="B54" s="1115">
        <v>49</v>
      </c>
      <c r="C54" s="1135" t="s">
        <v>1382</v>
      </c>
      <c r="D54" s="1097" t="s">
        <v>43</v>
      </c>
      <c r="E54" s="1135" t="s">
        <v>1374</v>
      </c>
      <c r="F54" s="1136">
        <v>900</v>
      </c>
      <c r="G54" s="1136">
        <v>1730</v>
      </c>
      <c r="H54" s="1099" t="s">
        <v>1383</v>
      </c>
      <c r="I54" s="140" t="s">
        <v>35</v>
      </c>
      <c r="J54" s="140" t="s">
        <v>36</v>
      </c>
      <c r="K54" s="315" t="s">
        <v>76</v>
      </c>
      <c r="L54" s="1129" t="s">
        <v>255</v>
      </c>
      <c r="M54" s="1156"/>
      <c r="N54" s="1152">
        <v>45505.419305555559</v>
      </c>
      <c r="O54" s="1129" t="s">
        <v>40</v>
      </c>
      <c r="P54" s="1299"/>
      <c r="Q54" s="1293">
        <f>R54*6</f>
        <v>3000000</v>
      </c>
      <c r="R54" s="1108">
        <v>500000</v>
      </c>
      <c r="S54" s="1309">
        <f>(1750-F54)/100</f>
        <v>8.5</v>
      </c>
      <c r="T54" s="1265"/>
      <c r="U54" s="1236">
        <f t="shared" si="7"/>
        <v>4250000</v>
      </c>
      <c r="V54" s="1266">
        <f>(Q54+((S54-8)*R54))*((100-P54)/100)</f>
        <v>3250000</v>
      </c>
      <c r="W54" s="1128"/>
      <c r="X54" s="1128"/>
      <c r="Y54" s="1128"/>
      <c r="Z54" s="1128"/>
      <c r="AA54" s="1128"/>
      <c r="AB54" s="1128"/>
      <c r="AC54" s="1128"/>
      <c r="AD54" s="1128"/>
      <c r="AE54" s="1128"/>
    </row>
    <row r="55" spans="1:31" s="1114" customFormat="1" ht="13">
      <c r="A55" s="1227"/>
      <c r="B55" s="1261">
        <v>26</v>
      </c>
      <c r="C55" s="1262">
        <v>4630</v>
      </c>
      <c r="D55" s="1194" t="s">
        <v>43</v>
      </c>
      <c r="E55" s="1263">
        <v>45627</v>
      </c>
      <c r="F55" s="1264">
        <v>1000</v>
      </c>
      <c r="G55" s="1264">
        <v>1130</v>
      </c>
      <c r="H55" s="1194" t="s">
        <v>1366</v>
      </c>
      <c r="I55" s="924" t="s">
        <v>35</v>
      </c>
      <c r="J55" s="924" t="s">
        <v>36</v>
      </c>
      <c r="K55" s="781">
        <v>6</v>
      </c>
      <c r="L55" s="1129" t="s">
        <v>255</v>
      </c>
      <c r="M55" s="1214"/>
      <c r="N55" s="1215">
        <v>45627.424293981479</v>
      </c>
      <c r="O55" s="1213" t="s">
        <v>40</v>
      </c>
      <c r="P55" s="1223"/>
      <c r="Q55" s="1224"/>
      <c r="R55" s="1108">
        <v>500000</v>
      </c>
      <c r="S55" s="1309">
        <f>(1150-F55)/100</f>
        <v>1.5</v>
      </c>
      <c r="T55" s="1269"/>
      <c r="U55" s="1132">
        <f t="shared" si="7"/>
        <v>750000</v>
      </c>
      <c r="V55" s="1134">
        <f>(Q55+((S55-0)*R55))*((100-P55)/100)</f>
        <v>750000</v>
      </c>
      <c r="W55" s="1126"/>
      <c r="X55" s="1167">
        <f>V55*((100-P55)/100)</f>
        <v>750000</v>
      </c>
      <c r="Y55" s="1126"/>
      <c r="Z55" s="1128"/>
      <c r="AA55" s="1128"/>
      <c r="AB55" s="1128"/>
      <c r="AC55" s="1128"/>
      <c r="AD55" s="1128"/>
      <c r="AE55" s="1128"/>
    </row>
    <row r="56" spans="1:31" s="1114" customFormat="1">
      <c r="A56" s="1095"/>
      <c r="B56" s="1115">
        <v>59</v>
      </c>
      <c r="C56" s="1135" t="s">
        <v>1384</v>
      </c>
      <c r="D56" s="1097" t="s">
        <v>32</v>
      </c>
      <c r="E56" s="1141">
        <v>45627</v>
      </c>
      <c r="F56" s="1136">
        <v>900</v>
      </c>
      <c r="G56" s="1218">
        <v>1200</v>
      </c>
      <c r="H56" s="1129" t="s">
        <v>1132</v>
      </c>
      <c r="I56" s="910" t="s">
        <v>35</v>
      </c>
      <c r="J56" s="140" t="s">
        <v>36</v>
      </c>
      <c r="K56" s="315" t="s">
        <v>37</v>
      </c>
      <c r="L56" s="1316" t="s">
        <v>1221</v>
      </c>
      <c r="M56" s="1327" t="s">
        <v>1332</v>
      </c>
      <c r="N56" s="1248">
        <v>45352.735543981478</v>
      </c>
      <c r="O56" s="1316" t="s">
        <v>40</v>
      </c>
      <c r="P56" s="1318"/>
      <c r="Q56" s="1328"/>
      <c r="R56" s="1250">
        <v>950000</v>
      </c>
      <c r="S56" s="1208">
        <f t="shared" ref="S56:S68" si="9">(G56-F56)/100</f>
        <v>3</v>
      </c>
      <c r="T56" s="1220"/>
      <c r="U56" s="1221">
        <f t="shared" si="7"/>
        <v>2850000</v>
      </c>
      <c r="V56" s="1228">
        <f>Q56+((S56-0)*R56)</f>
        <v>2850000</v>
      </c>
      <c r="W56" s="1128"/>
      <c r="X56" s="1145"/>
      <c r="Y56" s="1128"/>
      <c r="Z56" s="1128"/>
      <c r="AA56" s="1128"/>
      <c r="AB56" s="1128"/>
      <c r="AC56" s="1128"/>
      <c r="AD56" s="1128"/>
      <c r="AE56" s="1128"/>
    </row>
    <row r="57" spans="1:31" s="1168" customFormat="1" ht="13">
      <c r="A57" s="1115"/>
      <c r="B57" s="1095">
        <v>27</v>
      </c>
      <c r="C57" s="1096">
        <v>4629</v>
      </c>
      <c r="D57" s="1097" t="s">
        <v>75</v>
      </c>
      <c r="E57" s="1165">
        <v>45597</v>
      </c>
      <c r="F57" s="1098">
        <v>1600</v>
      </c>
      <c r="G57" s="1098">
        <v>1700</v>
      </c>
      <c r="H57" s="1191" t="s">
        <v>969</v>
      </c>
      <c r="I57" s="140" t="s">
        <v>35</v>
      </c>
      <c r="J57" s="140" t="s">
        <v>36</v>
      </c>
      <c r="K57" s="670">
        <v>6</v>
      </c>
      <c r="L57" s="1198" t="s">
        <v>284</v>
      </c>
      <c r="M57" s="1267"/>
      <c r="N57" s="1197">
        <v>45597.628530092596</v>
      </c>
      <c r="O57" s="1194" t="s">
        <v>40</v>
      </c>
      <c r="P57" s="1244"/>
      <c r="Q57" s="1199"/>
      <c r="R57" s="1199">
        <v>500000</v>
      </c>
      <c r="S57" s="1172">
        <f t="shared" si="9"/>
        <v>1</v>
      </c>
      <c r="T57" s="1123"/>
      <c r="U57" s="1124">
        <f t="shared" si="7"/>
        <v>500000</v>
      </c>
      <c r="V57" s="1121">
        <f t="shared" ref="V57:V62" si="10">(Q57+((S57-0)*R57))*((100-P57)/100)</f>
        <v>500000</v>
      </c>
      <c r="W57" s="1126"/>
      <c r="X57" s="1167">
        <f>V57*((100-P57)/100)</f>
        <v>500000</v>
      </c>
      <c r="Y57" s="1126"/>
      <c r="Z57" s="1128"/>
      <c r="AA57" s="1128"/>
      <c r="AB57" s="1128"/>
      <c r="AC57" s="1128"/>
      <c r="AD57" s="1128"/>
      <c r="AE57" s="1128"/>
    </row>
    <row r="58" spans="1:31" s="1114" customFormat="1" ht="14">
      <c r="A58" s="1147"/>
      <c r="B58" s="1146">
        <v>28</v>
      </c>
      <c r="C58" s="1270">
        <v>4627</v>
      </c>
      <c r="D58" s="1149" t="s">
        <v>32</v>
      </c>
      <c r="E58" s="1271">
        <v>45597</v>
      </c>
      <c r="F58" s="1272">
        <v>1000</v>
      </c>
      <c r="G58" s="1272">
        <v>1200</v>
      </c>
      <c r="H58" s="1149" t="s">
        <v>1366</v>
      </c>
      <c r="I58" s="721" t="s">
        <v>35</v>
      </c>
      <c r="J58" s="721" t="s">
        <v>36</v>
      </c>
      <c r="K58" s="751">
        <v>12</v>
      </c>
      <c r="L58" s="1129" t="s">
        <v>255</v>
      </c>
      <c r="M58" s="1214"/>
      <c r="N58" s="1215">
        <v>45566.426458333335</v>
      </c>
      <c r="O58" s="1213" t="s">
        <v>40</v>
      </c>
      <c r="P58" s="1300"/>
      <c r="Q58" s="1108"/>
      <c r="R58" s="1108">
        <v>950000</v>
      </c>
      <c r="S58" s="1308">
        <f t="shared" si="9"/>
        <v>2</v>
      </c>
      <c r="T58" s="1133"/>
      <c r="U58" s="1132">
        <f t="shared" si="7"/>
        <v>1900000</v>
      </c>
      <c r="V58" s="1134">
        <f t="shared" si="10"/>
        <v>1900000</v>
      </c>
      <c r="W58" s="1126"/>
      <c r="X58" s="1178"/>
      <c r="Y58" s="1126"/>
      <c r="Z58" s="1128"/>
      <c r="AA58" s="1128"/>
      <c r="AB58" s="1128"/>
      <c r="AC58" s="1128"/>
      <c r="AD58" s="1128"/>
      <c r="AE58" s="1128"/>
    </row>
    <row r="59" spans="1:31" s="1114" customFormat="1" ht="13" customHeight="1">
      <c r="A59" s="1115"/>
      <c r="B59" s="1095">
        <v>29</v>
      </c>
      <c r="C59" s="1096">
        <v>4626</v>
      </c>
      <c r="D59" s="1097" t="s">
        <v>43</v>
      </c>
      <c r="E59" s="1165">
        <v>45566</v>
      </c>
      <c r="F59" s="1098">
        <v>1600</v>
      </c>
      <c r="G59" s="1098">
        <v>1700</v>
      </c>
      <c r="H59" s="1097" t="s">
        <v>1366</v>
      </c>
      <c r="I59" s="924" t="s">
        <v>35</v>
      </c>
      <c r="J59" s="924" t="s">
        <v>36</v>
      </c>
      <c r="K59" s="751">
        <v>6</v>
      </c>
      <c r="L59" s="1129" t="s">
        <v>255</v>
      </c>
      <c r="M59" s="1214"/>
      <c r="N59" s="1215">
        <v>45566.426168981481</v>
      </c>
      <c r="O59" s="1213" t="s">
        <v>40</v>
      </c>
      <c r="P59" s="1300"/>
      <c r="Q59" s="1108"/>
      <c r="R59" s="1108">
        <v>500000</v>
      </c>
      <c r="S59" s="1308">
        <f t="shared" si="9"/>
        <v>1</v>
      </c>
      <c r="T59" s="1139"/>
      <c r="U59" s="1118">
        <f t="shared" si="7"/>
        <v>500000</v>
      </c>
      <c r="V59" s="1121">
        <f t="shared" si="10"/>
        <v>500000</v>
      </c>
      <c r="W59" s="1126"/>
      <c r="X59" s="1127"/>
      <c r="Y59" s="1126"/>
      <c r="Z59" s="1128"/>
      <c r="AA59" s="1128"/>
      <c r="AB59" s="1128"/>
      <c r="AC59" s="1128"/>
      <c r="AD59" s="1128"/>
      <c r="AE59" s="1128"/>
    </row>
    <row r="60" spans="1:31" s="1278" customFormat="1" ht="13">
      <c r="A60" s="1094"/>
      <c r="B60" s="1273">
        <v>30</v>
      </c>
      <c r="C60" s="1274">
        <v>4625</v>
      </c>
      <c r="D60" s="1191" t="s">
        <v>43</v>
      </c>
      <c r="E60" s="1275">
        <v>45566</v>
      </c>
      <c r="F60" s="1276">
        <v>1000</v>
      </c>
      <c r="G60" s="1276">
        <v>1200</v>
      </c>
      <c r="H60" s="1191" t="s">
        <v>1366</v>
      </c>
      <c r="I60" s="140" t="s">
        <v>35</v>
      </c>
      <c r="J60" s="140" t="s">
        <v>36</v>
      </c>
      <c r="K60" s="1012">
        <v>6</v>
      </c>
      <c r="L60" s="1129" t="s">
        <v>255</v>
      </c>
      <c r="M60" s="1214"/>
      <c r="N60" s="1215">
        <v>45566.425937499997</v>
      </c>
      <c r="O60" s="1213" t="s">
        <v>40</v>
      </c>
      <c r="P60" s="1129"/>
      <c r="Q60" s="1108"/>
      <c r="R60" s="1108">
        <v>500000</v>
      </c>
      <c r="S60" s="1308">
        <f t="shared" si="9"/>
        <v>2</v>
      </c>
      <c r="T60" s="1123"/>
      <c r="U60" s="1153">
        <f t="shared" si="7"/>
        <v>1000000</v>
      </c>
      <c r="V60" s="1154">
        <f t="shared" si="10"/>
        <v>1000000</v>
      </c>
      <c r="W60" s="1126"/>
      <c r="X60" s="1127"/>
      <c r="Y60" s="1126"/>
      <c r="Z60" s="1128"/>
      <c r="AA60" s="1128"/>
      <c r="AB60" s="1128"/>
      <c r="AC60" s="1128"/>
      <c r="AD60" s="1128"/>
      <c r="AE60" s="1128"/>
    </row>
    <row r="61" spans="1:31" s="833" customFormat="1" hidden="1">
      <c r="A61" s="748"/>
      <c r="B61" s="712">
        <v>55</v>
      </c>
      <c r="C61" s="896" t="s">
        <v>1385</v>
      </c>
      <c r="D61" s="714" t="s">
        <v>32</v>
      </c>
      <c r="E61" s="952" t="s">
        <v>1359</v>
      </c>
      <c r="F61" s="720">
        <v>1600</v>
      </c>
      <c r="G61" s="720">
        <v>1800</v>
      </c>
      <c r="H61" s="422" t="s">
        <v>1132</v>
      </c>
      <c r="I61" s="924" t="s">
        <v>35</v>
      </c>
      <c r="J61" s="924" t="s">
        <v>36</v>
      </c>
      <c r="K61" s="925" t="s">
        <v>37</v>
      </c>
      <c r="L61" s="708" t="s">
        <v>1221</v>
      </c>
      <c r="M61" s="924" t="s">
        <v>1332</v>
      </c>
      <c r="N61" s="944">
        <v>45352.73678240741</v>
      </c>
      <c r="O61" s="928" t="s">
        <v>174</v>
      </c>
      <c r="P61" s="1329"/>
      <c r="Q61" s="1330"/>
      <c r="R61" s="1330"/>
      <c r="S61" s="162">
        <f t="shared" si="9"/>
        <v>2</v>
      </c>
      <c r="T61" s="714"/>
      <c r="U61" s="845">
        <f t="shared" si="7"/>
        <v>0</v>
      </c>
      <c r="V61" s="625">
        <f t="shared" si="10"/>
        <v>0</v>
      </c>
      <c r="W61" s="439"/>
      <c r="X61" s="386">
        <f>(Q61+((S61-0)*R61))*((100-P61)/100)</f>
        <v>0</v>
      </c>
      <c r="Y61" s="439"/>
      <c r="Z61" s="82"/>
      <c r="AA61" s="82"/>
      <c r="AB61" s="82"/>
      <c r="AC61" s="82"/>
      <c r="AD61" s="82"/>
      <c r="AE61" s="82"/>
    </row>
    <row r="62" spans="1:31" s="1114" customFormat="1">
      <c r="A62" s="1115"/>
      <c r="B62" s="1115">
        <v>62</v>
      </c>
      <c r="C62" s="1135" t="s">
        <v>1386</v>
      </c>
      <c r="D62" s="1097" t="s">
        <v>32</v>
      </c>
      <c r="E62" s="1141">
        <v>45536</v>
      </c>
      <c r="F62" s="1136">
        <v>1500</v>
      </c>
      <c r="G62" s="1136">
        <v>1600</v>
      </c>
      <c r="H62" s="1099" t="s">
        <v>1387</v>
      </c>
      <c r="I62" s="140" t="s">
        <v>35</v>
      </c>
      <c r="J62" s="140" t="s">
        <v>36</v>
      </c>
      <c r="K62" s="315" t="s">
        <v>37</v>
      </c>
      <c r="L62" s="1186" t="s">
        <v>47</v>
      </c>
      <c r="M62" s="1157" t="s">
        <v>1388</v>
      </c>
      <c r="N62" s="1256">
        <v>45352.423379629632</v>
      </c>
      <c r="O62" s="1131" t="s">
        <v>40</v>
      </c>
      <c r="P62" s="1131" t="s">
        <v>41</v>
      </c>
      <c r="Q62" s="1315"/>
      <c r="R62" s="1132">
        <v>950000</v>
      </c>
      <c r="S62" s="1119">
        <f t="shared" si="9"/>
        <v>1</v>
      </c>
      <c r="T62" s="1144"/>
      <c r="U62" s="1118">
        <f t="shared" si="7"/>
        <v>0</v>
      </c>
      <c r="V62" s="1121">
        <f t="shared" si="10"/>
        <v>0</v>
      </c>
      <c r="W62" s="1128"/>
      <c r="X62" s="1145"/>
      <c r="Y62" s="1128"/>
      <c r="Z62" s="1128"/>
      <c r="AA62" s="1128"/>
      <c r="AB62" s="1128"/>
      <c r="AC62" s="1128"/>
      <c r="AD62" s="1128"/>
      <c r="AE62" s="1128"/>
    </row>
    <row r="63" spans="1:31" s="1114" customFormat="1">
      <c r="A63" s="1279"/>
      <c r="B63" s="1094">
        <v>54</v>
      </c>
      <c r="C63" s="1174" t="s">
        <v>1389</v>
      </c>
      <c r="D63" s="1191" t="s">
        <v>32</v>
      </c>
      <c r="E63" s="1280">
        <v>45505</v>
      </c>
      <c r="F63" s="1176">
        <v>1300</v>
      </c>
      <c r="G63" s="1176">
        <v>1500</v>
      </c>
      <c r="H63" s="1175" t="s">
        <v>1338</v>
      </c>
      <c r="I63" s="875" t="s">
        <v>35</v>
      </c>
      <c r="J63" s="875" t="s">
        <v>36</v>
      </c>
      <c r="K63" s="915" t="s">
        <v>37</v>
      </c>
      <c r="L63" s="1129" t="s">
        <v>255</v>
      </c>
      <c r="M63" s="1156"/>
      <c r="N63" s="1152">
        <v>45413.474027777775</v>
      </c>
      <c r="O63" s="1129" t="s">
        <v>40</v>
      </c>
      <c r="P63" s="1301"/>
      <c r="Q63" s="1302"/>
      <c r="R63" s="1108">
        <v>950000</v>
      </c>
      <c r="S63" s="1308">
        <f t="shared" si="9"/>
        <v>2</v>
      </c>
      <c r="T63" s="1282"/>
      <c r="U63" s="1283">
        <f t="shared" si="7"/>
        <v>1900000</v>
      </c>
      <c r="V63" s="1284">
        <f>Q63+((S63-0)*R63)</f>
        <v>1900000</v>
      </c>
      <c r="W63" s="1278"/>
      <c r="X63" s="1285"/>
      <c r="Y63" s="1278"/>
      <c r="Z63" s="1278"/>
      <c r="AA63" s="1278"/>
      <c r="AB63" s="1278"/>
      <c r="AC63" s="1278"/>
      <c r="AD63" s="1278"/>
      <c r="AE63" s="1278"/>
    </row>
    <row r="64" spans="1:31" s="1114" customFormat="1">
      <c r="A64" s="1115"/>
      <c r="B64" s="1115">
        <v>50</v>
      </c>
      <c r="C64" s="1135" t="s">
        <v>1390</v>
      </c>
      <c r="D64" s="1097" t="s">
        <v>32</v>
      </c>
      <c r="E64" s="1141">
        <v>45413</v>
      </c>
      <c r="F64" s="1136">
        <v>1400</v>
      </c>
      <c r="G64" s="1136">
        <v>1500</v>
      </c>
      <c r="H64" s="1099" t="s">
        <v>1391</v>
      </c>
      <c r="I64" s="140" t="s">
        <v>35</v>
      </c>
      <c r="J64" s="140" t="s">
        <v>36</v>
      </c>
      <c r="K64" s="315" t="s">
        <v>37</v>
      </c>
      <c r="L64" s="1316" t="s">
        <v>47</v>
      </c>
      <c r="M64" s="1281" t="s">
        <v>1392</v>
      </c>
      <c r="N64" s="1248">
        <v>45413.626307870371</v>
      </c>
      <c r="O64" s="1249" t="s">
        <v>40</v>
      </c>
      <c r="P64" s="1175" t="s">
        <v>41</v>
      </c>
      <c r="Q64" s="1331"/>
      <c r="R64" s="1124">
        <v>950000</v>
      </c>
      <c r="S64" s="1119">
        <f t="shared" si="9"/>
        <v>1</v>
      </c>
      <c r="T64" s="1123"/>
      <c r="U64" s="1153">
        <f t="shared" si="7"/>
        <v>0</v>
      </c>
      <c r="V64" s="1154">
        <f>(Q64+((S64-0)*R64))*((100-P64)/100)</f>
        <v>0</v>
      </c>
      <c r="W64" s="1155"/>
      <c r="X64" s="396">
        <f>(Q64+((S64-0)*R64))*((100-P64)/100)</f>
        <v>0</v>
      </c>
      <c r="Y64" s="1126"/>
      <c r="Z64" s="1128"/>
      <c r="AA64" s="1128"/>
      <c r="AB64" s="1128"/>
      <c r="AC64" s="1128"/>
      <c r="AD64" s="1128"/>
      <c r="AE64" s="1128"/>
    </row>
    <row r="65" spans="1:31" s="1114" customFormat="1">
      <c r="A65" s="1146"/>
      <c r="B65" s="1147">
        <v>52</v>
      </c>
      <c r="C65" s="1148" t="s">
        <v>1393</v>
      </c>
      <c r="D65" s="1149" t="s">
        <v>75</v>
      </c>
      <c r="E65" s="1150">
        <v>45413</v>
      </c>
      <c r="F65" s="1151">
        <v>1400</v>
      </c>
      <c r="G65" s="1151">
        <v>1500</v>
      </c>
      <c r="H65" s="1131" t="s">
        <v>45</v>
      </c>
      <c r="I65" s="721" t="s">
        <v>35</v>
      </c>
      <c r="J65" s="721" t="s">
        <v>36</v>
      </c>
      <c r="K65" s="897" t="s">
        <v>76</v>
      </c>
      <c r="L65" s="1311" t="s">
        <v>47</v>
      </c>
      <c r="M65" s="1157" t="s">
        <v>1392</v>
      </c>
      <c r="N65" s="1158">
        <v>45413.515787037039</v>
      </c>
      <c r="O65" s="1159" t="s">
        <v>40</v>
      </c>
      <c r="P65" s="1131">
        <v>100</v>
      </c>
      <c r="Q65" s="1160"/>
      <c r="R65" s="1132">
        <v>500000</v>
      </c>
      <c r="S65" s="1119">
        <f t="shared" si="9"/>
        <v>1</v>
      </c>
      <c r="T65" s="1161"/>
      <c r="U65" s="1162">
        <f t="shared" si="7"/>
        <v>0</v>
      </c>
      <c r="V65" s="1163">
        <f>(Q65+((S65-0)*R65))*((100-P65)/100)</f>
        <v>0</v>
      </c>
      <c r="W65" s="1128"/>
      <c r="X65" s="1140">
        <f>(Q65+((S65-0)*R65))*((100-P65)/100)</f>
        <v>0</v>
      </c>
      <c r="Y65" s="1128"/>
      <c r="Z65" s="1128"/>
      <c r="AA65" s="1128"/>
      <c r="AB65" s="1128"/>
      <c r="AC65" s="1128"/>
      <c r="AD65" s="1128"/>
      <c r="AE65" s="1128"/>
    </row>
    <row r="66" spans="1:31" s="1114" customFormat="1">
      <c r="A66" s="1095"/>
      <c r="B66" s="1115">
        <v>51</v>
      </c>
      <c r="C66" s="1135" t="s">
        <v>1394</v>
      </c>
      <c r="D66" s="1097" t="s">
        <v>43</v>
      </c>
      <c r="E66" s="1141">
        <v>45413</v>
      </c>
      <c r="F66" s="1136">
        <v>1400</v>
      </c>
      <c r="G66" s="1136">
        <v>1500</v>
      </c>
      <c r="H66" s="1099" t="s">
        <v>1395</v>
      </c>
      <c r="I66" s="358" t="s">
        <v>35</v>
      </c>
      <c r="J66" s="358" t="s">
        <v>36</v>
      </c>
      <c r="K66" s="315" t="s">
        <v>76</v>
      </c>
      <c r="L66" s="1129" t="s">
        <v>255</v>
      </c>
      <c r="M66" s="1303"/>
      <c r="N66" s="1304">
        <v>45413.588622685187</v>
      </c>
      <c r="O66" s="1129" t="s">
        <v>40</v>
      </c>
      <c r="P66" s="1213"/>
      <c r="Q66" s="1305"/>
      <c r="R66" s="1108">
        <v>500000</v>
      </c>
      <c r="S66" s="1309">
        <f t="shared" si="9"/>
        <v>1</v>
      </c>
      <c r="T66" s="1235"/>
      <c r="U66" s="1236">
        <f t="shared" si="7"/>
        <v>500000</v>
      </c>
      <c r="V66" s="1134">
        <f>U66</f>
        <v>500000</v>
      </c>
      <c r="W66" s="1126"/>
      <c r="X66" s="1178"/>
      <c r="Y66" s="1126"/>
      <c r="Z66" s="1243"/>
      <c r="AA66" s="1243"/>
      <c r="AB66" s="1243"/>
      <c r="AC66" s="1243"/>
      <c r="AD66" s="1243"/>
      <c r="AE66" s="1243"/>
    </row>
    <row r="67" spans="1:31" s="1114" customFormat="1">
      <c r="A67" s="1094"/>
      <c r="B67" s="1094">
        <v>53</v>
      </c>
      <c r="C67" s="1174" t="s">
        <v>1396</v>
      </c>
      <c r="D67" s="1175" t="s">
        <v>32</v>
      </c>
      <c r="E67" s="1286">
        <v>45413</v>
      </c>
      <c r="F67" s="1174" t="s">
        <v>1397</v>
      </c>
      <c r="G67" s="1174" t="s">
        <v>1398</v>
      </c>
      <c r="H67" s="1287" t="s">
        <v>1399</v>
      </c>
      <c r="I67" s="875" t="s">
        <v>35</v>
      </c>
      <c r="J67" s="875" t="s">
        <v>36</v>
      </c>
      <c r="K67" s="915" t="s">
        <v>37</v>
      </c>
      <c r="L67" s="1129" t="s">
        <v>255</v>
      </c>
      <c r="M67" s="1156"/>
      <c r="N67" s="1152">
        <v>45413.499594907407</v>
      </c>
      <c r="O67" s="1129" t="s">
        <v>40</v>
      </c>
      <c r="P67" s="1129"/>
      <c r="Q67" s="1206"/>
      <c r="R67" s="1338">
        <v>950000</v>
      </c>
      <c r="S67" s="1208">
        <f t="shared" si="9"/>
        <v>1</v>
      </c>
      <c r="T67" s="1145"/>
      <c r="U67" s="1108">
        <f t="shared" si="7"/>
        <v>950000</v>
      </c>
      <c r="V67" s="396">
        <f>(Q67+((S67-0)*R67))*((100-P67)/100)</f>
        <v>950000</v>
      </c>
      <c r="W67" s="1128"/>
      <c r="X67" s="1145"/>
      <c r="Y67" s="1128"/>
      <c r="Z67" s="1128"/>
      <c r="AA67" s="1128"/>
      <c r="AB67" s="1128"/>
      <c r="AC67" s="1128"/>
      <c r="AD67" s="1128"/>
      <c r="AE67" s="1128"/>
    </row>
    <row r="68" spans="1:31" s="1114" customFormat="1">
      <c r="A68" s="1115"/>
      <c r="B68" s="1115">
        <v>60</v>
      </c>
      <c r="C68" s="1135" t="s">
        <v>1400</v>
      </c>
      <c r="D68" s="1097" t="s">
        <v>32</v>
      </c>
      <c r="E68" s="1141">
        <v>45413</v>
      </c>
      <c r="F68" s="1136">
        <v>1600</v>
      </c>
      <c r="G68" s="1218">
        <v>1800</v>
      </c>
      <c r="H68" s="1129" t="s">
        <v>1132</v>
      </c>
      <c r="I68" s="910" t="s">
        <v>35</v>
      </c>
      <c r="J68" s="140" t="s">
        <v>36</v>
      </c>
      <c r="K68" s="315" t="s">
        <v>37</v>
      </c>
      <c r="L68" s="1195" t="s">
        <v>1221</v>
      </c>
      <c r="M68" s="1332" t="s">
        <v>1332</v>
      </c>
      <c r="N68" s="1333">
        <v>45352.734837962962</v>
      </c>
      <c r="O68" s="1195" t="s">
        <v>40</v>
      </c>
      <c r="P68" s="1195"/>
      <c r="Q68" s="1334"/>
      <c r="R68" s="1242">
        <v>950000</v>
      </c>
      <c r="S68" s="1341">
        <f t="shared" si="9"/>
        <v>2</v>
      </c>
      <c r="T68" s="1342"/>
      <c r="U68" s="1242">
        <f t="shared" si="7"/>
        <v>1900000</v>
      </c>
      <c r="V68" s="1343">
        <f>(Q68+((S68-0)*R68))*((100-P68)/100)</f>
        <v>1900000</v>
      </c>
      <c r="W68" s="1128"/>
      <c r="X68" s="1140">
        <f>(Q68+((S68-0)*R68))*((100-P68)/100)</f>
        <v>1900000</v>
      </c>
      <c r="Y68" s="1128"/>
      <c r="Z68" s="1128"/>
      <c r="AA68" s="1128"/>
      <c r="AB68" s="1128"/>
      <c r="AC68" s="1128"/>
      <c r="AD68" s="1128"/>
      <c r="AE68" s="1128"/>
    </row>
    <row r="69" spans="1:31" s="1114" customFormat="1">
      <c r="A69" s="1095"/>
      <c r="B69" s="1115">
        <v>64</v>
      </c>
      <c r="C69" s="1135" t="s">
        <v>1401</v>
      </c>
      <c r="D69" s="1097" t="s">
        <v>43</v>
      </c>
      <c r="E69" s="1141">
        <v>45413</v>
      </c>
      <c r="F69" s="1136">
        <v>1600</v>
      </c>
      <c r="G69" s="1136">
        <v>1730</v>
      </c>
      <c r="H69" s="1175" t="s">
        <v>1364</v>
      </c>
      <c r="I69" s="140" t="s">
        <v>35</v>
      </c>
      <c r="J69" s="140" t="s">
        <v>36</v>
      </c>
      <c r="K69" s="315" t="s">
        <v>76</v>
      </c>
      <c r="L69" s="1129" t="s">
        <v>255</v>
      </c>
      <c r="M69" s="1156"/>
      <c r="N69" s="1152" t="s">
        <v>1402</v>
      </c>
      <c r="O69" s="1129" t="s">
        <v>40</v>
      </c>
      <c r="P69" s="1213"/>
      <c r="Q69" s="1206"/>
      <c r="R69" s="1338">
        <v>500000</v>
      </c>
      <c r="S69" s="1208">
        <f>(1750-F69)/100</f>
        <v>1.5</v>
      </c>
      <c r="T69" s="1220"/>
      <c r="U69" s="1221">
        <f t="shared" si="7"/>
        <v>750000</v>
      </c>
      <c r="V69" s="396">
        <f>U69</f>
        <v>750000</v>
      </c>
      <c r="W69" s="1128"/>
      <c r="X69" s="1128"/>
      <c r="Y69" s="1128"/>
      <c r="Z69" s="1128"/>
      <c r="AA69" s="1128"/>
      <c r="AB69" s="1128"/>
      <c r="AC69" s="1128"/>
      <c r="AD69" s="1128"/>
      <c r="AE69" s="1128"/>
    </row>
    <row r="70" spans="1:31" s="1114" customFormat="1">
      <c r="A70" s="1289"/>
      <c r="B70" s="1115">
        <v>65</v>
      </c>
      <c r="C70" s="1135" t="s">
        <v>1403</v>
      </c>
      <c r="D70" s="1097" t="s">
        <v>43</v>
      </c>
      <c r="E70" s="1141">
        <v>45413</v>
      </c>
      <c r="F70" s="1136">
        <v>900</v>
      </c>
      <c r="G70" s="1136">
        <v>1200</v>
      </c>
      <c r="H70" s="1099" t="s">
        <v>1364</v>
      </c>
      <c r="I70" s="140" t="s">
        <v>35</v>
      </c>
      <c r="J70" s="140" t="s">
        <v>36</v>
      </c>
      <c r="K70" s="258" t="s">
        <v>76</v>
      </c>
      <c r="L70" s="1175" t="s">
        <v>255</v>
      </c>
      <c r="M70" s="1290"/>
      <c r="N70" s="1177" t="s">
        <v>1404</v>
      </c>
      <c r="O70" s="1175" t="s">
        <v>40</v>
      </c>
      <c r="P70" s="1335"/>
      <c r="Q70" s="1122"/>
      <c r="R70" s="1339">
        <v>500000</v>
      </c>
      <c r="S70" s="1208">
        <f>(G70-F70)/100</f>
        <v>3</v>
      </c>
      <c r="T70" s="1336"/>
      <c r="U70" s="1337">
        <f t="shared" si="7"/>
        <v>1500000</v>
      </c>
      <c r="V70" s="396">
        <f>U70</f>
        <v>1500000</v>
      </c>
      <c r="W70" s="1126"/>
      <c r="X70" s="1140">
        <f>(Q70+((S70-0)*R70))*((100-P70)/100)</f>
        <v>1500000</v>
      </c>
      <c r="Y70" s="1126"/>
      <c r="Z70" s="1128"/>
      <c r="AA70" s="1128"/>
      <c r="AB70" s="1128"/>
      <c r="AC70" s="1128"/>
      <c r="AD70" s="1128"/>
      <c r="AE70" s="1128"/>
    </row>
    <row r="71" spans="1:31" s="833" customFormat="1" ht="29.15" customHeight="1">
      <c r="A71" s="81"/>
      <c r="B71" s="81">
        <v>61</v>
      </c>
      <c r="C71" s="258" t="s">
        <v>1405</v>
      </c>
      <c r="D71" s="667" t="s">
        <v>43</v>
      </c>
      <c r="E71" s="269">
        <v>45383</v>
      </c>
      <c r="F71" s="1085">
        <v>1000</v>
      </c>
      <c r="G71" s="1085">
        <v>1200</v>
      </c>
      <c r="H71" s="261" t="s">
        <v>1406</v>
      </c>
      <c r="I71" s="140" t="s">
        <v>35</v>
      </c>
      <c r="J71" s="140" t="s">
        <v>36</v>
      </c>
      <c r="K71" s="258" t="s">
        <v>76</v>
      </c>
      <c r="L71" s="261" t="s">
        <v>89</v>
      </c>
      <c r="M71" s="140"/>
      <c r="N71" s="903">
        <v>45352.620532407411</v>
      </c>
      <c r="O71" s="261" t="s">
        <v>40</v>
      </c>
      <c r="P71" s="261"/>
      <c r="Q71" s="425"/>
      <c r="R71" s="756"/>
      <c r="S71" s="536">
        <f>(G71-F71)/100</f>
        <v>2</v>
      </c>
      <c r="T71" s="537"/>
      <c r="U71" s="930">
        <f t="shared" ref="U71:U87" si="11">S71*R71*(100-P71)/100</f>
        <v>0</v>
      </c>
      <c r="V71" s="761">
        <f>(Q71+((S71-8)*R71))*((100-P71)/100)</f>
        <v>0</v>
      </c>
      <c r="W71" s="82"/>
      <c r="X71" s="386">
        <f>(Q71+((S71-0)*R71))*((100-P71)/100)</f>
        <v>0</v>
      </c>
      <c r="Y71" s="82"/>
      <c r="Z71" s="82"/>
      <c r="AA71" s="82"/>
      <c r="AB71" s="82"/>
      <c r="AC71" s="82"/>
      <c r="AD71" s="82"/>
      <c r="AE71" s="82"/>
    </row>
    <row r="72" spans="1:31" s="1114" customFormat="1" ht="13">
      <c r="A72" s="1115"/>
      <c r="B72" s="1115">
        <v>66</v>
      </c>
      <c r="C72" s="1135" t="s">
        <v>1407</v>
      </c>
      <c r="D72" s="1097" t="s">
        <v>32</v>
      </c>
      <c r="E72" s="1291">
        <v>45383</v>
      </c>
      <c r="F72" s="1136">
        <v>900</v>
      </c>
      <c r="G72" s="1136">
        <v>1700</v>
      </c>
      <c r="H72" s="1099" t="s">
        <v>1364</v>
      </c>
      <c r="I72" s="140" t="s">
        <v>35</v>
      </c>
      <c r="J72" s="140" t="s">
        <v>36</v>
      </c>
      <c r="K72" s="258" t="s">
        <v>37</v>
      </c>
      <c r="L72" s="1099" t="s">
        <v>255</v>
      </c>
      <c r="M72" s="1258"/>
      <c r="N72" s="1292" t="s">
        <v>1408</v>
      </c>
      <c r="O72" s="1099" t="s">
        <v>40</v>
      </c>
      <c r="P72" s="1254"/>
      <c r="Q72" s="1293">
        <f>R72*6</f>
        <v>5700000</v>
      </c>
      <c r="R72" s="1338">
        <v>950000</v>
      </c>
      <c r="S72" s="1208">
        <f>(G72-F72)/100</f>
        <v>8</v>
      </c>
      <c r="T72" s="1145"/>
      <c r="U72" s="1337">
        <f t="shared" si="11"/>
        <v>7600000</v>
      </c>
      <c r="V72" s="1231">
        <f>(Q72+((S72-8)*R72))*((100-P72)/100)</f>
        <v>5700000</v>
      </c>
      <c r="W72" s="1128"/>
      <c r="X72" s="396">
        <f>(Q72+((S72-0)*R72))*((100-P72)/100)</f>
        <v>13300000</v>
      </c>
      <c r="Y72" s="1128"/>
      <c r="Z72" s="1128"/>
      <c r="AA72" s="1128"/>
      <c r="AB72" s="1128"/>
      <c r="AC72" s="1128"/>
      <c r="AD72" s="1128"/>
      <c r="AE72" s="1128"/>
    </row>
    <row r="73" spans="1:31" s="1114" customFormat="1" ht="13">
      <c r="A73" s="1115"/>
      <c r="B73" s="1115">
        <v>67</v>
      </c>
      <c r="C73" s="1135" t="s">
        <v>1409</v>
      </c>
      <c r="D73" s="1097" t="s">
        <v>32</v>
      </c>
      <c r="E73" s="1204">
        <v>45352</v>
      </c>
      <c r="F73" s="1136">
        <v>900</v>
      </c>
      <c r="G73" s="1136">
        <v>1700</v>
      </c>
      <c r="H73" s="1099" t="s">
        <v>1364</v>
      </c>
      <c r="I73" s="140" t="s">
        <v>35</v>
      </c>
      <c r="J73" s="140" t="s">
        <v>36</v>
      </c>
      <c r="K73" s="103">
        <v>12</v>
      </c>
      <c r="L73" s="1131" t="s">
        <v>255</v>
      </c>
      <c r="M73" s="1258"/>
      <c r="N73" s="1294" t="s">
        <v>1410</v>
      </c>
      <c r="O73" s="1258" t="s">
        <v>40</v>
      </c>
      <c r="P73" s="1295"/>
      <c r="Q73" s="1293">
        <f>R73*6</f>
        <v>5700000</v>
      </c>
      <c r="R73" s="1338">
        <v>950000</v>
      </c>
      <c r="S73" s="1208">
        <f>(G73-F73)/100</f>
        <v>8</v>
      </c>
      <c r="T73" s="1145"/>
      <c r="U73" s="1337">
        <f t="shared" si="11"/>
        <v>7600000</v>
      </c>
      <c r="V73" s="1231">
        <f>(Q73+((S73-8)*R73))*((100-P73)/100)</f>
        <v>5700000</v>
      </c>
      <c r="W73" s="1128"/>
      <c r="X73" s="396">
        <f>(Q73+((S73-0)*R73))*((100-P73)/100)</f>
        <v>13300000</v>
      </c>
      <c r="Y73" s="1128"/>
      <c r="Z73" s="1128"/>
      <c r="AA73" s="1128"/>
      <c r="AB73" s="1128"/>
      <c r="AC73" s="1128"/>
      <c r="AD73" s="1128"/>
      <c r="AE73" s="1128"/>
    </row>
    <row r="74" spans="1:31" s="1211" customFormat="1">
      <c r="A74" s="1115"/>
      <c r="B74" s="1115">
        <v>63</v>
      </c>
      <c r="C74" s="1135" t="s">
        <v>1411</v>
      </c>
      <c r="D74" s="1097" t="s">
        <v>43</v>
      </c>
      <c r="E74" s="1141">
        <v>45323</v>
      </c>
      <c r="F74" s="1136">
        <v>1030</v>
      </c>
      <c r="G74" s="1136">
        <v>1400</v>
      </c>
      <c r="H74" s="1099" t="s">
        <v>1366</v>
      </c>
      <c r="I74" s="140" t="s">
        <v>35</v>
      </c>
      <c r="J74" s="140" t="s">
        <v>36</v>
      </c>
      <c r="K74" s="315" t="s">
        <v>76</v>
      </c>
      <c r="L74" s="1129" t="s">
        <v>255</v>
      </c>
      <c r="M74" s="1142"/>
      <c r="N74" s="1138">
        <v>45323.480173611111</v>
      </c>
      <c r="O74" s="1099" t="s">
        <v>40</v>
      </c>
      <c r="P74" s="1099"/>
      <c r="Q74" s="1122"/>
      <c r="R74" s="1340">
        <v>500000</v>
      </c>
      <c r="S74" s="1208">
        <f>(G74-1050)/100</f>
        <v>3.5</v>
      </c>
      <c r="T74" s="1145"/>
      <c r="U74" s="1108">
        <f t="shared" si="11"/>
        <v>1750000</v>
      </c>
      <c r="V74" s="396">
        <f>U74</f>
        <v>1750000</v>
      </c>
      <c r="W74" s="1128"/>
      <c r="X74" s="1128"/>
      <c r="Y74" s="1128"/>
      <c r="Z74" s="1128"/>
      <c r="AA74" s="1128"/>
      <c r="AB74" s="1128"/>
      <c r="AC74" s="1128"/>
      <c r="AD74" s="1128"/>
      <c r="AE74" s="1128"/>
    </row>
    <row r="75" spans="1:31" s="833" customFormat="1" ht="13">
      <c r="A75" s="81"/>
      <c r="B75" s="81"/>
      <c r="C75" s="258"/>
      <c r="D75" s="667"/>
      <c r="E75" s="102"/>
      <c r="F75" s="1085"/>
      <c r="G75" s="1085"/>
      <c r="H75" s="261"/>
      <c r="I75" s="140"/>
      <c r="J75" s="140"/>
      <c r="K75" s="103"/>
      <c r="L75" s="737"/>
      <c r="M75" s="140"/>
      <c r="N75" s="119"/>
      <c r="O75" s="140"/>
      <c r="P75" s="261"/>
      <c r="Q75" s="83"/>
      <c r="R75" s="665"/>
      <c r="S75" s="531">
        <f t="shared" ref="S75:S87" si="12">(G75-F75)/100</f>
        <v>0</v>
      </c>
      <c r="T75" s="282"/>
      <c r="U75" s="914">
        <f t="shared" si="11"/>
        <v>0</v>
      </c>
      <c r="V75" s="709">
        <f>(Q75+((S75-0)*R75))*((100-P75)/100)</f>
        <v>0</v>
      </c>
      <c r="W75" s="82"/>
      <c r="X75" s="82"/>
      <c r="Y75" s="82"/>
      <c r="Z75" s="82"/>
      <c r="AA75" s="82"/>
      <c r="AB75" s="82"/>
      <c r="AC75" s="82"/>
      <c r="AD75" s="82"/>
      <c r="AE75" s="82"/>
    </row>
    <row r="76" spans="1:31" s="833" customFormat="1" ht="13">
      <c r="A76" s="728"/>
      <c r="B76" s="728"/>
      <c r="C76" s="876"/>
      <c r="D76" s="735"/>
      <c r="E76" s="967"/>
      <c r="F76" s="1086"/>
      <c r="G76" s="1086"/>
      <c r="H76" s="737"/>
      <c r="I76" s="875"/>
      <c r="J76" s="875"/>
      <c r="K76" s="968"/>
      <c r="L76" s="737"/>
      <c r="M76" s="875"/>
      <c r="N76" s="456"/>
      <c r="O76" s="654"/>
      <c r="P76" s="737"/>
      <c r="Q76" s="530"/>
      <c r="R76" s="532"/>
      <c r="S76" s="162">
        <f t="shared" si="12"/>
        <v>0</v>
      </c>
      <c r="T76" s="537"/>
      <c r="U76" s="901">
        <f t="shared" si="11"/>
        <v>0</v>
      </c>
      <c r="V76" s="533">
        <f>(Q76+((S76-0)*R76))*((100-P76)/100)</f>
        <v>0</v>
      </c>
      <c r="W76" s="82"/>
      <c r="X76" s="386">
        <f>(Q76+((S76-0)*R76))*((100-P76)/100)</f>
        <v>0</v>
      </c>
      <c r="Y76" s="82"/>
      <c r="Z76" s="82"/>
      <c r="AA76" s="82"/>
      <c r="AB76" s="82"/>
      <c r="AC76" s="82"/>
      <c r="AD76" s="82"/>
      <c r="AE76" s="82"/>
    </row>
    <row r="77" spans="1:31" s="833" customFormat="1" ht="13">
      <c r="A77" s="81"/>
      <c r="B77" s="81"/>
      <c r="C77" s="258"/>
      <c r="D77" s="667"/>
      <c r="E77" s="102"/>
      <c r="F77" s="1085"/>
      <c r="G77" s="1085"/>
      <c r="H77" s="261"/>
      <c r="I77" s="140"/>
      <c r="J77" s="140"/>
      <c r="K77" s="316"/>
      <c r="L77" s="414"/>
      <c r="M77" s="140"/>
      <c r="N77" s="281"/>
      <c r="O77" s="412"/>
      <c r="P77" s="261"/>
      <c r="Q77" s="528"/>
      <c r="R77" s="525"/>
      <c r="S77" s="162">
        <f t="shared" si="12"/>
        <v>0</v>
      </c>
      <c r="T77" s="132"/>
      <c r="U77" s="971">
        <f t="shared" si="11"/>
        <v>0</v>
      </c>
      <c r="V77" s="386">
        <f>(Q77+((S77-0)*R77))*((100-P77)/100)</f>
        <v>0</v>
      </c>
      <c r="W77" s="82"/>
      <c r="X77" s="386">
        <f>(Q77+((S77-0)*R77))*((100-P77)/100)</f>
        <v>0</v>
      </c>
      <c r="Y77" s="82"/>
      <c r="Z77" s="82"/>
      <c r="AA77" s="82"/>
      <c r="AB77" s="82"/>
      <c r="AC77" s="82"/>
      <c r="AD77" s="82"/>
      <c r="AE77" s="82"/>
    </row>
    <row r="78" spans="1:31" s="833" customFormat="1" ht="13">
      <c r="A78" s="81"/>
      <c r="B78" s="81"/>
      <c r="C78" s="258"/>
      <c r="D78" s="667"/>
      <c r="E78" s="102"/>
      <c r="F78" s="1085"/>
      <c r="G78" s="1085"/>
      <c r="H78" s="261"/>
      <c r="I78" s="140"/>
      <c r="J78" s="140"/>
      <c r="K78" s="316"/>
      <c r="L78" s="297"/>
      <c r="M78" s="140"/>
      <c r="N78" s="281"/>
      <c r="O78" s="412"/>
      <c r="P78" s="261"/>
      <c r="Q78" s="275"/>
      <c r="R78" s="275"/>
      <c r="S78" s="162">
        <f t="shared" si="12"/>
        <v>0</v>
      </c>
      <c r="T78" s="282"/>
      <c r="U78" s="895">
        <f t="shared" si="11"/>
        <v>0</v>
      </c>
      <c r="V78" s="533">
        <f>Q78+((S78-0)*R78)</f>
        <v>0</v>
      </c>
      <c r="W78" s="82"/>
      <c r="X78" s="82"/>
      <c r="Y78" s="82"/>
      <c r="Z78" s="82"/>
      <c r="AA78" s="82"/>
      <c r="AB78" s="82"/>
      <c r="AC78" s="82"/>
      <c r="AD78" s="82"/>
      <c r="AE78" s="82"/>
    </row>
    <row r="79" spans="1:31" s="833" customFormat="1" ht="13">
      <c r="A79" s="81"/>
      <c r="B79" s="81"/>
      <c r="C79" s="258"/>
      <c r="D79" s="667"/>
      <c r="E79" s="479"/>
      <c r="F79" s="1085"/>
      <c r="G79" s="1085"/>
      <c r="H79" s="261"/>
      <c r="I79" s="140"/>
      <c r="J79" s="140"/>
      <c r="K79" s="315"/>
      <c r="L79" s="261"/>
      <c r="M79" s="140"/>
      <c r="N79" s="281"/>
      <c r="O79" s="1091"/>
      <c r="P79" s="261"/>
      <c r="Q79" s="275"/>
      <c r="R79" s="275"/>
      <c r="S79" s="162">
        <f t="shared" si="12"/>
        <v>0</v>
      </c>
      <c r="T79" s="94"/>
      <c r="U79" s="438">
        <f t="shared" si="11"/>
        <v>0</v>
      </c>
      <c r="V79" s="386">
        <f>(Q79+((S79-0)*R79))*((100-P79)/100)</f>
        <v>0</v>
      </c>
      <c r="W79" s="82"/>
      <c r="X79" s="82"/>
      <c r="Y79" s="82"/>
      <c r="Z79" s="82"/>
      <c r="AA79" s="82"/>
      <c r="AB79" s="82"/>
      <c r="AC79" s="82"/>
      <c r="AD79" s="82"/>
      <c r="AE79" s="82"/>
    </row>
    <row r="80" spans="1:31" s="833" customFormat="1" ht="13">
      <c r="A80" s="81"/>
      <c r="B80" s="81"/>
      <c r="C80" s="258"/>
      <c r="D80" s="667"/>
      <c r="E80" s="479"/>
      <c r="F80" s="1085"/>
      <c r="G80" s="1085"/>
      <c r="H80" s="261"/>
      <c r="I80" s="140"/>
      <c r="J80" s="140"/>
      <c r="K80" s="315"/>
      <c r="L80" s="261"/>
      <c r="M80" s="140"/>
      <c r="N80" s="409"/>
      <c r="O80" s="1091"/>
      <c r="P80" s="261"/>
      <c r="Q80" s="275"/>
      <c r="R80" s="273"/>
      <c r="S80" s="162">
        <f t="shared" si="12"/>
        <v>0</v>
      </c>
      <c r="T80" s="94"/>
      <c r="U80" s="438">
        <f t="shared" si="11"/>
        <v>0</v>
      </c>
      <c r="V80" s="386">
        <f>Q80+((S80-4)*R80)</f>
        <v>0</v>
      </c>
      <c r="W80" s="82"/>
      <c r="X80" s="82"/>
      <c r="Y80" s="82"/>
      <c r="Z80" s="82"/>
      <c r="AA80" s="82"/>
      <c r="AB80" s="82"/>
      <c r="AC80" s="82"/>
      <c r="AD80" s="82"/>
      <c r="AE80" s="82"/>
    </row>
    <row r="81" spans="1:31" s="833" customFormat="1" ht="17.25" customHeight="1">
      <c r="A81" s="81"/>
      <c r="B81" s="81"/>
      <c r="C81" s="258"/>
      <c r="D81" s="261"/>
      <c r="E81" s="479"/>
      <c r="F81" s="1085"/>
      <c r="G81" s="1085"/>
      <c r="H81" s="261"/>
      <c r="I81" s="491"/>
      <c r="J81" s="491"/>
      <c r="K81" s="492"/>
      <c r="L81" s="261"/>
      <c r="M81" s="140"/>
      <c r="N81" s="495"/>
      <c r="O81" s="1092"/>
      <c r="P81" s="261"/>
      <c r="Q81" s="415"/>
      <c r="R81" s="273"/>
      <c r="S81" s="162">
        <f t="shared" si="12"/>
        <v>0</v>
      </c>
      <c r="T81" s="259"/>
      <c r="U81" s="438">
        <f t="shared" si="11"/>
        <v>0</v>
      </c>
      <c r="V81" s="386">
        <f>Q81+((S81-4)*R81)</f>
        <v>0</v>
      </c>
      <c r="W81" s="439"/>
      <c r="X81" s="386">
        <f>(Q81+((S81-0)*R81))*((100-P81)/100)</f>
        <v>0</v>
      </c>
      <c r="Y81" s="439"/>
      <c r="Z81" s="82"/>
      <c r="AA81" s="82"/>
      <c r="AB81" s="82"/>
      <c r="AC81" s="82"/>
      <c r="AD81" s="82"/>
      <c r="AE81" s="82"/>
    </row>
    <row r="82" spans="1:31" s="833" customFormat="1" ht="13">
      <c r="A82" s="81"/>
      <c r="B82" s="484"/>
      <c r="C82" s="484"/>
      <c r="D82" s="261"/>
      <c r="E82" s="479"/>
      <c r="F82" s="258"/>
      <c r="G82" s="258"/>
      <c r="H82" s="261"/>
      <c r="I82" s="412"/>
      <c r="J82" s="140"/>
      <c r="K82" s="316"/>
      <c r="L82" s="414"/>
      <c r="M82" s="312"/>
      <c r="N82" s="456"/>
      <c r="O82" s="412"/>
      <c r="P82" s="261"/>
      <c r="Q82" s="275"/>
      <c r="R82" s="275"/>
      <c r="S82" s="162">
        <f t="shared" si="12"/>
        <v>0</v>
      </c>
      <c r="T82" s="94"/>
      <c r="U82" s="438">
        <f t="shared" si="11"/>
        <v>0</v>
      </c>
      <c r="V82" s="386">
        <f>(Q82+((S82-8)*R82))*((100-P82)/100)</f>
        <v>0</v>
      </c>
      <c r="W82" s="82"/>
      <c r="X82" s="386">
        <f>(Q82+((S82-0)*R82))*((100-P82)/100)</f>
        <v>0</v>
      </c>
      <c r="Y82" s="82"/>
      <c r="Z82" s="82"/>
      <c r="AA82" s="82"/>
      <c r="AB82" s="82"/>
      <c r="AC82" s="82"/>
      <c r="AD82" s="82"/>
      <c r="AE82" s="82"/>
    </row>
    <row r="83" spans="1:31" s="833" customFormat="1" ht="13">
      <c r="A83" s="81"/>
      <c r="B83" s="484"/>
      <c r="C83" s="484"/>
      <c r="D83" s="261"/>
      <c r="E83" s="479"/>
      <c r="F83" s="258"/>
      <c r="G83" s="258"/>
      <c r="H83" s="485"/>
      <c r="I83" s="412"/>
      <c r="J83" s="140"/>
      <c r="K83" s="316"/>
      <c r="L83" s="297"/>
      <c r="M83" s="486"/>
      <c r="N83" s="281"/>
      <c r="O83" s="412"/>
      <c r="P83" s="261"/>
      <c r="Q83" s="275"/>
      <c r="R83" s="275"/>
      <c r="S83" s="162">
        <f t="shared" si="12"/>
        <v>0</v>
      </c>
      <c r="T83" s="94"/>
      <c r="U83" s="438">
        <f t="shared" si="11"/>
        <v>0</v>
      </c>
      <c r="V83" s="386">
        <f>(Q83+((S83-0)*R83))*((100-P83)/100)</f>
        <v>0</v>
      </c>
      <c r="W83" s="82"/>
      <c r="X83" s="386">
        <f>(Q83+((S83-0)*R83))*((100-P83)/100)</f>
        <v>0</v>
      </c>
      <c r="Y83" s="82"/>
      <c r="Z83" s="82"/>
      <c r="AA83" s="82"/>
      <c r="AB83" s="82"/>
      <c r="AC83" s="82"/>
      <c r="AD83" s="82"/>
      <c r="AE83" s="82"/>
    </row>
    <row r="84" spans="1:31" s="833" customFormat="1" ht="13">
      <c r="A84" s="81"/>
      <c r="B84" s="484"/>
      <c r="C84" s="484"/>
      <c r="D84" s="261"/>
      <c r="E84" s="479"/>
      <c r="F84" s="258"/>
      <c r="G84" s="258"/>
      <c r="H84" s="487"/>
      <c r="I84" s="412"/>
      <c r="J84" s="140"/>
      <c r="K84" s="316"/>
      <c r="L84" s="297"/>
      <c r="M84" s="140"/>
      <c r="N84" s="281"/>
      <c r="O84" s="412"/>
      <c r="P84" s="261"/>
      <c r="Q84" s="275"/>
      <c r="R84" s="275"/>
      <c r="S84" s="162">
        <f t="shared" si="12"/>
        <v>0</v>
      </c>
      <c r="T84" s="94"/>
      <c r="U84" s="438">
        <f t="shared" si="11"/>
        <v>0</v>
      </c>
      <c r="V84" s="386">
        <f>Q84+((S84-0)*R84)</f>
        <v>0</v>
      </c>
      <c r="W84" s="82"/>
      <c r="X84" s="82"/>
      <c r="Y84" s="82"/>
      <c r="Z84" s="82"/>
      <c r="AA84" s="82"/>
      <c r="AB84" s="82"/>
      <c r="AC84" s="82"/>
      <c r="AD84" s="82"/>
      <c r="AE84" s="82"/>
    </row>
    <row r="85" spans="1:31" s="833" customFormat="1" ht="13">
      <c r="A85" s="81"/>
      <c r="B85" s="81"/>
      <c r="C85" s="103"/>
      <c r="D85" s="140"/>
      <c r="E85" s="102"/>
      <c r="F85" s="1085"/>
      <c r="G85" s="1085"/>
      <c r="H85" s="140"/>
      <c r="I85" s="140"/>
      <c r="J85" s="140"/>
      <c r="K85" s="316"/>
      <c r="L85" s="297"/>
      <c r="M85" s="312"/>
      <c r="N85" s="281"/>
      <c r="O85" s="412"/>
      <c r="P85" s="261"/>
      <c r="Q85" s="275"/>
      <c r="R85" s="275"/>
      <c r="S85" s="162">
        <f t="shared" si="12"/>
        <v>0</v>
      </c>
      <c r="T85" s="94"/>
      <c r="U85" s="438">
        <f t="shared" si="11"/>
        <v>0</v>
      </c>
      <c r="V85" s="470">
        <f>Q85+((S85-0)*R85)</f>
        <v>0</v>
      </c>
      <c r="W85" s="82"/>
      <c r="X85" s="386">
        <f>(Q85+((S85-0)*R85))*((100-P85)/100)</f>
        <v>0</v>
      </c>
      <c r="Y85" s="82"/>
      <c r="Z85" s="82"/>
      <c r="AA85" s="82"/>
      <c r="AB85" s="82"/>
      <c r="AC85" s="82"/>
      <c r="AD85" s="82"/>
      <c r="AE85" s="82"/>
    </row>
    <row r="86" spans="1:31" s="833" customFormat="1" ht="13">
      <c r="A86" s="81"/>
      <c r="B86" s="81"/>
      <c r="C86" s="103"/>
      <c r="D86" s="140"/>
      <c r="E86" s="102"/>
      <c r="F86" s="1085"/>
      <c r="G86" s="1085"/>
      <c r="H86" s="140"/>
      <c r="I86" s="140"/>
      <c r="J86" s="140"/>
      <c r="K86" s="316"/>
      <c r="L86" s="297"/>
      <c r="M86" s="312"/>
      <c r="N86" s="281"/>
      <c r="O86" s="412"/>
      <c r="P86" s="261"/>
      <c r="Q86" s="275"/>
      <c r="R86" s="275"/>
      <c r="S86" s="162">
        <f t="shared" si="12"/>
        <v>0</v>
      </c>
      <c r="T86" s="94"/>
      <c r="U86" s="122">
        <f t="shared" si="11"/>
        <v>0</v>
      </c>
      <c r="V86" s="470">
        <f>Q86+((S86-0)*R86)</f>
        <v>0</v>
      </c>
      <c r="W86" s="82"/>
      <c r="X86" s="386">
        <f>(Q86+((S86-0)*R86))*((100-P86)/100)</f>
        <v>0</v>
      </c>
      <c r="Y86" s="82"/>
      <c r="Z86" s="82"/>
      <c r="AA86" s="82"/>
      <c r="AB86" s="82"/>
      <c r="AC86" s="82"/>
      <c r="AD86" s="82"/>
      <c r="AE86" s="82"/>
    </row>
    <row r="87" spans="1:31" s="833" customFormat="1" ht="13">
      <c r="A87" s="712"/>
      <c r="B87" s="712"/>
      <c r="C87" s="718"/>
      <c r="D87" s="721"/>
      <c r="E87" s="719"/>
      <c r="F87" s="1087"/>
      <c r="G87" s="1087"/>
      <c r="H87" s="721"/>
      <c r="I87" s="721"/>
      <c r="J87" s="721"/>
      <c r="K87" s="722"/>
      <c r="L87" s="413"/>
      <c r="M87" s="881"/>
      <c r="N87" s="723"/>
      <c r="O87" s="980"/>
      <c r="P87" s="422"/>
      <c r="Q87" s="529"/>
      <c r="R87" s="529"/>
      <c r="S87" s="162">
        <f t="shared" si="12"/>
        <v>0</v>
      </c>
      <c r="T87" s="188"/>
      <c r="U87" s="726">
        <f t="shared" si="11"/>
        <v>0</v>
      </c>
      <c r="V87" s="727">
        <f>Q87+((S87-0)*R87)</f>
        <v>0</v>
      </c>
      <c r="W87" s="82"/>
      <c r="X87" s="82"/>
      <c r="Y87" s="82"/>
      <c r="Z87" s="82"/>
      <c r="AA87" s="82"/>
      <c r="AB87" s="82"/>
      <c r="AC87" s="82"/>
      <c r="AD87" s="82"/>
      <c r="AE87" s="82"/>
    </row>
    <row r="88" spans="1:31" s="1064" customFormat="1" ht="13">
      <c r="A88" s="1059"/>
      <c r="B88" s="1059"/>
      <c r="C88" s="1059"/>
      <c r="D88" s="1084"/>
      <c r="E88" s="1059"/>
      <c r="F88" s="1059"/>
      <c r="G88" s="1059"/>
      <c r="H88" s="1084"/>
      <c r="I88" s="140"/>
      <c r="J88" s="140"/>
      <c r="K88" s="862"/>
      <c r="L88" s="1084"/>
      <c r="M88" s="1059"/>
      <c r="N88" s="1059"/>
      <c r="O88" s="1084"/>
      <c r="P88" s="1083"/>
      <c r="Q88" s="1057"/>
      <c r="R88" s="1057"/>
      <c r="S88" s="1059"/>
      <c r="T88" s="1059"/>
      <c r="U88" s="1065">
        <f>SUBTOTAL(109,U7:U87)</f>
        <v>82375000</v>
      </c>
      <c r="V88" s="1066">
        <f>SUBTOTAL(109,V7:V87)</f>
        <v>74225000</v>
      </c>
      <c r="Y88" s="1067">
        <f>V88*1.1</f>
        <v>81647500</v>
      </c>
    </row>
    <row r="89" spans="1:31" s="833" customFormat="1" ht="13">
      <c r="A89" s="82"/>
      <c r="B89" s="82"/>
      <c r="C89" s="82"/>
      <c r="D89" s="160"/>
      <c r="E89" s="104"/>
      <c r="F89" s="104"/>
      <c r="G89" s="104"/>
      <c r="H89" s="160"/>
      <c r="I89" s="160"/>
      <c r="J89" s="160"/>
      <c r="K89" s="104"/>
      <c r="L89" s="160"/>
      <c r="M89" s="160"/>
      <c r="N89" s="104"/>
      <c r="O89" s="160"/>
      <c r="P89" s="160"/>
      <c r="Q89" s="99"/>
      <c r="R89" s="82"/>
      <c r="S89" s="82"/>
      <c r="T89" s="82"/>
      <c r="U89" s="82"/>
      <c r="V89" s="99"/>
      <c r="W89" s="82"/>
      <c r="X89" s="82"/>
      <c r="Y89" s="82"/>
      <c r="Z89" s="82"/>
      <c r="AA89" s="82"/>
      <c r="AB89" s="82"/>
      <c r="AC89" s="82"/>
      <c r="AD89" s="82"/>
      <c r="AE89" s="82"/>
    </row>
    <row r="90" spans="1:31">
      <c r="A90" s="100"/>
      <c r="B90" s="100"/>
      <c r="C90" s="100"/>
      <c r="D90" s="59"/>
      <c r="E90" s="68"/>
      <c r="F90" s="68"/>
      <c r="G90" s="68"/>
      <c r="H90" s="59"/>
      <c r="I90" s="59"/>
      <c r="J90" s="59"/>
      <c r="K90" s="68"/>
      <c r="L90" s="59"/>
      <c r="M90" s="59"/>
      <c r="N90" s="68"/>
      <c r="O90" s="59"/>
      <c r="P90" s="59"/>
      <c r="Q90" s="101"/>
      <c r="R90" s="100"/>
      <c r="S90" s="100"/>
      <c r="T90" s="100"/>
      <c r="U90" s="100"/>
      <c r="V90" s="101">
        <f>V88*1.1</f>
        <v>81647500</v>
      </c>
      <c r="W90" s="100"/>
      <c r="X90" s="100"/>
      <c r="Y90" s="100"/>
      <c r="Z90" s="100"/>
      <c r="AA90" s="100"/>
      <c r="AB90" s="100"/>
      <c r="AC90" s="100"/>
      <c r="AD90" s="100"/>
      <c r="AE90" s="100"/>
    </row>
    <row r="91" spans="1:31">
      <c r="A91" s="100"/>
      <c r="B91" s="100"/>
      <c r="C91" s="100"/>
      <c r="D91" s="59"/>
      <c r="E91" s="68"/>
      <c r="F91" s="68"/>
      <c r="G91" s="68"/>
      <c r="H91" s="59"/>
      <c r="I91" s="59"/>
      <c r="J91" s="59"/>
      <c r="K91" s="68"/>
      <c r="L91" s="59"/>
      <c r="M91" s="59"/>
      <c r="N91" s="68"/>
      <c r="O91" s="59"/>
      <c r="P91" s="59"/>
      <c r="Q91" s="101"/>
      <c r="R91" s="356"/>
      <c r="S91" s="100"/>
      <c r="T91" s="100"/>
      <c r="U91" s="100"/>
      <c r="V91" s="101"/>
      <c r="W91" s="100"/>
      <c r="X91" s="100"/>
      <c r="Y91" s="100"/>
      <c r="Z91" s="100"/>
      <c r="AA91" s="100"/>
      <c r="AB91" s="100"/>
      <c r="AC91" s="100"/>
      <c r="AD91" s="100"/>
      <c r="AE91" s="100"/>
    </row>
    <row r="92" spans="1:31">
      <c r="A92" s="100"/>
      <c r="B92" s="100"/>
      <c r="C92" s="100"/>
      <c r="D92" s="59"/>
      <c r="E92" s="68"/>
      <c r="F92" s="68"/>
      <c r="G92" s="68"/>
      <c r="H92" s="59"/>
      <c r="I92" s="59"/>
      <c r="J92" s="59"/>
      <c r="K92" s="68"/>
      <c r="L92" s="59"/>
      <c r="M92" s="59"/>
      <c r="N92" s="68"/>
      <c r="O92" s="59"/>
      <c r="P92" s="59"/>
      <c r="Q92" s="100"/>
      <c r="R92" s="356"/>
      <c r="S92" s="100"/>
      <c r="T92" s="100"/>
      <c r="U92" s="356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</row>
    <row r="93" spans="1:31">
      <c r="A93" s="100"/>
      <c r="B93" s="100"/>
      <c r="C93" s="100"/>
      <c r="D93" s="59"/>
      <c r="E93" s="68"/>
      <c r="F93" s="68"/>
      <c r="G93" s="68"/>
      <c r="H93" s="59"/>
      <c r="I93" s="59"/>
      <c r="J93" s="59"/>
      <c r="K93" s="68"/>
      <c r="L93" s="59"/>
      <c r="M93" s="59"/>
      <c r="N93" s="68"/>
      <c r="O93" s="59"/>
      <c r="P93" s="59"/>
      <c r="Q93" s="100"/>
      <c r="R93" s="100"/>
      <c r="S93" s="100"/>
      <c r="T93" s="100" t="s">
        <v>1184</v>
      </c>
      <c r="U93" s="356"/>
      <c r="V93" s="100"/>
      <c r="W93" s="975">
        <f>Q38+R38*((S38*(100-P38)/100)-4)</f>
        <v>0</v>
      </c>
      <c r="X93" s="100"/>
      <c r="Y93" s="100"/>
      <c r="Z93" s="100"/>
      <c r="AA93" s="100"/>
      <c r="AB93" s="100"/>
      <c r="AC93" s="100"/>
      <c r="AD93" s="100"/>
      <c r="AE93" s="100"/>
    </row>
    <row r="94" spans="1:31">
      <c r="A94" s="100"/>
      <c r="B94" s="100"/>
      <c r="C94" s="100"/>
      <c r="D94" s="59"/>
      <c r="E94" s="68"/>
      <c r="F94" s="68"/>
      <c r="G94" s="68"/>
      <c r="H94" s="59"/>
      <c r="I94" s="59"/>
      <c r="J94" s="59"/>
      <c r="K94" s="68"/>
      <c r="L94" s="59"/>
      <c r="M94" s="59"/>
      <c r="N94" s="68"/>
      <c r="O94" s="59"/>
      <c r="P94" s="59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100"/>
      <c r="AD94" s="100"/>
      <c r="AE94" s="100"/>
    </row>
    <row r="95" spans="1:31">
      <c r="A95" s="100"/>
      <c r="B95" s="100"/>
      <c r="C95" s="100"/>
      <c r="D95" s="59"/>
      <c r="E95" s="68"/>
      <c r="F95" s="68"/>
      <c r="G95" s="68"/>
      <c r="H95" s="59"/>
      <c r="I95" s="59"/>
      <c r="J95" s="59"/>
      <c r="K95" s="68"/>
      <c r="L95" s="59"/>
      <c r="M95" s="59"/>
      <c r="N95" s="68"/>
      <c r="O95" s="59"/>
      <c r="P95" s="59"/>
      <c r="Q95" s="101"/>
      <c r="R95" s="100"/>
      <c r="S95" s="100"/>
      <c r="T95" s="100"/>
      <c r="U95" s="100"/>
      <c r="V95" s="101"/>
      <c r="W95" s="100"/>
      <c r="X95" s="100"/>
      <c r="Y95" s="100"/>
      <c r="Z95" s="100"/>
      <c r="AA95" s="100"/>
      <c r="AB95" s="100"/>
      <c r="AC95" s="100"/>
      <c r="AD95" s="100"/>
      <c r="AE95" s="100"/>
    </row>
    <row r="96" spans="1:31">
      <c r="A96" s="100"/>
      <c r="B96" s="100"/>
      <c r="C96" s="100"/>
      <c r="D96" s="59"/>
      <c r="E96" s="68"/>
      <c r="F96" s="68"/>
      <c r="G96" s="68"/>
      <c r="H96" s="59"/>
      <c r="I96" s="59"/>
      <c r="J96" s="59"/>
      <c r="K96" s="68"/>
      <c r="L96" s="59"/>
      <c r="M96" s="59"/>
      <c r="N96" s="68" t="s">
        <v>1185</v>
      </c>
      <c r="O96" s="59"/>
      <c r="P96" s="59"/>
      <c r="Q96" s="101"/>
      <c r="R96" s="100"/>
      <c r="S96" s="100"/>
      <c r="T96" s="100"/>
      <c r="U96" s="100"/>
      <c r="V96" s="101"/>
      <c r="W96" s="100"/>
      <c r="X96" s="100"/>
      <c r="Y96" s="100"/>
      <c r="Z96" s="100"/>
      <c r="AA96" s="100"/>
      <c r="AB96" s="100"/>
      <c r="AC96" s="100"/>
      <c r="AD96" s="100"/>
      <c r="AE96" s="100"/>
    </row>
    <row r="97" spans="1:31">
      <c r="A97" s="100"/>
      <c r="B97" s="100"/>
      <c r="C97" s="100"/>
      <c r="D97" s="59"/>
      <c r="E97" s="68"/>
      <c r="F97" s="68"/>
      <c r="G97" s="68"/>
      <c r="H97" s="59"/>
      <c r="I97" s="59"/>
      <c r="J97" s="59"/>
      <c r="K97" s="68"/>
      <c r="L97" s="59"/>
      <c r="M97" s="59"/>
      <c r="N97" s="68" t="s">
        <v>1186</v>
      </c>
      <c r="O97" s="59"/>
      <c r="P97" s="59"/>
      <c r="Q97" s="101"/>
      <c r="R97" s="100"/>
      <c r="S97" s="100"/>
      <c r="T97" s="100"/>
      <c r="U97" s="100"/>
      <c r="V97" s="101"/>
      <c r="W97" s="100"/>
      <c r="X97" s="100"/>
      <c r="Y97" s="100"/>
      <c r="Z97" s="100"/>
      <c r="AA97" s="100"/>
      <c r="AB97" s="100"/>
      <c r="AC97" s="100"/>
      <c r="AD97" s="100"/>
      <c r="AE97" s="100"/>
    </row>
    <row r="98" spans="1:31">
      <c r="A98" s="100"/>
      <c r="B98" s="100"/>
      <c r="C98" s="100"/>
      <c r="D98" s="59"/>
      <c r="E98" s="68"/>
      <c r="F98" s="68"/>
      <c r="G98" s="68"/>
      <c r="H98" s="59"/>
      <c r="I98" s="59"/>
      <c r="J98" s="59"/>
      <c r="K98" s="68"/>
      <c r="L98" s="59"/>
      <c r="M98" s="59"/>
      <c r="N98" s="68"/>
      <c r="O98" s="59"/>
      <c r="P98" s="59"/>
      <c r="Q98" s="101"/>
      <c r="R98" s="100"/>
      <c r="S98" s="100"/>
      <c r="T98" s="100"/>
      <c r="U98" s="100"/>
      <c r="V98" s="101"/>
      <c r="W98" s="100"/>
      <c r="X98" s="100"/>
      <c r="Y98" s="100"/>
      <c r="Z98" s="100"/>
      <c r="AA98" s="100"/>
      <c r="AB98" s="100"/>
      <c r="AC98" s="100"/>
      <c r="AD98" s="100"/>
      <c r="AE98" s="100"/>
    </row>
    <row r="99" spans="1:31">
      <c r="A99" s="100"/>
      <c r="B99" s="100"/>
      <c r="C99" s="100"/>
      <c r="D99" s="59"/>
      <c r="E99" s="68"/>
      <c r="F99" s="68"/>
      <c r="G99" s="68"/>
      <c r="H99" s="59"/>
      <c r="I99" s="59"/>
      <c r="J99" s="59"/>
      <c r="K99" s="68"/>
      <c r="L99" s="59"/>
      <c r="M99" s="59"/>
      <c r="N99" s="68"/>
      <c r="O99" s="59"/>
      <c r="P99" s="59"/>
      <c r="Q99" s="101"/>
      <c r="R99" s="100"/>
      <c r="S99" s="100"/>
      <c r="T99" s="100"/>
      <c r="U99" s="100"/>
      <c r="V99" s="101"/>
      <c r="W99" s="100"/>
      <c r="X99" s="100"/>
      <c r="Y99" s="100"/>
      <c r="Z99" s="100"/>
      <c r="AA99" s="100"/>
      <c r="AB99" s="100"/>
      <c r="AC99" s="100"/>
      <c r="AD99" s="100"/>
      <c r="AE99" s="100"/>
    </row>
    <row r="100" spans="1:31">
      <c r="A100" s="100"/>
      <c r="B100" s="100"/>
      <c r="C100" s="100"/>
      <c r="D100" s="59"/>
      <c r="E100" s="68"/>
      <c r="F100" s="68"/>
      <c r="G100" s="68"/>
      <c r="H100" s="59"/>
      <c r="I100" s="59"/>
      <c r="J100" s="59"/>
      <c r="K100" s="68"/>
      <c r="L100" s="59"/>
      <c r="M100" s="59"/>
      <c r="N100" s="68"/>
      <c r="O100" s="59"/>
      <c r="P100" s="59"/>
      <c r="Q100" s="101"/>
      <c r="R100" s="100"/>
      <c r="S100" s="100"/>
      <c r="T100" s="100"/>
      <c r="U100" s="100"/>
      <c r="V100" s="101"/>
      <c r="W100" s="100"/>
      <c r="X100" s="100"/>
      <c r="Y100" s="100"/>
      <c r="Z100" s="100"/>
      <c r="AA100" s="100"/>
      <c r="AB100" s="100"/>
      <c r="AC100" s="100"/>
      <c r="AD100" s="100"/>
      <c r="AE100" s="100"/>
    </row>
  </sheetData>
  <autoFilter ref="A6:AE87" xr:uid="{1028D278-910A-4D41-890F-0D5DC76C3F25}">
    <filterColumn colId="14">
      <filters blank="1">
        <filter val="APPROVED"/>
      </filters>
    </filterColumn>
    <sortState xmlns:xlrd2="http://schemas.microsoft.com/office/spreadsheetml/2017/richdata2" ref="A7:AE87">
      <sortCondition descending="1" ref="E6:E87"/>
    </sortState>
  </autoFilter>
  <pageMargins left="0.7" right="0.7" top="0.75" bottom="0.75" header="0.3" footer="0.3"/>
  <pageSetup scale="27" fitToHeight="0"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4361-EF6F-4C00-9F02-266EF3D7C9FB}">
  <sheetPr codeName="Sheet26" filterMode="1">
    <pageSetUpPr fitToPage="1"/>
  </sheetPr>
  <dimension ref="A1:AF100"/>
  <sheetViews>
    <sheetView topLeftCell="A17" zoomScale="90" zoomScaleNormal="90" workbookViewId="0">
      <selection activeCell="Q20" sqref="Q20"/>
    </sheetView>
  </sheetViews>
  <sheetFormatPr defaultColWidth="9.1796875" defaultRowHeight="14.5"/>
  <cols>
    <col min="1" max="2" width="8.81640625" style="830" customWidth="1"/>
    <col min="3" max="3" width="8.81640625" style="830" bestFit="1" customWidth="1"/>
    <col min="4" max="4" width="27.26953125" style="838" customWidth="1"/>
    <col min="5" max="5" width="13.81640625" style="837" customWidth="1"/>
    <col min="6" max="6" width="10.81640625" style="837" bestFit="1" customWidth="1"/>
    <col min="7" max="7" width="10" style="837" customWidth="1"/>
    <col min="8" max="8" width="38.26953125" style="838" customWidth="1"/>
    <col min="9" max="9" width="13.81640625" style="838" hidden="1" customWidth="1"/>
    <col min="10" max="10" width="9.7265625" style="838" hidden="1" customWidth="1"/>
    <col min="11" max="11" width="9.26953125" style="837" hidden="1" customWidth="1"/>
    <col min="12" max="12" width="13.1796875" style="838" customWidth="1"/>
    <col min="13" max="13" width="15" style="838" customWidth="1"/>
    <col min="14" max="14" width="22.26953125" style="837" customWidth="1"/>
    <col min="15" max="15" width="12.54296875" style="838" customWidth="1"/>
    <col min="16" max="16" width="9.1796875" style="838" bestFit="1" customWidth="1"/>
    <col min="17" max="17" width="13.26953125" style="839" customWidth="1"/>
    <col min="18" max="18" width="11.26953125" style="830" bestFit="1" customWidth="1"/>
    <col min="19" max="19" width="9.1796875" style="830" bestFit="1" customWidth="1"/>
    <col min="20" max="20" width="9.1796875" style="830" customWidth="1"/>
    <col min="21" max="21" width="9.1796875" style="830" bestFit="1" customWidth="1"/>
    <col min="22" max="22" width="16.54296875" style="830" customWidth="1"/>
    <col min="23" max="23" width="14.26953125" style="839" customWidth="1"/>
    <col min="24" max="24" width="13.1796875" style="830" bestFit="1" customWidth="1"/>
    <col min="25" max="25" width="28.1796875" style="830" customWidth="1"/>
    <col min="26" max="26" width="13.7265625" style="830" customWidth="1"/>
    <col min="27" max="30" width="9.1796875" style="830" customWidth="1"/>
    <col min="31" max="16384" width="9.1796875" style="830"/>
  </cols>
  <sheetData>
    <row r="1" spans="1:32">
      <c r="A1" s="100"/>
      <c r="B1" s="100"/>
      <c r="C1" s="100"/>
      <c r="D1" s="59"/>
      <c r="E1" s="68"/>
      <c r="F1" s="68"/>
      <c r="G1" s="68"/>
      <c r="H1" s="59"/>
      <c r="I1" s="59"/>
      <c r="J1" s="59"/>
      <c r="K1" s="68"/>
      <c r="L1" s="59"/>
      <c r="M1" s="59"/>
      <c r="N1" s="68"/>
      <c r="O1" s="59"/>
      <c r="P1" s="59"/>
      <c r="Q1" s="101"/>
      <c r="R1" s="100"/>
      <c r="S1" s="100"/>
      <c r="T1" s="100"/>
      <c r="U1" s="100"/>
      <c r="V1" s="100"/>
      <c r="W1" s="101"/>
      <c r="X1" s="100"/>
      <c r="Y1" s="100"/>
      <c r="Z1" s="100"/>
      <c r="AA1" s="100"/>
      <c r="AB1" s="100"/>
      <c r="AC1" s="100"/>
      <c r="AD1" s="100"/>
      <c r="AE1" s="100"/>
      <c r="AF1" s="100"/>
    </row>
    <row r="2" spans="1:32" s="831" customFormat="1" ht="20.25" customHeight="1">
      <c r="A2" s="52" t="s">
        <v>0</v>
      </c>
      <c r="B2" s="52"/>
      <c r="C2" s="52"/>
      <c r="D2" s="390"/>
      <c r="E2" s="391"/>
      <c r="F2" s="391"/>
      <c r="G2" s="391"/>
      <c r="H2" s="390"/>
      <c r="I2" s="52"/>
      <c r="J2" s="389"/>
      <c r="K2" s="391"/>
      <c r="L2" s="390"/>
      <c r="M2" s="390"/>
      <c r="N2" s="391"/>
      <c r="O2" s="390"/>
      <c r="P2" s="390"/>
      <c r="Q2" s="52"/>
      <c r="R2" s="52"/>
      <c r="S2" s="52"/>
      <c r="T2" s="52"/>
      <c r="U2" s="52"/>
      <c r="V2" s="52"/>
      <c r="W2" s="53"/>
      <c r="X2" s="54"/>
      <c r="Y2" s="52"/>
      <c r="Z2" s="435"/>
      <c r="AA2" s="56"/>
      <c r="AB2" s="57"/>
      <c r="AC2" s="57"/>
      <c r="AD2" s="57"/>
      <c r="AE2" s="58"/>
      <c r="AF2" s="59" t="s">
        <v>1</v>
      </c>
    </row>
    <row r="3" spans="1:32" s="831" customFormat="1" ht="20.25" customHeight="1">
      <c r="A3" s="60" t="s">
        <v>2</v>
      </c>
      <c r="B3" s="60"/>
      <c r="C3" s="60"/>
      <c r="D3" s="393"/>
      <c r="E3" s="394"/>
      <c r="F3" s="394"/>
      <c r="G3" s="394"/>
      <c r="H3" s="393"/>
      <c r="I3" s="60"/>
      <c r="J3" s="392"/>
      <c r="K3" s="394"/>
      <c r="L3" s="393"/>
      <c r="M3" s="393"/>
      <c r="N3" s="394"/>
      <c r="O3" s="393"/>
      <c r="P3" s="393"/>
      <c r="Q3" s="60"/>
      <c r="R3" s="60"/>
      <c r="S3" s="60"/>
      <c r="T3" s="60"/>
      <c r="U3" s="60"/>
      <c r="V3" s="60"/>
      <c r="W3" s="61"/>
      <c r="X3" s="62"/>
      <c r="Y3" s="60"/>
      <c r="Z3" s="63"/>
      <c r="AA3" s="56"/>
      <c r="AB3" s="57"/>
      <c r="AC3" s="57"/>
      <c r="AD3" s="57"/>
      <c r="AE3" s="64"/>
      <c r="AF3" s="59" t="s">
        <v>3</v>
      </c>
    </row>
    <row r="4" spans="1:32" s="831" customFormat="1" ht="20.25" customHeight="1">
      <c r="A4" s="60" t="s">
        <v>1412</v>
      </c>
      <c r="B4" s="60"/>
      <c r="C4" s="60"/>
      <c r="D4" s="393"/>
      <c r="E4" s="394"/>
      <c r="F4" s="394"/>
      <c r="G4" s="394"/>
      <c r="H4" s="393"/>
      <c r="I4" s="60"/>
      <c r="J4" s="392"/>
      <c r="K4" s="394"/>
      <c r="L4" s="393"/>
      <c r="M4" s="393"/>
      <c r="N4" s="394"/>
      <c r="O4" s="393"/>
      <c r="P4" s="393"/>
      <c r="Q4" s="60"/>
      <c r="R4" s="60"/>
      <c r="S4" s="60"/>
      <c r="T4" s="60"/>
      <c r="U4" s="60"/>
      <c r="V4" s="60"/>
      <c r="W4" s="61"/>
      <c r="X4" s="62"/>
      <c r="Y4" s="60"/>
      <c r="Z4" s="63"/>
      <c r="AA4" s="56"/>
      <c r="AB4" s="57"/>
      <c r="AC4" s="57"/>
      <c r="AD4" s="57"/>
      <c r="AE4" s="65"/>
      <c r="AF4" s="59" t="s">
        <v>5</v>
      </c>
    </row>
    <row r="5" spans="1:32" s="831" customFormat="1" ht="6" customHeight="1">
      <c r="A5" s="57"/>
      <c r="B5" s="57"/>
      <c r="C5" s="57"/>
      <c r="D5" s="66"/>
      <c r="E5" s="67"/>
      <c r="F5" s="67"/>
      <c r="G5" s="67"/>
      <c r="H5" s="66"/>
      <c r="I5" s="66"/>
      <c r="J5" s="66"/>
      <c r="K5" s="67"/>
      <c r="L5" s="66"/>
      <c r="M5" s="59"/>
      <c r="N5" s="68"/>
      <c r="O5" s="59"/>
      <c r="P5" s="66"/>
      <c r="Q5" s="69"/>
      <c r="R5" s="56"/>
      <c r="S5" s="56"/>
      <c r="T5" s="56"/>
      <c r="U5" s="56"/>
      <c r="V5" s="67"/>
      <c r="W5" s="69"/>
      <c r="X5" s="70"/>
      <c r="Y5" s="56"/>
      <c r="Z5" s="71"/>
      <c r="AA5" s="56"/>
      <c r="AB5" s="57"/>
      <c r="AC5" s="57"/>
      <c r="AD5" s="57"/>
      <c r="AE5" s="57"/>
      <c r="AF5" s="57"/>
    </row>
    <row r="6" spans="1:32" s="832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1143</v>
      </c>
      <c r="I6" s="161" t="s">
        <v>13</v>
      </c>
      <c r="J6" s="159" t="s">
        <v>14</v>
      </c>
      <c r="K6" s="74" t="s">
        <v>15</v>
      </c>
      <c r="L6" s="159" t="s">
        <v>16</v>
      </c>
      <c r="M6" s="159" t="s">
        <v>17</v>
      </c>
      <c r="N6" s="75" t="s">
        <v>18</v>
      </c>
      <c r="O6" s="1089" t="s">
        <v>19</v>
      </c>
      <c r="P6" s="159" t="s">
        <v>20</v>
      </c>
      <c r="Q6" s="136" t="s">
        <v>21</v>
      </c>
      <c r="R6" s="74" t="s">
        <v>22</v>
      </c>
      <c r="S6" s="74" t="s">
        <v>23</v>
      </c>
      <c r="T6" s="134" t="s">
        <v>1145</v>
      </c>
      <c r="U6" s="74" t="s">
        <v>24</v>
      </c>
      <c r="V6" s="663" t="s">
        <v>25</v>
      </c>
      <c r="W6" s="74" t="s">
        <v>1146</v>
      </c>
      <c r="X6" s="79"/>
      <c r="Y6" s="79"/>
      <c r="Z6" s="79"/>
      <c r="AA6" s="72" t="s">
        <v>27</v>
      </c>
      <c r="AB6" s="80" t="s">
        <v>28</v>
      </c>
      <c r="AC6" s="74" t="s">
        <v>29</v>
      </c>
      <c r="AD6" s="72" t="s">
        <v>30</v>
      </c>
      <c r="AE6" s="79"/>
      <c r="AF6" s="79"/>
    </row>
    <row r="7" spans="1:32" s="1375" customFormat="1" ht="13">
      <c r="A7" s="1359"/>
      <c r="B7" s="1360">
        <v>1</v>
      </c>
      <c r="C7" s="1361" t="s">
        <v>1413</v>
      </c>
      <c r="D7" s="1362" t="s">
        <v>32</v>
      </c>
      <c r="E7" s="1361" t="s">
        <v>1414</v>
      </c>
      <c r="F7" s="1363">
        <v>1400</v>
      </c>
      <c r="G7" s="1363">
        <v>1700</v>
      </c>
      <c r="H7" s="1362" t="s">
        <v>1415</v>
      </c>
      <c r="I7" s="1364" t="s">
        <v>35</v>
      </c>
      <c r="J7" s="1364" t="s">
        <v>36</v>
      </c>
      <c r="K7" s="1361" t="s">
        <v>37</v>
      </c>
      <c r="L7" s="1365" t="s">
        <v>38</v>
      </c>
      <c r="M7" s="1366"/>
      <c r="N7" s="1367" t="s">
        <v>1416</v>
      </c>
      <c r="O7" s="1362" t="s">
        <v>40</v>
      </c>
      <c r="P7" s="1368"/>
      <c r="Q7" s="1401">
        <f t="shared" ref="Q7:Q13" si="0">IF((S7-T7)&gt;=8,R7*6,IF(AND((S7-T7)&lt;8,(S7-T7)&gt;=4),R7*3,0))</f>
        <v>0</v>
      </c>
      <c r="R7" s="1369">
        <v>950000</v>
      </c>
      <c r="S7" s="1430">
        <f>(G7-F7)/100</f>
        <v>3</v>
      </c>
      <c r="T7" s="1403">
        <v>3</v>
      </c>
      <c r="U7" s="1714"/>
      <c r="V7" s="1369">
        <f t="shared" ref="V7:V38" si="1">S7*R7*(100-P7)/100</f>
        <v>2850000</v>
      </c>
      <c r="W7" s="1371">
        <f>(Q7+(((S7-T7)-0)*R7))*((100-P7)/100)</f>
        <v>0</v>
      </c>
      <c r="X7" s="1372"/>
      <c r="Y7" s="1372"/>
      <c r="Z7" s="1372"/>
      <c r="AA7" s="1372"/>
      <c r="AB7" s="1373"/>
      <c r="AC7" s="1374"/>
      <c r="AD7" s="1372"/>
      <c r="AE7" s="1372"/>
      <c r="AF7" s="1372"/>
    </row>
    <row r="8" spans="1:32" s="1389" customFormat="1" ht="13" hidden="1">
      <c r="A8" s="1376"/>
      <c r="B8" s="1377">
        <v>2</v>
      </c>
      <c r="C8" s="1378" t="s">
        <v>1417</v>
      </c>
      <c r="D8" s="1379" t="s">
        <v>43</v>
      </c>
      <c r="E8" s="1378" t="s">
        <v>1414</v>
      </c>
      <c r="F8" s="1380">
        <v>1000</v>
      </c>
      <c r="G8" s="1380">
        <v>1100</v>
      </c>
      <c r="H8" s="1381" t="s">
        <v>1418</v>
      </c>
      <c r="I8" s="1364" t="s">
        <v>35</v>
      </c>
      <c r="J8" s="1364" t="s">
        <v>36</v>
      </c>
      <c r="K8" s="1361" t="s">
        <v>76</v>
      </c>
      <c r="L8" s="1381"/>
      <c r="M8" s="1382"/>
      <c r="N8" s="1383" t="s">
        <v>1419</v>
      </c>
      <c r="O8" s="1381" t="s">
        <v>174</v>
      </c>
      <c r="P8" s="1384"/>
      <c r="Q8" s="1384"/>
      <c r="R8" s="1384"/>
      <c r="S8" s="1370">
        <f t="shared" ref="S8:S71" si="2">(G8-F8)/100</f>
        <v>1</v>
      </c>
      <c r="T8" s="1480"/>
      <c r="U8" s="1381"/>
      <c r="V8" s="1384">
        <f t="shared" si="1"/>
        <v>0</v>
      </c>
      <c r="W8" s="1385">
        <f>(Q8+((S8-0)*R8))*((100-P8)/100)</f>
        <v>0</v>
      </c>
      <c r="X8" s="1386"/>
      <c r="Y8" s="1387"/>
      <c r="Z8" s="1386"/>
      <c r="AA8" s="1388"/>
      <c r="AB8" s="1388"/>
      <c r="AC8" s="1388"/>
      <c r="AD8" s="1388"/>
      <c r="AE8" s="1388"/>
      <c r="AF8" s="1388"/>
    </row>
    <row r="9" spans="1:32" s="1375" customFormat="1">
      <c r="A9" s="1359"/>
      <c r="B9" s="1390">
        <v>3</v>
      </c>
      <c r="C9" s="1391">
        <v>4678</v>
      </c>
      <c r="D9" s="1365" t="s">
        <v>43</v>
      </c>
      <c r="E9" s="1392" t="s">
        <v>1414</v>
      </c>
      <c r="F9" s="1393" t="s">
        <v>1397</v>
      </c>
      <c r="G9" s="1394" t="s">
        <v>1398</v>
      </c>
      <c r="H9" s="1395" t="s">
        <v>1420</v>
      </c>
      <c r="I9" s="1396" t="s">
        <v>35</v>
      </c>
      <c r="J9" s="1397" t="s">
        <v>36</v>
      </c>
      <c r="K9" s="1398" t="s">
        <v>133</v>
      </c>
      <c r="L9" s="1399" t="s">
        <v>1221</v>
      </c>
      <c r="M9" s="1400"/>
      <c r="N9" s="1401" t="s">
        <v>1421</v>
      </c>
      <c r="O9" s="1395" t="s">
        <v>40</v>
      </c>
      <c r="P9" s="1395"/>
      <c r="Q9" s="1401">
        <f t="shared" si="0"/>
        <v>0</v>
      </c>
      <c r="R9" s="1402">
        <v>500000</v>
      </c>
      <c r="S9" s="1430">
        <f t="shared" si="2"/>
        <v>1</v>
      </c>
      <c r="T9" s="1403">
        <v>0</v>
      </c>
      <c r="U9" s="1701"/>
      <c r="V9" s="1401">
        <f t="shared" si="1"/>
        <v>500000</v>
      </c>
      <c r="W9" s="1371">
        <f t="shared" ref="W9" si="3">(Q9+(((S9-T9)-0)*R9))*((100-P9)/100)</f>
        <v>500000</v>
      </c>
      <c r="X9" s="1405"/>
      <c r="Y9" s="1405"/>
      <c r="Z9" s="1405"/>
      <c r="AA9" s="1405"/>
      <c r="AB9" s="1405"/>
      <c r="AC9" s="1405"/>
      <c r="AD9" s="1405"/>
      <c r="AE9" s="1405"/>
      <c r="AF9" s="1405"/>
    </row>
    <row r="10" spans="1:32" s="1420" customFormat="1" ht="13">
      <c r="A10" s="1359"/>
      <c r="B10" s="1360">
        <v>4</v>
      </c>
      <c r="C10" s="1361" t="s">
        <v>1422</v>
      </c>
      <c r="D10" s="1406" t="s">
        <v>43</v>
      </c>
      <c r="E10" s="1361" t="s">
        <v>1423</v>
      </c>
      <c r="F10" s="1363">
        <v>900</v>
      </c>
      <c r="G10" s="1363">
        <v>1800</v>
      </c>
      <c r="H10" s="1408" t="s">
        <v>1132</v>
      </c>
      <c r="I10" s="1364" t="s">
        <v>35</v>
      </c>
      <c r="J10" s="1364" t="s">
        <v>36</v>
      </c>
      <c r="K10" s="1361" t="s">
        <v>76</v>
      </c>
      <c r="L10" s="1409" t="s">
        <v>1221</v>
      </c>
      <c r="M10" s="1410"/>
      <c r="N10" s="1411" t="s">
        <v>1424</v>
      </c>
      <c r="O10" s="1412" t="s">
        <v>40</v>
      </c>
      <c r="P10" s="1409"/>
      <c r="Q10" s="1401">
        <f t="shared" si="0"/>
        <v>3000000</v>
      </c>
      <c r="R10" s="1402">
        <v>500000</v>
      </c>
      <c r="S10" s="1430">
        <f t="shared" si="2"/>
        <v>9</v>
      </c>
      <c r="T10" s="1403">
        <v>0</v>
      </c>
      <c r="U10" s="1700"/>
      <c r="V10" s="1414">
        <f t="shared" si="1"/>
        <v>4500000</v>
      </c>
      <c r="W10" s="1371">
        <f>(Q10+(((S10-T10)-8)*R10))*((100-P10)/100)</f>
        <v>3500000</v>
      </c>
      <c r="X10" s="1417"/>
      <c r="Y10" s="1418"/>
      <c r="Z10" s="1417"/>
      <c r="AA10" s="1419"/>
      <c r="AB10" s="1419"/>
      <c r="AC10" s="1419"/>
      <c r="AD10" s="1419"/>
      <c r="AE10" s="1419"/>
      <c r="AF10" s="1419"/>
    </row>
    <row r="11" spans="1:32" s="1420" customFormat="1" ht="13">
      <c r="A11" s="1359"/>
      <c r="B11" s="1360">
        <v>5</v>
      </c>
      <c r="C11" s="1361" t="s">
        <v>1425</v>
      </c>
      <c r="D11" s="1362" t="s">
        <v>43</v>
      </c>
      <c r="E11" s="1361" t="s">
        <v>1426</v>
      </c>
      <c r="F11" s="1363">
        <v>1030</v>
      </c>
      <c r="G11" s="1363">
        <v>1200</v>
      </c>
      <c r="H11" s="1362" t="s">
        <v>1427</v>
      </c>
      <c r="I11" s="1364" t="s">
        <v>35</v>
      </c>
      <c r="J11" s="1364" t="s">
        <v>36</v>
      </c>
      <c r="K11" s="1361" t="s">
        <v>76</v>
      </c>
      <c r="L11" s="1365" t="s">
        <v>124</v>
      </c>
      <c r="M11" s="1366"/>
      <c r="N11" s="1367" t="s">
        <v>1428</v>
      </c>
      <c r="O11" s="1362" t="s">
        <v>40</v>
      </c>
      <c r="P11" s="1365"/>
      <c r="Q11" s="1401">
        <f t="shared" si="0"/>
        <v>0</v>
      </c>
      <c r="R11" s="1402">
        <v>500000</v>
      </c>
      <c r="S11" s="1430">
        <f>(G11-1050)/100</f>
        <v>1.5</v>
      </c>
      <c r="T11" s="1403">
        <v>0</v>
      </c>
      <c r="U11" s="1715"/>
      <c r="V11" s="1369">
        <f t="shared" si="1"/>
        <v>750000</v>
      </c>
      <c r="W11" s="1371">
        <f>(Q11+((S11-0)*R11))*((100-P11)/100)</f>
        <v>750000</v>
      </c>
      <c r="X11" s="1419"/>
      <c r="Y11" s="1419"/>
      <c r="Z11" s="1419"/>
      <c r="AA11" s="1419"/>
      <c r="AB11" s="1419"/>
      <c r="AC11" s="1419"/>
      <c r="AD11" s="1419"/>
      <c r="AE11" s="1419"/>
      <c r="AF11" s="1419"/>
    </row>
    <row r="12" spans="1:32" s="1420" customFormat="1" ht="14">
      <c r="A12" s="1359"/>
      <c r="B12" s="1360">
        <v>6</v>
      </c>
      <c r="C12" s="1361" t="s">
        <v>1429</v>
      </c>
      <c r="D12" s="1362" t="s">
        <v>75</v>
      </c>
      <c r="E12" s="1361" t="s">
        <v>1430</v>
      </c>
      <c r="F12" s="1363">
        <v>1600</v>
      </c>
      <c r="G12" s="1363">
        <v>1700</v>
      </c>
      <c r="H12" s="1362" t="s">
        <v>1304</v>
      </c>
      <c r="I12" s="1364" t="s">
        <v>35</v>
      </c>
      <c r="J12" s="1364" t="s">
        <v>36</v>
      </c>
      <c r="K12" s="1361" t="s">
        <v>56</v>
      </c>
      <c r="L12" s="1365" t="s">
        <v>72</v>
      </c>
      <c r="M12" s="1366"/>
      <c r="N12" s="1367" t="s">
        <v>1431</v>
      </c>
      <c r="O12" s="1362" t="s">
        <v>40</v>
      </c>
      <c r="P12" s="1423"/>
      <c r="Q12" s="1401">
        <f t="shared" si="0"/>
        <v>0</v>
      </c>
      <c r="R12" s="1402">
        <v>500000</v>
      </c>
      <c r="S12" s="1430">
        <f t="shared" si="2"/>
        <v>1</v>
      </c>
      <c r="T12" s="1403">
        <v>0</v>
      </c>
      <c r="U12" s="1702"/>
      <c r="V12" s="1424">
        <f t="shared" si="1"/>
        <v>500000</v>
      </c>
      <c r="W12" s="1695">
        <f>(Q12+((S12-0)*R12))*((100-P12)/100)</f>
        <v>500000</v>
      </c>
      <c r="X12" s="1417"/>
      <c r="Y12" s="1426"/>
      <c r="Z12" s="1417"/>
      <c r="AA12" s="1419"/>
      <c r="AB12" s="1419"/>
      <c r="AC12" s="1419"/>
      <c r="AD12" s="1419"/>
      <c r="AE12" s="1419"/>
      <c r="AF12" s="1419"/>
    </row>
    <row r="13" spans="1:32" s="1420" customFormat="1" ht="13">
      <c r="A13" s="1427"/>
      <c r="B13" s="1360">
        <v>7</v>
      </c>
      <c r="C13" s="1361" t="s">
        <v>1432</v>
      </c>
      <c r="D13" s="1362" t="s">
        <v>75</v>
      </c>
      <c r="E13" s="1361" t="s">
        <v>1430</v>
      </c>
      <c r="F13" s="1363">
        <v>1400</v>
      </c>
      <c r="G13" s="1363">
        <v>1500</v>
      </c>
      <c r="H13" s="1362" t="s">
        <v>1304</v>
      </c>
      <c r="I13" s="1364" t="s">
        <v>35</v>
      </c>
      <c r="J13" s="1364" t="s">
        <v>36</v>
      </c>
      <c r="K13" s="1361" t="s">
        <v>56</v>
      </c>
      <c r="L13" s="1365" t="s">
        <v>72</v>
      </c>
      <c r="M13" s="1366"/>
      <c r="N13" s="1367" t="s">
        <v>1433</v>
      </c>
      <c r="O13" s="1428" t="s">
        <v>40</v>
      </c>
      <c r="P13" s="1429"/>
      <c r="Q13" s="1401">
        <f t="shared" si="0"/>
        <v>0</v>
      </c>
      <c r="R13" s="1402">
        <v>500000</v>
      </c>
      <c r="S13" s="1430">
        <f t="shared" si="2"/>
        <v>1</v>
      </c>
      <c r="T13" s="1403">
        <v>0</v>
      </c>
      <c r="U13" s="1703"/>
      <c r="V13" s="1401">
        <f t="shared" si="1"/>
        <v>500000</v>
      </c>
      <c r="W13" s="1402">
        <f>(Q13+((S13-0)*R13))*((100-P13)/100)</f>
        <v>500000</v>
      </c>
      <c r="X13" s="1432"/>
      <c r="Y13" s="1433"/>
      <c r="Z13" s="1372"/>
      <c r="AA13" s="1372"/>
      <c r="AB13" s="1373"/>
      <c r="AC13" s="1374"/>
      <c r="AD13" s="1372"/>
      <c r="AE13" s="1372"/>
      <c r="AF13" s="1372"/>
    </row>
    <row r="14" spans="1:32" s="1420" customFormat="1" ht="14.5" customHeight="1">
      <c r="A14" s="1434"/>
      <c r="B14" s="1360">
        <v>8</v>
      </c>
      <c r="C14" s="1361" t="s">
        <v>1434</v>
      </c>
      <c r="D14" s="1406" t="s">
        <v>32</v>
      </c>
      <c r="E14" s="1361" t="s">
        <v>1426</v>
      </c>
      <c r="F14" s="1363">
        <v>1600</v>
      </c>
      <c r="G14" s="1363">
        <v>1730</v>
      </c>
      <c r="H14" s="1362" t="s">
        <v>1132</v>
      </c>
      <c r="I14" s="1364" t="s">
        <v>35</v>
      </c>
      <c r="J14" s="1364" t="s">
        <v>36</v>
      </c>
      <c r="K14" s="1361" t="s">
        <v>167</v>
      </c>
      <c r="L14" s="1365" t="s">
        <v>1221</v>
      </c>
      <c r="M14" s="1366"/>
      <c r="N14" s="1367" t="s">
        <v>1435</v>
      </c>
      <c r="O14" s="1406" t="s">
        <v>40</v>
      </c>
      <c r="P14" s="1435"/>
      <c r="Q14" s="1401">
        <f>IF((S14-T14)&gt;=8,R14*6,IF(AND((S14-T14)&lt;8,(S14-T14)&gt;=4),R14*3,0))</f>
        <v>0</v>
      </c>
      <c r="R14" s="1369">
        <v>950000</v>
      </c>
      <c r="S14" s="1430">
        <f>(1750-F14)/100</f>
        <v>1.5</v>
      </c>
      <c r="T14" s="1403">
        <v>0</v>
      </c>
      <c r="U14" s="1716"/>
      <c r="V14" s="1437">
        <f t="shared" si="1"/>
        <v>1425000</v>
      </c>
      <c r="W14" s="1371">
        <f>(Q14+(((S14-T14)-0)*R14))*((100-P14)/100)</f>
        <v>1425000</v>
      </c>
      <c r="X14" s="1417"/>
      <c r="Y14" s="1431">
        <f>(Q14+((S14-0)*R14))*((100-P14)/100)</f>
        <v>1425000</v>
      </c>
      <c r="Z14" s="1417"/>
      <c r="AA14" s="1419"/>
      <c r="AB14" s="1419"/>
      <c r="AC14" s="1419"/>
      <c r="AD14" s="1419"/>
      <c r="AE14" s="1419"/>
      <c r="AF14" s="1419"/>
    </row>
    <row r="15" spans="1:32" s="1420" customFormat="1" ht="13">
      <c r="A15" s="1359"/>
      <c r="B15" s="1360">
        <v>9</v>
      </c>
      <c r="C15" s="1361" t="s">
        <v>1436</v>
      </c>
      <c r="D15" s="1362" t="s">
        <v>32</v>
      </c>
      <c r="E15" s="1361" t="s">
        <v>1426</v>
      </c>
      <c r="F15" s="1363">
        <v>1000</v>
      </c>
      <c r="G15" s="1363">
        <v>1130</v>
      </c>
      <c r="H15" s="1362" t="s">
        <v>1132</v>
      </c>
      <c r="I15" s="1364" t="s">
        <v>35</v>
      </c>
      <c r="J15" s="1364" t="s">
        <v>36</v>
      </c>
      <c r="K15" s="1361" t="s">
        <v>167</v>
      </c>
      <c r="L15" s="1365" t="s">
        <v>1221</v>
      </c>
      <c r="M15" s="1366"/>
      <c r="N15" s="1367" t="s">
        <v>1437</v>
      </c>
      <c r="O15" s="1362" t="s">
        <v>40</v>
      </c>
      <c r="P15" s="1368"/>
      <c r="Q15" s="1401">
        <f>IF((S15-T15)&gt;=8,R15*6,IF(AND((S15-T15)&lt;8,(S15-T15)&gt;=4),R15*3,0))</f>
        <v>0</v>
      </c>
      <c r="R15" s="1369">
        <v>950000</v>
      </c>
      <c r="S15" s="1430">
        <f>(1750-F15)/100</f>
        <v>7.5</v>
      </c>
      <c r="T15" s="1403">
        <v>5</v>
      </c>
      <c r="U15" s="1714"/>
      <c r="V15" s="1369">
        <f t="shared" si="1"/>
        <v>7125000</v>
      </c>
      <c r="W15" s="1371">
        <f>(Q15+(((S15-T15)-0)*R15))*((100-P15)/100)</f>
        <v>2375000</v>
      </c>
      <c r="X15" s="1372"/>
      <c r="Y15" s="1372"/>
      <c r="Z15" s="1372"/>
      <c r="AA15" s="1372"/>
      <c r="AB15" s="1373"/>
      <c r="AC15" s="1374"/>
      <c r="AD15" s="1372"/>
      <c r="AE15" s="1372"/>
      <c r="AF15" s="1372"/>
    </row>
    <row r="16" spans="1:32" s="1420" customFormat="1" ht="13">
      <c r="A16" s="1360"/>
      <c r="B16" s="1360">
        <v>10</v>
      </c>
      <c r="C16" s="1361" t="s">
        <v>1438</v>
      </c>
      <c r="D16" s="1362" t="s">
        <v>43</v>
      </c>
      <c r="E16" s="1361" t="s">
        <v>1439</v>
      </c>
      <c r="F16" s="1363">
        <v>1400</v>
      </c>
      <c r="G16" s="1363">
        <v>1500</v>
      </c>
      <c r="H16" s="1362" t="s">
        <v>1440</v>
      </c>
      <c r="I16" s="1364" t="s">
        <v>35</v>
      </c>
      <c r="J16" s="1364" t="s">
        <v>36</v>
      </c>
      <c r="K16" s="1361" t="s">
        <v>76</v>
      </c>
      <c r="L16" s="1365" t="s">
        <v>72</v>
      </c>
      <c r="M16" s="1366"/>
      <c r="N16" s="1367" t="s">
        <v>1441</v>
      </c>
      <c r="O16" s="1362" t="s">
        <v>40</v>
      </c>
      <c r="P16" s="1362"/>
      <c r="Q16" s="1401">
        <f>IF((S16-T16)&gt;=8,R16*6,IF(AND((S16-T16)&lt;8,(S16-T16)&gt;=4),R16*3,0))</f>
        <v>0</v>
      </c>
      <c r="R16" s="1402">
        <v>500000</v>
      </c>
      <c r="S16" s="1430">
        <f t="shared" si="2"/>
        <v>1</v>
      </c>
      <c r="T16" s="1403">
        <v>0</v>
      </c>
      <c r="U16" s="1704"/>
      <c r="V16" s="1439">
        <f t="shared" si="1"/>
        <v>500000</v>
      </c>
      <c r="W16" s="1694">
        <f>(Q16+((S16-0)*R16))*((100-P16)/100)</f>
        <v>500000</v>
      </c>
      <c r="X16" s="1417"/>
      <c r="Y16" s="1426"/>
      <c r="Z16" s="1417"/>
      <c r="AA16" s="1419"/>
      <c r="AB16" s="1419"/>
      <c r="AC16" s="1419"/>
      <c r="AD16" s="1419"/>
      <c r="AE16" s="1419"/>
      <c r="AF16" s="1419"/>
    </row>
    <row r="17" spans="1:32" s="1420" customFormat="1" ht="13">
      <c r="A17" s="1360"/>
      <c r="B17" s="1360">
        <v>11</v>
      </c>
      <c r="C17" s="1361" t="s">
        <v>1442</v>
      </c>
      <c r="D17" s="1362" t="s">
        <v>32</v>
      </c>
      <c r="E17" s="1361" t="s">
        <v>1423</v>
      </c>
      <c r="F17" s="1363">
        <v>1500</v>
      </c>
      <c r="G17" s="1363">
        <v>1700</v>
      </c>
      <c r="H17" s="1362" t="s">
        <v>1443</v>
      </c>
      <c r="I17" s="1364" t="s">
        <v>35</v>
      </c>
      <c r="J17" s="1364" t="s">
        <v>36</v>
      </c>
      <c r="K17" s="1361" t="s">
        <v>37</v>
      </c>
      <c r="L17" s="1365" t="s">
        <v>47</v>
      </c>
      <c r="M17" s="1366" t="s">
        <v>1444</v>
      </c>
      <c r="N17" s="1367" t="s">
        <v>1445</v>
      </c>
      <c r="O17" s="1362" t="s">
        <v>40</v>
      </c>
      <c r="P17" s="1369"/>
      <c r="Q17" s="1401">
        <f t="shared" ref="Q17:Q18" si="4">IF((S17-T17)&gt;=8,R17*6,IF(AND((S17-T17)&lt;8,(S17-T17)&gt;=4),R17*3,0))</f>
        <v>0</v>
      </c>
      <c r="R17" s="1369">
        <v>950000</v>
      </c>
      <c r="S17" s="1430">
        <f t="shared" si="2"/>
        <v>2</v>
      </c>
      <c r="T17" s="1403">
        <v>0.25</v>
      </c>
      <c r="U17" s="1697"/>
      <c r="V17" s="1464">
        <f t="shared" si="1"/>
        <v>1900000</v>
      </c>
      <c r="W17" s="1371">
        <f>(Q17+(((S17-T17)-0)*R17))*((100-P17)/100)</f>
        <v>1662500</v>
      </c>
      <c r="X17" s="1417"/>
      <c r="Y17" s="1440">
        <f>(Q17+((S17-0)*R17))*((100-P17)/100)</f>
        <v>1900000</v>
      </c>
      <c r="Z17" s="1417"/>
      <c r="AA17" s="1419"/>
      <c r="AB17" s="1419"/>
      <c r="AC17" s="1419"/>
      <c r="AD17" s="1419"/>
      <c r="AE17" s="1419"/>
      <c r="AF17" s="1419"/>
    </row>
    <row r="18" spans="1:32" s="1420" customFormat="1">
      <c r="A18" s="1441"/>
      <c r="B18" s="1360">
        <v>12</v>
      </c>
      <c r="C18" s="1361" t="s">
        <v>1446</v>
      </c>
      <c r="D18" s="1406" t="s">
        <v>43</v>
      </c>
      <c r="E18" s="1361" t="s">
        <v>1447</v>
      </c>
      <c r="F18" s="1363">
        <v>1530</v>
      </c>
      <c r="G18" s="1363">
        <v>1645</v>
      </c>
      <c r="H18" s="1362" t="s">
        <v>1115</v>
      </c>
      <c r="I18" s="1364" t="s">
        <v>35</v>
      </c>
      <c r="J18" s="1364" t="s">
        <v>36</v>
      </c>
      <c r="K18" s="1361" t="s">
        <v>76</v>
      </c>
      <c r="L18" s="1365" t="s">
        <v>47</v>
      </c>
      <c r="M18" s="1366" t="s">
        <v>1444</v>
      </c>
      <c r="N18" s="1367" t="s">
        <v>1448</v>
      </c>
      <c r="O18" s="1406" t="s">
        <v>40</v>
      </c>
      <c r="P18" s="1442"/>
      <c r="Q18" s="1401">
        <f t="shared" si="4"/>
        <v>0</v>
      </c>
      <c r="R18" s="1402">
        <v>500000</v>
      </c>
      <c r="S18" s="1691">
        <f>(1675-1550)/100</f>
        <v>1.25</v>
      </c>
      <c r="T18" s="1403">
        <v>1.25</v>
      </c>
      <c r="U18" s="1698"/>
      <c r="V18" s="1453">
        <f t="shared" si="1"/>
        <v>625000</v>
      </c>
      <c r="W18" s="1694">
        <f>(Q18+(((S18-T18)-0)*R18))*((100-P18)/100)</f>
        <v>0</v>
      </c>
      <c r="X18" s="1417"/>
      <c r="Y18" s="1418"/>
      <c r="Z18" s="1417"/>
      <c r="AA18" s="1419"/>
      <c r="AB18" s="1419"/>
      <c r="AC18" s="1419"/>
      <c r="AD18" s="1419"/>
      <c r="AE18" s="1419"/>
      <c r="AF18" s="1419"/>
    </row>
    <row r="19" spans="1:32" s="1420" customFormat="1" ht="13" hidden="1">
      <c r="A19" s="1448"/>
      <c r="B19" s="1360">
        <v>13</v>
      </c>
      <c r="C19" s="1361" t="s">
        <v>1449</v>
      </c>
      <c r="D19" s="1362" t="s">
        <v>32</v>
      </c>
      <c r="E19" s="1361" t="s">
        <v>1423</v>
      </c>
      <c r="F19" s="1363">
        <v>1500</v>
      </c>
      <c r="G19" s="1363">
        <v>1700</v>
      </c>
      <c r="H19" s="1362" t="s">
        <v>1443</v>
      </c>
      <c r="I19" s="1364" t="s">
        <v>35</v>
      </c>
      <c r="J19" s="1364" t="s">
        <v>36</v>
      </c>
      <c r="K19" s="1361" t="s">
        <v>37</v>
      </c>
      <c r="L19" s="1449"/>
      <c r="M19" s="1366"/>
      <c r="N19" s="1367" t="s">
        <v>1450</v>
      </c>
      <c r="O19" s="1362" t="s">
        <v>174</v>
      </c>
      <c r="P19" s="1450"/>
      <c r="Q19" s="1451"/>
      <c r="R19" s="1500"/>
      <c r="S19" s="1370">
        <f t="shared" si="2"/>
        <v>2</v>
      </c>
      <c r="T19" s="1696"/>
      <c r="U19" s="1692"/>
      <c r="V19" s="1693">
        <f t="shared" si="1"/>
        <v>0</v>
      </c>
      <c r="W19" s="1447">
        <f>V19</f>
        <v>0</v>
      </c>
      <c r="X19" s="1455"/>
      <c r="Y19" s="1440">
        <f>(Q19+((S19-0)*R19))*((100-P19)/100)</f>
        <v>0</v>
      </c>
      <c r="Z19" s="1419"/>
      <c r="AA19" s="1419"/>
      <c r="AB19" s="1419"/>
      <c r="AC19" s="1419"/>
      <c r="AD19" s="1419"/>
      <c r="AE19" s="1419"/>
      <c r="AF19" s="1419"/>
    </row>
    <row r="20" spans="1:32" s="1420" customFormat="1" ht="13">
      <c r="A20" s="1359"/>
      <c r="B20" s="1360">
        <v>14</v>
      </c>
      <c r="C20" s="1361" t="s">
        <v>1451</v>
      </c>
      <c r="D20" s="1362" t="s">
        <v>75</v>
      </c>
      <c r="E20" s="1361" t="s">
        <v>1452</v>
      </c>
      <c r="F20" s="1363">
        <v>1445</v>
      </c>
      <c r="G20" s="1363">
        <v>1615</v>
      </c>
      <c r="H20" s="1362" t="s">
        <v>1453</v>
      </c>
      <c r="I20" s="1364" t="s">
        <v>35</v>
      </c>
      <c r="J20" s="1364" t="s">
        <v>36</v>
      </c>
      <c r="K20" s="1456" t="s">
        <v>76</v>
      </c>
      <c r="L20" s="1399" t="s">
        <v>47</v>
      </c>
      <c r="M20" s="1457" t="s">
        <v>1454</v>
      </c>
      <c r="N20" s="1367">
        <v>45324.771805555552</v>
      </c>
      <c r="O20" s="1362" t="s">
        <v>40</v>
      </c>
      <c r="P20" s="1458"/>
      <c r="Q20" s="1401">
        <f t="shared" ref="Q20:Q22" si="5">IF((S20-T20)&gt;=8,R20*6,IF(AND((S20-T20)&lt;8,(S20-T20)&gt;=4),R20*3,0))</f>
        <v>0</v>
      </c>
      <c r="R20" s="1402">
        <v>500000</v>
      </c>
      <c r="S20" s="1691">
        <f>(1625-1475)/100</f>
        <v>1.5</v>
      </c>
      <c r="T20" s="1403">
        <v>1.5</v>
      </c>
      <c r="U20" s="1699"/>
      <c r="V20" s="1472">
        <f t="shared" si="1"/>
        <v>750000</v>
      </c>
      <c r="W20" s="1694">
        <f t="shared" ref="W20:W22" si="6">(Q20+(((S20-T20)-0)*R20))*((100-P20)/100)</f>
        <v>0</v>
      </c>
      <c r="X20" s="1417"/>
      <c r="Y20" s="1431">
        <f>(Q20+((S20-0)*R20))*((100-P20)/100)</f>
        <v>750000</v>
      </c>
      <c r="Z20" s="1417"/>
      <c r="AA20" s="1419"/>
      <c r="AB20" s="1419"/>
      <c r="AC20" s="1419"/>
      <c r="AD20" s="1419"/>
      <c r="AE20" s="1419"/>
      <c r="AF20" s="1419"/>
    </row>
    <row r="21" spans="1:32" s="1420" customFormat="1" ht="13">
      <c r="A21" s="1427"/>
      <c r="B21" s="1360">
        <v>15</v>
      </c>
      <c r="C21" s="1361" t="s">
        <v>1455</v>
      </c>
      <c r="D21" s="1406" t="s">
        <v>43</v>
      </c>
      <c r="E21" s="1361" t="s">
        <v>1452</v>
      </c>
      <c r="F21" s="1363">
        <v>1530</v>
      </c>
      <c r="G21" s="1363">
        <v>1630</v>
      </c>
      <c r="H21" s="1362" t="s">
        <v>1115</v>
      </c>
      <c r="I21" s="1364" t="s">
        <v>35</v>
      </c>
      <c r="J21" s="1364" t="s">
        <v>36</v>
      </c>
      <c r="K21" s="1361" t="s">
        <v>76</v>
      </c>
      <c r="L21" s="1409" t="s">
        <v>47</v>
      </c>
      <c r="M21" s="1366" t="s">
        <v>1454</v>
      </c>
      <c r="N21" s="1367">
        <v>45324.771527777775</v>
      </c>
      <c r="O21" s="1406" t="s">
        <v>40</v>
      </c>
      <c r="P21" s="1409"/>
      <c r="Q21" s="1401">
        <f t="shared" si="5"/>
        <v>0</v>
      </c>
      <c r="R21" s="1402">
        <v>500000</v>
      </c>
      <c r="S21" s="1430">
        <f t="shared" si="2"/>
        <v>1</v>
      </c>
      <c r="T21" s="1403">
        <v>1</v>
      </c>
      <c r="U21" s="1700"/>
      <c r="V21" s="1414">
        <f t="shared" si="1"/>
        <v>500000</v>
      </c>
      <c r="W21" s="1694">
        <f t="shared" si="6"/>
        <v>0</v>
      </c>
      <c r="X21" s="1417"/>
      <c r="Y21" s="1418"/>
      <c r="Z21" s="1417"/>
      <c r="AA21" s="1419"/>
      <c r="AB21" s="1419"/>
      <c r="AC21" s="1419"/>
      <c r="AD21" s="1419"/>
      <c r="AE21" s="1419"/>
      <c r="AF21" s="1419"/>
    </row>
    <row r="22" spans="1:32" s="1466" customFormat="1">
      <c r="A22" s="1360"/>
      <c r="B22" s="1360">
        <v>16</v>
      </c>
      <c r="C22" s="1361" t="s">
        <v>1456</v>
      </c>
      <c r="D22" s="1362" t="s">
        <v>43</v>
      </c>
      <c r="E22" s="1361" t="s">
        <v>1457</v>
      </c>
      <c r="F22" s="1363">
        <v>1100</v>
      </c>
      <c r="G22" s="1363">
        <v>1200</v>
      </c>
      <c r="H22" s="1460" t="s">
        <v>1458</v>
      </c>
      <c r="I22" s="1364" t="s">
        <v>35</v>
      </c>
      <c r="J22" s="1364" t="s">
        <v>36</v>
      </c>
      <c r="K22" s="1361" t="s">
        <v>76</v>
      </c>
      <c r="L22" s="1449" t="s">
        <v>47</v>
      </c>
      <c r="M22" s="1450" t="s">
        <v>1459</v>
      </c>
      <c r="N22" s="1461">
        <v>45293.454722222225</v>
      </c>
      <c r="O22" s="1460" t="s">
        <v>40</v>
      </c>
      <c r="P22" s="1462"/>
      <c r="Q22" s="1401">
        <f t="shared" si="5"/>
        <v>0</v>
      </c>
      <c r="R22" s="1402">
        <v>500000</v>
      </c>
      <c r="S22" s="1430">
        <f t="shared" si="2"/>
        <v>1</v>
      </c>
      <c r="T22" s="1403">
        <v>1</v>
      </c>
      <c r="U22" s="1697"/>
      <c r="V22" s="1464">
        <f t="shared" si="1"/>
        <v>500000</v>
      </c>
      <c r="W22" s="1694">
        <f t="shared" si="6"/>
        <v>0</v>
      </c>
      <c r="X22" s="1417"/>
      <c r="Y22" s="1418"/>
      <c r="Z22" s="1417"/>
      <c r="AA22" s="1419"/>
      <c r="AB22" s="1419"/>
      <c r="AC22" s="1419"/>
      <c r="AD22" s="1419"/>
      <c r="AE22" s="1419"/>
      <c r="AF22" s="1419"/>
    </row>
    <row r="23" spans="1:32" s="1420" customFormat="1" ht="13">
      <c r="A23" s="1427"/>
      <c r="B23" s="1360">
        <v>17</v>
      </c>
      <c r="C23" s="1361" t="s">
        <v>1460</v>
      </c>
      <c r="D23" s="1362" t="s">
        <v>43</v>
      </c>
      <c r="E23" s="1361" t="s">
        <v>1430</v>
      </c>
      <c r="F23" s="1363">
        <v>800</v>
      </c>
      <c r="G23" s="1467">
        <v>1730</v>
      </c>
      <c r="H23" s="1468" t="s">
        <v>1461</v>
      </c>
      <c r="I23" s="1469" t="s">
        <v>35</v>
      </c>
      <c r="J23" s="1364" t="s">
        <v>36</v>
      </c>
      <c r="K23" s="1456" t="s">
        <v>76</v>
      </c>
      <c r="L23" s="1399" t="s">
        <v>1462</v>
      </c>
      <c r="M23" s="1470"/>
      <c r="N23" s="1471">
        <v>45566.476319444446</v>
      </c>
      <c r="O23" s="1468" t="s">
        <v>40</v>
      </c>
      <c r="P23" s="1370"/>
      <c r="Q23" s="1472">
        <f>R23*6</f>
        <v>3000000</v>
      </c>
      <c r="R23" s="1401">
        <v>500000</v>
      </c>
      <c r="S23" s="1430">
        <f>(1750-F23)/100</f>
        <v>9.5</v>
      </c>
      <c r="T23" s="1403">
        <v>0</v>
      </c>
      <c r="U23" s="1717"/>
      <c r="V23" s="1401">
        <f t="shared" si="1"/>
        <v>4750000</v>
      </c>
      <c r="W23" s="1474">
        <f>(Q23+((S23-8)*R23))*((100-P23)/100)</f>
        <v>3750000</v>
      </c>
      <c r="X23" s="1419"/>
      <c r="Y23" s="1440">
        <f>(Q23+((S23-0)*R23))*((100-P23)/100)</f>
        <v>7750000</v>
      </c>
      <c r="Z23" s="1419"/>
      <c r="AA23" s="1419"/>
      <c r="AB23" s="1419"/>
      <c r="AC23" s="1419"/>
      <c r="AD23" s="1419"/>
      <c r="AE23" s="1419"/>
      <c r="AF23" s="1419"/>
    </row>
    <row r="24" spans="1:32" s="1420" customFormat="1" ht="13" hidden="1">
      <c r="A24" s="1434"/>
      <c r="B24" s="1360">
        <v>18</v>
      </c>
      <c r="C24" s="1361" t="s">
        <v>1463</v>
      </c>
      <c r="D24" s="1406" t="s">
        <v>32</v>
      </c>
      <c r="E24" s="1361" t="s">
        <v>1464</v>
      </c>
      <c r="F24" s="1363">
        <v>1600</v>
      </c>
      <c r="G24" s="1363">
        <v>1800</v>
      </c>
      <c r="H24" s="1475" t="s">
        <v>1132</v>
      </c>
      <c r="I24" s="1364" t="s">
        <v>35</v>
      </c>
      <c r="J24" s="1364" t="s">
        <v>36</v>
      </c>
      <c r="K24" s="1361" t="s">
        <v>37</v>
      </c>
      <c r="L24" s="1435"/>
      <c r="M24" s="1476" t="s">
        <v>1332</v>
      </c>
      <c r="N24" s="1477">
        <v>45352.737326388888</v>
      </c>
      <c r="O24" s="1445" t="s">
        <v>174</v>
      </c>
      <c r="P24" s="1478"/>
      <c r="Q24" s="1436"/>
      <c r="R24" s="1479"/>
      <c r="S24" s="1370">
        <f t="shared" si="2"/>
        <v>2</v>
      </c>
      <c r="T24" s="1480"/>
      <c r="U24" s="1481"/>
      <c r="V24" s="1437">
        <f t="shared" si="1"/>
        <v>0</v>
      </c>
      <c r="W24" s="1482">
        <f>(Q24+((S24-0)*R24))*((100-P24)/100)</f>
        <v>0</v>
      </c>
      <c r="X24" s="1419"/>
      <c r="Y24" s="1419"/>
      <c r="Z24" s="1419"/>
      <c r="AA24" s="1419"/>
      <c r="AB24" s="1419"/>
      <c r="AC24" s="1419"/>
      <c r="AD24" s="1419"/>
      <c r="AE24" s="1419"/>
      <c r="AF24" s="1419"/>
    </row>
    <row r="25" spans="1:32" s="1420" customFormat="1" hidden="1">
      <c r="A25" s="1448"/>
      <c r="B25" s="1359">
        <v>19</v>
      </c>
      <c r="C25" s="1393" t="s">
        <v>1465</v>
      </c>
      <c r="D25" s="1362" t="s">
        <v>32</v>
      </c>
      <c r="E25" s="1483">
        <v>45324</v>
      </c>
      <c r="F25" s="1484">
        <v>1600</v>
      </c>
      <c r="G25" s="1485">
        <v>1800</v>
      </c>
      <c r="H25" s="1399" t="s">
        <v>1132</v>
      </c>
      <c r="I25" s="1469" t="s">
        <v>35</v>
      </c>
      <c r="J25" s="1364" t="s">
        <v>36</v>
      </c>
      <c r="K25" s="1394" t="s">
        <v>37</v>
      </c>
      <c r="L25" s="1399"/>
      <c r="M25" s="1395" t="s">
        <v>1332</v>
      </c>
      <c r="N25" s="1486">
        <v>45352.737060185187</v>
      </c>
      <c r="O25" s="1399" t="s">
        <v>174</v>
      </c>
      <c r="P25" s="1468"/>
      <c r="Q25" s="1487"/>
      <c r="R25" s="1401"/>
      <c r="S25" s="1370">
        <f t="shared" si="2"/>
        <v>2</v>
      </c>
      <c r="T25" s="1696"/>
      <c r="U25" s="1452"/>
      <c r="V25" s="1453">
        <f t="shared" si="1"/>
        <v>0</v>
      </c>
      <c r="W25" s="1488">
        <f>(Q25+((S25-0)*R25))*((100-P25)/100)</f>
        <v>0</v>
      </c>
      <c r="X25" s="1419"/>
      <c r="Y25" s="1440">
        <f>(Q25+((S25-0)*R25))*((100-P25)/100)</f>
        <v>0</v>
      </c>
      <c r="Z25" s="1419"/>
      <c r="AA25" s="1419"/>
      <c r="AB25" s="1419"/>
      <c r="AC25" s="1419"/>
      <c r="AD25" s="1419"/>
      <c r="AE25" s="1419"/>
      <c r="AF25" s="1419"/>
    </row>
    <row r="26" spans="1:32" s="1420" customFormat="1" ht="13">
      <c r="A26" s="1359"/>
      <c r="B26" s="1360"/>
      <c r="C26" s="1361"/>
      <c r="D26" s="1362"/>
      <c r="E26" s="1361"/>
      <c r="F26" s="1363"/>
      <c r="G26" s="1363"/>
      <c r="H26" s="1408"/>
      <c r="I26" s="1364"/>
      <c r="J26" s="1364"/>
      <c r="K26" s="1361"/>
      <c r="L26" s="1409"/>
      <c r="M26" s="1410"/>
      <c r="N26" s="1411"/>
      <c r="O26" s="1408"/>
      <c r="P26" s="1409"/>
      <c r="Q26" s="1413"/>
      <c r="R26" s="1414"/>
      <c r="S26" s="1430">
        <f t="shared" si="2"/>
        <v>0</v>
      </c>
      <c r="T26" s="1403"/>
      <c r="U26" s="1700"/>
      <c r="V26" s="1414">
        <f t="shared" si="1"/>
        <v>0</v>
      </c>
      <c r="W26" s="1459">
        <f>(Q26+((S26-0)*R26))*((100-P26)/100)</f>
        <v>0</v>
      </c>
      <c r="X26" s="1417"/>
      <c r="Y26" s="1418"/>
      <c r="Z26" s="1417"/>
      <c r="AA26" s="1419"/>
      <c r="AB26" s="1419"/>
      <c r="AC26" s="1419"/>
      <c r="AD26" s="1419"/>
      <c r="AE26" s="1419"/>
      <c r="AF26" s="1419"/>
    </row>
    <row r="27" spans="1:32" s="1492" customFormat="1" ht="13">
      <c r="A27" s="1427"/>
      <c r="B27" s="1360"/>
      <c r="C27" s="1361"/>
      <c r="D27" s="1406"/>
      <c r="E27" s="1361"/>
      <c r="F27" s="1407"/>
      <c r="G27" s="1407"/>
      <c r="H27" s="1362"/>
      <c r="I27" s="1364"/>
      <c r="J27" s="1364"/>
      <c r="K27" s="1361"/>
      <c r="L27" s="1365"/>
      <c r="M27" s="1366"/>
      <c r="N27" s="1367"/>
      <c r="O27" s="1406"/>
      <c r="P27" s="1413"/>
      <c r="Q27" s="1413"/>
      <c r="R27" s="1443"/>
      <c r="S27" s="1370">
        <f t="shared" si="2"/>
        <v>0</v>
      </c>
      <c r="T27" s="1480"/>
      <c r="U27" s="1489"/>
      <c r="V27" s="1479">
        <f t="shared" si="1"/>
        <v>0</v>
      </c>
      <c r="W27" s="1490">
        <f>(Q27+((S27-0)*R27))*((100-P27)/100)</f>
        <v>0</v>
      </c>
      <c r="X27" s="1491"/>
      <c r="Y27" s="1431">
        <f>(Q27+((S27-0)*R27))*((100-P27)/100)</f>
        <v>0</v>
      </c>
      <c r="Z27" s="1491"/>
      <c r="AA27" s="1491"/>
      <c r="AB27" s="1491"/>
      <c r="AC27" s="1491"/>
      <c r="AD27" s="1491"/>
      <c r="AE27" s="1491"/>
      <c r="AF27" s="1491"/>
    </row>
    <row r="28" spans="1:32" s="1492" customFormat="1" ht="13">
      <c r="A28" s="1359"/>
      <c r="B28" s="1360"/>
      <c r="C28" s="1361"/>
      <c r="D28" s="1362"/>
      <c r="E28" s="1361"/>
      <c r="F28" s="1363"/>
      <c r="G28" s="1363"/>
      <c r="H28" s="1362"/>
      <c r="I28" s="1364"/>
      <c r="J28" s="1364"/>
      <c r="K28" s="1361"/>
      <c r="L28" s="1449"/>
      <c r="M28" s="1450"/>
      <c r="N28" s="1461"/>
      <c r="O28" s="1460"/>
      <c r="P28" s="1493"/>
      <c r="Q28" s="1494"/>
      <c r="R28" s="1495"/>
      <c r="S28" s="1370">
        <f t="shared" si="2"/>
        <v>0</v>
      </c>
      <c r="T28" s="1696"/>
      <c r="U28" s="1496"/>
      <c r="V28" s="1401">
        <f t="shared" si="1"/>
        <v>0</v>
      </c>
      <c r="W28" s="1431">
        <f>(Q28+((S28-0)*R28))*((100-P28)/100)</f>
        <v>0</v>
      </c>
      <c r="X28" s="1417"/>
      <c r="Y28" s="1418"/>
      <c r="Z28" s="1417"/>
      <c r="AA28" s="1419"/>
      <c r="AB28" s="1419"/>
      <c r="AC28" s="1419"/>
      <c r="AD28" s="1419"/>
      <c r="AE28" s="1419"/>
      <c r="AF28" s="1419"/>
    </row>
    <row r="29" spans="1:32" s="1492" customFormat="1" ht="13">
      <c r="A29" s="1497"/>
      <c r="B29" s="1360"/>
      <c r="C29" s="1361"/>
      <c r="D29" s="1362"/>
      <c r="E29" s="1361"/>
      <c r="F29" s="1363"/>
      <c r="G29" s="1363"/>
      <c r="H29" s="1460"/>
      <c r="I29" s="1364"/>
      <c r="J29" s="1364"/>
      <c r="K29" s="1456"/>
      <c r="L29" s="1399"/>
      <c r="M29" s="1470"/>
      <c r="N29" s="1471"/>
      <c r="O29" s="1468"/>
      <c r="P29" s="1498"/>
      <c r="Q29" s="1487"/>
      <c r="R29" s="1401"/>
      <c r="S29" s="1370">
        <f t="shared" si="2"/>
        <v>0</v>
      </c>
      <c r="T29" s="1696"/>
      <c r="U29" s="1499"/>
      <c r="V29" s="1500">
        <f t="shared" si="1"/>
        <v>0</v>
      </c>
      <c r="W29" s="1501">
        <f>(Q29+((S29-4)*R29))*((100-P29)/100)</f>
        <v>0</v>
      </c>
      <c r="X29" s="1417"/>
      <c r="Y29" s="1418"/>
      <c r="Z29" s="1417"/>
      <c r="AA29" s="1491"/>
      <c r="AB29" s="1491"/>
      <c r="AC29" s="1491"/>
      <c r="AD29" s="1491"/>
      <c r="AE29" s="1491"/>
      <c r="AF29" s="1491"/>
    </row>
    <row r="30" spans="1:32" s="1466" customFormat="1" ht="13">
      <c r="A30" s="1359"/>
      <c r="B30" s="1360"/>
      <c r="C30" s="1361"/>
      <c r="D30" s="1362"/>
      <c r="E30" s="1361"/>
      <c r="F30" s="1363"/>
      <c r="G30" s="1467"/>
      <c r="H30" s="1468"/>
      <c r="I30" s="1469"/>
      <c r="J30" s="1364"/>
      <c r="K30" s="1456"/>
      <c r="L30" s="1502"/>
      <c r="M30" s="1503"/>
      <c r="N30" s="1504"/>
      <c r="O30" s="1505"/>
      <c r="P30" s="1506"/>
      <c r="Q30" s="1507"/>
      <c r="R30" s="1508"/>
      <c r="S30" s="1370">
        <f t="shared" si="2"/>
        <v>0</v>
      </c>
      <c r="T30" s="1696"/>
      <c r="U30" s="1473"/>
      <c r="V30" s="1401">
        <f t="shared" si="1"/>
        <v>0</v>
      </c>
      <c r="W30" s="1509">
        <f>(Q30+((S30-0)*R30))*((100-P30)/100)</f>
        <v>0</v>
      </c>
      <c r="X30" s="1419"/>
      <c r="Y30" s="1510">
        <f>W30*((100-P30)/100)</f>
        <v>0</v>
      </c>
      <c r="Z30" s="1419"/>
      <c r="AA30" s="1419"/>
      <c r="AB30" s="1419"/>
      <c r="AC30" s="1419"/>
      <c r="AD30" s="1419"/>
      <c r="AE30" s="1419"/>
      <c r="AF30" s="1419"/>
    </row>
    <row r="31" spans="1:32" s="1420" customFormat="1" ht="13">
      <c r="A31" s="1359"/>
      <c r="B31" s="1360"/>
      <c r="C31" s="1361"/>
      <c r="D31" s="1362"/>
      <c r="E31" s="1361"/>
      <c r="F31" s="1363"/>
      <c r="G31" s="1363"/>
      <c r="H31" s="1475"/>
      <c r="I31" s="1364"/>
      <c r="J31" s="1364"/>
      <c r="K31" s="1456"/>
      <c r="L31" s="1511"/>
      <c r="M31" s="1512"/>
      <c r="N31" s="1477"/>
      <c r="O31" s="1475"/>
      <c r="P31" s="1435"/>
      <c r="Q31" s="1479"/>
      <c r="R31" s="1479"/>
      <c r="S31" s="1370">
        <f t="shared" si="2"/>
        <v>0</v>
      </c>
      <c r="T31" s="1480"/>
      <c r="U31" s="1438"/>
      <c r="V31" s="1479">
        <f t="shared" si="1"/>
        <v>0</v>
      </c>
      <c r="W31" s="1425">
        <f>(Q31+((S31-0)*R31))*((100-P31)/100)</f>
        <v>0</v>
      </c>
      <c r="X31" s="1417"/>
      <c r="Y31" s="1418"/>
      <c r="Z31" s="1417"/>
      <c r="AA31" s="1419"/>
      <c r="AB31" s="1419"/>
      <c r="AC31" s="1419"/>
      <c r="AD31" s="1419"/>
      <c r="AE31" s="1419"/>
      <c r="AF31" s="1419"/>
    </row>
    <row r="32" spans="1:32" s="1420" customFormat="1">
      <c r="A32" s="1497"/>
      <c r="B32" s="1359"/>
      <c r="C32" s="1393"/>
      <c r="D32" s="1362"/>
      <c r="E32" s="1483"/>
      <c r="F32" s="1484"/>
      <c r="G32" s="1485"/>
      <c r="H32" s="1399"/>
      <c r="I32" s="1469"/>
      <c r="J32" s="1364"/>
      <c r="K32" s="1394"/>
      <c r="L32" s="1513"/>
      <c r="M32" s="1514"/>
      <c r="N32" s="1515"/>
      <c r="O32" s="1513"/>
      <c r="P32" s="1513"/>
      <c r="Q32" s="1516"/>
      <c r="R32" s="1495"/>
      <c r="S32" s="1370">
        <f t="shared" si="2"/>
        <v>0</v>
      </c>
      <c r="T32" s="1696"/>
      <c r="U32" s="1473"/>
      <c r="V32" s="1401">
        <f t="shared" si="1"/>
        <v>0</v>
      </c>
      <c r="W32" s="1488">
        <f>(Q32+((S32-0)*R32))*((100-P32)/100)</f>
        <v>0</v>
      </c>
      <c r="X32" s="1419"/>
      <c r="Y32" s="1440">
        <f>(Q32+((S32-0)*R32))*((100-P32)/100)</f>
        <v>0</v>
      </c>
      <c r="Z32" s="1419"/>
      <c r="AA32" s="1419"/>
      <c r="AB32" s="1419"/>
      <c r="AC32" s="1419"/>
      <c r="AD32" s="1419"/>
      <c r="AE32" s="1419"/>
      <c r="AF32" s="1419"/>
    </row>
    <row r="33" spans="1:32" s="1420" customFormat="1" ht="13">
      <c r="A33" s="1359"/>
      <c r="B33" s="1360"/>
      <c r="C33" s="1361"/>
      <c r="D33" s="1362"/>
      <c r="E33" s="1361"/>
      <c r="F33" s="1363"/>
      <c r="G33" s="1363"/>
      <c r="H33" s="1408"/>
      <c r="I33" s="1364"/>
      <c r="J33" s="1364"/>
      <c r="K33" s="1456"/>
      <c r="L33" s="1399"/>
      <c r="M33" s="1470"/>
      <c r="N33" s="1471"/>
      <c r="O33" s="1468"/>
      <c r="P33" s="1498"/>
      <c r="Q33" s="1400"/>
      <c r="R33" s="1401"/>
      <c r="S33" s="1370">
        <f t="shared" si="2"/>
        <v>0</v>
      </c>
      <c r="T33" s="1415"/>
      <c r="U33" s="1517"/>
      <c r="V33" s="1414">
        <f t="shared" si="1"/>
        <v>0</v>
      </c>
      <c r="W33" s="1459">
        <f>(Q33+((S33-0)*R33))*((100-P33)/100)</f>
        <v>0</v>
      </c>
      <c r="X33" s="1491"/>
      <c r="Y33" s="1491"/>
      <c r="Z33" s="1491"/>
      <c r="AA33" s="1491"/>
      <c r="AB33" s="1491"/>
      <c r="AC33" s="1491"/>
      <c r="AD33" s="1491"/>
      <c r="AE33" s="1491"/>
      <c r="AF33" s="1491"/>
    </row>
    <row r="34" spans="1:32" s="1420" customFormat="1" ht="13">
      <c r="A34" s="1377"/>
      <c r="B34" s="1377"/>
      <c r="C34" s="1378"/>
      <c r="D34" s="1379"/>
      <c r="E34" s="1378"/>
      <c r="F34" s="1380"/>
      <c r="G34" s="1380"/>
      <c r="H34" s="1381"/>
      <c r="I34" s="1364"/>
      <c r="J34" s="1364"/>
      <c r="K34" s="1361"/>
      <c r="L34" s="1518"/>
      <c r="M34" s="1519"/>
      <c r="N34" s="1520"/>
      <c r="O34" s="1521"/>
      <c r="P34" s="1522"/>
      <c r="Q34" s="1523"/>
      <c r="R34" s="1524"/>
      <c r="S34" s="1370">
        <f t="shared" si="2"/>
        <v>0</v>
      </c>
      <c r="T34" s="1444"/>
      <c r="U34" s="1525"/>
      <c r="V34" s="1526">
        <f t="shared" si="1"/>
        <v>0</v>
      </c>
      <c r="W34" s="1527">
        <f>(Q34+((S34-0)*R34))*((100-P34)/100)</f>
        <v>0</v>
      </c>
      <c r="X34" s="1528"/>
      <c r="Y34" s="1529"/>
      <c r="Z34" s="1528"/>
      <c r="AA34" s="1466"/>
      <c r="AB34" s="1466"/>
      <c r="AC34" s="1466"/>
      <c r="AD34" s="1466"/>
      <c r="AE34" s="1466"/>
      <c r="AF34" s="1466"/>
    </row>
    <row r="35" spans="1:32" s="1420" customFormat="1">
      <c r="A35" s="1359"/>
      <c r="B35" s="1359"/>
      <c r="C35" s="1393"/>
      <c r="D35" s="1362"/>
      <c r="E35" s="1393"/>
      <c r="F35" s="1484"/>
      <c r="G35" s="1485"/>
      <c r="H35" s="1399"/>
      <c r="I35" s="1469"/>
      <c r="J35" s="1364"/>
      <c r="K35" s="1394"/>
      <c r="L35" s="1513"/>
      <c r="M35" s="1514"/>
      <c r="N35" s="1515"/>
      <c r="O35" s="1513"/>
      <c r="P35" s="1513"/>
      <c r="Q35" s="1530"/>
      <c r="R35" s="1495"/>
      <c r="S35" s="1370">
        <f t="shared" si="2"/>
        <v>0</v>
      </c>
      <c r="T35" s="1696"/>
      <c r="U35" s="1473"/>
      <c r="V35" s="1401">
        <f t="shared" si="1"/>
        <v>0</v>
      </c>
      <c r="W35" s="1404">
        <f>Q35+((S35-0)*R35)</f>
        <v>0</v>
      </c>
      <c r="X35" s="1419"/>
      <c r="Y35" s="1440">
        <f>(Q35+((S35-0)*R35))*((100-P35)/100)</f>
        <v>0</v>
      </c>
      <c r="Z35" s="1419"/>
      <c r="AA35" s="1419"/>
      <c r="AB35" s="1419"/>
      <c r="AC35" s="1419"/>
      <c r="AD35" s="1419"/>
      <c r="AE35" s="1419"/>
      <c r="AF35" s="1419"/>
    </row>
    <row r="36" spans="1:32" s="1420" customFormat="1">
      <c r="A36" s="1360"/>
      <c r="B36" s="1359"/>
      <c r="C36" s="1393"/>
      <c r="D36" s="1362"/>
      <c r="E36" s="1393"/>
      <c r="F36" s="1484"/>
      <c r="G36" s="1484"/>
      <c r="H36" s="1409"/>
      <c r="I36" s="1364"/>
      <c r="J36" s="1364"/>
      <c r="K36" s="1394"/>
      <c r="L36" s="1399"/>
      <c r="M36" s="1531"/>
      <c r="N36" s="1486"/>
      <c r="O36" s="1399"/>
      <c r="P36" s="1468"/>
      <c r="Q36" s="1487"/>
      <c r="R36" s="1401"/>
      <c r="S36" s="1370">
        <f t="shared" si="2"/>
        <v>0</v>
      </c>
      <c r="T36" s="1415"/>
      <c r="U36" s="1532"/>
      <c r="V36" s="1533">
        <f t="shared" si="1"/>
        <v>0</v>
      </c>
      <c r="W36" s="1465">
        <f>(Q36+((S36-4)*R36))*((100-P36)/100)</f>
        <v>0</v>
      </c>
      <c r="X36" s="1419"/>
      <c r="Y36" s="1419"/>
      <c r="Z36" s="1419"/>
      <c r="AA36" s="1419"/>
      <c r="AB36" s="1419"/>
      <c r="AC36" s="1419"/>
      <c r="AD36" s="1419"/>
      <c r="AE36" s="1419"/>
      <c r="AF36" s="1419"/>
    </row>
    <row r="37" spans="1:32" s="1420" customFormat="1" ht="13">
      <c r="A37" s="1359"/>
      <c r="B37" s="1359"/>
      <c r="C37" s="1393"/>
      <c r="D37" s="1534"/>
      <c r="E37" s="1393"/>
      <c r="F37" s="1535"/>
      <c r="G37" s="1535"/>
      <c r="H37" s="1365"/>
      <c r="I37" s="1364"/>
      <c r="J37" s="1364"/>
      <c r="K37" s="1393"/>
      <c r="L37" s="1409"/>
      <c r="M37" s="1536"/>
      <c r="N37" s="1537"/>
      <c r="O37" s="1416"/>
      <c r="P37" s="1409"/>
      <c r="Q37" s="1414"/>
      <c r="R37" s="1414"/>
      <c r="S37" s="1370">
        <f t="shared" si="2"/>
        <v>0</v>
      </c>
      <c r="T37" s="1370"/>
      <c r="U37" s="1534"/>
      <c r="V37" s="1369">
        <f t="shared" si="1"/>
        <v>0</v>
      </c>
      <c r="W37" s="1371">
        <f>(Q37+((S37-4)*R37))*((100-P37)/100)</f>
        <v>0</v>
      </c>
      <c r="X37" s="1417"/>
      <c r="Y37" s="1418"/>
      <c r="Z37" s="1417"/>
      <c r="AA37" s="1419"/>
      <c r="AB37" s="1419"/>
      <c r="AC37" s="1419"/>
      <c r="AD37" s="1419"/>
      <c r="AE37" s="1419"/>
      <c r="AF37" s="1419"/>
    </row>
    <row r="38" spans="1:32" s="1420" customFormat="1" ht="13">
      <c r="A38" s="1360"/>
      <c r="B38" s="1360"/>
      <c r="C38" s="1361"/>
      <c r="D38" s="1406"/>
      <c r="E38" s="1361"/>
      <c r="F38" s="1407"/>
      <c r="G38" s="1407"/>
      <c r="H38" s="1362"/>
      <c r="I38" s="1364"/>
      <c r="J38" s="1364"/>
      <c r="K38" s="1361"/>
      <c r="L38" s="1365"/>
      <c r="M38" s="1366"/>
      <c r="N38" s="1367"/>
      <c r="O38" s="1406"/>
      <c r="P38" s="1443"/>
      <c r="Q38" s="1369"/>
      <c r="R38" s="1369"/>
      <c r="S38" s="1370">
        <f t="shared" si="2"/>
        <v>0</v>
      </c>
      <c r="T38" s="1370"/>
      <c r="U38" s="1406"/>
      <c r="V38" s="1439">
        <f t="shared" si="1"/>
        <v>0</v>
      </c>
      <c r="W38" s="1538">
        <f>Q38+R38*((S38*(100-P38)/100)-4)</f>
        <v>0</v>
      </c>
      <c r="X38" s="1417"/>
      <c r="Y38" s="1439">
        <f>(Q38+((S38-4)*R38))*((100-P38)/100)</f>
        <v>0</v>
      </c>
      <c r="Z38" s="1417"/>
      <c r="AA38" s="1419"/>
      <c r="AB38" s="1419"/>
      <c r="AC38" s="1419"/>
      <c r="AD38" s="1419"/>
      <c r="AE38" s="1419"/>
      <c r="AF38" s="1419"/>
    </row>
    <row r="39" spans="1:32" s="1420" customFormat="1">
      <c r="A39" s="1539"/>
      <c r="B39" s="1539"/>
      <c r="C39" s="1540"/>
      <c r="D39" s="1445"/>
      <c r="E39" s="1541"/>
      <c r="F39" s="1542"/>
      <c r="G39" s="1542"/>
      <c r="H39" s="1475"/>
      <c r="I39" s="1543"/>
      <c r="J39" s="1543"/>
      <c r="K39" s="1544"/>
      <c r="L39" s="1511"/>
      <c r="M39" s="1545"/>
      <c r="N39" s="1546"/>
      <c r="O39" s="1547"/>
      <c r="P39" s="1475"/>
      <c r="Q39" s="1369"/>
      <c r="R39" s="1369"/>
      <c r="S39" s="1370">
        <f t="shared" si="2"/>
        <v>0</v>
      </c>
      <c r="T39" s="1480"/>
      <c r="U39" s="1445"/>
      <c r="V39" s="1446">
        <f t="shared" ref="V39:V70" si="7">S39*R39*(100-P39)/100</f>
        <v>0</v>
      </c>
      <c r="W39" s="1447">
        <f>(Q39+((S39-8)*R39))*((100-P39)/100)</f>
        <v>0</v>
      </c>
      <c r="X39" s="1417"/>
      <c r="Y39" s="1418"/>
      <c r="Z39" s="1417"/>
      <c r="AA39" s="1419"/>
      <c r="AB39" s="1419"/>
      <c r="AC39" s="1419"/>
      <c r="AD39" s="1419"/>
      <c r="AE39" s="1419"/>
      <c r="AF39" s="1419"/>
    </row>
    <row r="40" spans="1:32" s="1420" customFormat="1">
      <c r="A40" s="1359"/>
      <c r="B40" s="1359"/>
      <c r="C40" s="1393"/>
      <c r="D40" s="1362"/>
      <c r="E40" s="1393"/>
      <c r="F40" s="1484"/>
      <c r="G40" s="1484"/>
      <c r="H40" s="1365"/>
      <c r="I40" s="1364"/>
      <c r="J40" s="1364"/>
      <c r="K40" s="1393"/>
      <c r="L40" s="1365"/>
      <c r="M40" s="1548"/>
      <c r="N40" s="1549"/>
      <c r="O40" s="1365"/>
      <c r="P40" s="1365"/>
      <c r="Q40" s="1369"/>
      <c r="R40" s="1369"/>
      <c r="S40" s="1370">
        <f t="shared" si="2"/>
        <v>0</v>
      </c>
      <c r="T40" s="1370"/>
      <c r="U40" s="1534"/>
      <c r="V40" s="1369">
        <f t="shared" si="7"/>
        <v>0</v>
      </c>
      <c r="W40" s="1371">
        <f>(Q40+((S40-0)*R40))*((100-P40)/100)</f>
        <v>0</v>
      </c>
      <c r="X40" s="1417"/>
      <c r="Y40" s="1440">
        <f>(Q40+((S40-4)*R40))*((100-P40)/100)</f>
        <v>0</v>
      </c>
      <c r="Z40" s="1417"/>
      <c r="AA40" s="1419"/>
      <c r="AB40" s="1419"/>
      <c r="AC40" s="1419"/>
      <c r="AD40" s="1419"/>
      <c r="AE40" s="1419"/>
      <c r="AF40" s="1419"/>
    </row>
    <row r="41" spans="1:32" s="1420" customFormat="1">
      <c r="A41" s="1359"/>
      <c r="B41" s="1359"/>
      <c r="C41" s="1393"/>
      <c r="D41" s="1406"/>
      <c r="E41" s="1393"/>
      <c r="F41" s="1535"/>
      <c r="G41" s="1535"/>
      <c r="H41" s="1365"/>
      <c r="I41" s="1550"/>
      <c r="J41" s="1543"/>
      <c r="K41" s="1393"/>
      <c r="L41" s="1551"/>
      <c r="M41" s="1548"/>
      <c r="N41" s="1549"/>
      <c r="O41" s="1534"/>
      <c r="P41" s="1365"/>
      <c r="Q41" s="1443"/>
      <c r="R41" s="1369"/>
      <c r="S41" s="1370">
        <f t="shared" si="2"/>
        <v>0</v>
      </c>
      <c r="T41" s="1370"/>
      <c r="U41" s="1534"/>
      <c r="V41" s="1369">
        <f t="shared" si="7"/>
        <v>0</v>
      </c>
      <c r="W41" s="1371">
        <f>(Q41+((S41-4)*R41))*((100-P41)/100)</f>
        <v>0</v>
      </c>
      <c r="X41" s="1417"/>
      <c r="Y41" s="1418"/>
      <c r="Z41" s="1417"/>
      <c r="AA41" s="1419"/>
      <c r="AB41" s="1419"/>
      <c r="AC41" s="1419"/>
      <c r="AD41" s="1419"/>
      <c r="AE41" s="1419"/>
      <c r="AF41" s="1419"/>
    </row>
    <row r="42" spans="1:32" s="1420" customFormat="1">
      <c r="A42" s="1427"/>
      <c r="B42" s="1427"/>
      <c r="C42" s="1552"/>
      <c r="D42" s="1409"/>
      <c r="E42" s="1552"/>
      <c r="F42" s="1553"/>
      <c r="G42" s="1553"/>
      <c r="H42" s="1409"/>
      <c r="I42" s="1364"/>
      <c r="J42" s="1364"/>
      <c r="K42" s="1552"/>
      <c r="L42" s="1449"/>
      <c r="M42" s="1554"/>
      <c r="N42" s="1555"/>
      <c r="O42" s="1435"/>
      <c r="P42" s="1449"/>
      <c r="Q42" s="1495"/>
      <c r="R42" s="1556"/>
      <c r="S42" s="1370">
        <f t="shared" si="2"/>
        <v>0</v>
      </c>
      <c r="T42" s="1415"/>
      <c r="U42" s="1416"/>
      <c r="V42" s="1414">
        <f t="shared" si="7"/>
        <v>0</v>
      </c>
      <c r="W42" s="1459">
        <f>(Q42+((S42-0)*R42))*((100-P42)/100)</f>
        <v>0</v>
      </c>
      <c r="X42" s="1417"/>
      <c r="Y42" s="1426"/>
      <c r="Z42" s="1417"/>
      <c r="AA42" s="1419"/>
      <c r="AB42" s="1419"/>
      <c r="AC42" s="1419"/>
      <c r="AD42" s="1419"/>
      <c r="AE42" s="1419"/>
      <c r="AF42" s="1419"/>
    </row>
    <row r="43" spans="1:32" s="1420" customFormat="1">
      <c r="A43" s="1427"/>
      <c r="B43" s="1427"/>
      <c r="C43" s="1552"/>
      <c r="D43" s="1408"/>
      <c r="E43" s="1552"/>
      <c r="F43" s="1553"/>
      <c r="G43" s="1553"/>
      <c r="H43" s="1409"/>
      <c r="I43" s="1536"/>
      <c r="J43" s="1536"/>
      <c r="K43" s="1557"/>
      <c r="L43" s="1399"/>
      <c r="M43" s="1531"/>
      <c r="N43" s="1486"/>
      <c r="O43" s="1399"/>
      <c r="P43" s="1399"/>
      <c r="Q43" s="1401"/>
      <c r="R43" s="1401"/>
      <c r="S43" s="1370">
        <f t="shared" si="2"/>
        <v>0</v>
      </c>
      <c r="T43" s="1415"/>
      <c r="U43" s="1558"/>
      <c r="V43" s="1559">
        <f t="shared" si="7"/>
        <v>0</v>
      </c>
      <c r="W43" s="1501">
        <f>(Q43+((S43-0)*R43))*((100-P43)/100)</f>
        <v>0</v>
      </c>
      <c r="X43" s="1419"/>
      <c r="Y43" s="1419"/>
      <c r="Z43" s="1419"/>
      <c r="AA43" s="1419"/>
      <c r="AB43" s="1419"/>
      <c r="AC43" s="1419"/>
      <c r="AD43" s="1419"/>
      <c r="AE43" s="1419"/>
      <c r="AF43" s="1419"/>
    </row>
    <row r="44" spans="1:32" s="1420" customFormat="1">
      <c r="A44" s="1448"/>
      <c r="B44" s="1434"/>
      <c r="C44" s="1560"/>
      <c r="D44" s="1460"/>
      <c r="E44" s="1560"/>
      <c r="F44" s="1561"/>
      <c r="G44" s="1561"/>
      <c r="H44" s="1449"/>
      <c r="I44" s="1562"/>
      <c r="J44" s="1562"/>
      <c r="K44" s="1563"/>
      <c r="L44" s="1399"/>
      <c r="M44" s="1531"/>
      <c r="N44" s="1486"/>
      <c r="O44" s="1399"/>
      <c r="P44" s="1468"/>
      <c r="Q44" s="1401"/>
      <c r="R44" s="1401"/>
      <c r="S44" s="1370">
        <f t="shared" si="2"/>
        <v>0</v>
      </c>
      <c r="T44" s="1444"/>
      <c r="U44" s="1564"/>
      <c r="V44" s="1565">
        <f t="shared" si="7"/>
        <v>0</v>
      </c>
      <c r="W44" s="1566">
        <f>V44</f>
        <v>0</v>
      </c>
      <c r="X44" s="1419"/>
      <c r="Y44" s="1419"/>
      <c r="Z44" s="1419"/>
      <c r="AA44" s="1419"/>
      <c r="AB44" s="1419"/>
      <c r="AC44" s="1419"/>
      <c r="AD44" s="1419"/>
      <c r="AE44" s="1419"/>
      <c r="AF44" s="1419"/>
    </row>
    <row r="45" spans="1:32" s="1420" customFormat="1">
      <c r="A45" s="1359"/>
      <c r="B45" s="1359"/>
      <c r="C45" s="1393"/>
      <c r="D45" s="1362"/>
      <c r="E45" s="1393"/>
      <c r="F45" s="1484"/>
      <c r="G45" s="1484"/>
      <c r="H45" s="1365"/>
      <c r="I45" s="1364"/>
      <c r="J45" s="1364"/>
      <c r="K45" s="1394"/>
      <c r="L45" s="1399"/>
      <c r="M45" s="1531"/>
      <c r="N45" s="1486"/>
      <c r="O45" s="1399"/>
      <c r="P45" s="1399"/>
      <c r="Q45" s="1401"/>
      <c r="R45" s="1401"/>
      <c r="S45" s="1370">
        <f t="shared" si="2"/>
        <v>0</v>
      </c>
      <c r="T45" s="1444"/>
      <c r="U45" s="1567"/>
      <c r="V45" s="1443">
        <f t="shared" si="7"/>
        <v>0</v>
      </c>
      <c r="W45" s="1425">
        <f>V45</f>
        <v>0</v>
      </c>
      <c r="X45" s="1419"/>
      <c r="Y45" s="1419"/>
      <c r="Z45" s="1419"/>
      <c r="AA45" s="1419"/>
      <c r="AB45" s="1419"/>
      <c r="AC45" s="1419"/>
      <c r="AD45" s="1419"/>
      <c r="AE45" s="1419"/>
      <c r="AF45" s="1419"/>
    </row>
    <row r="46" spans="1:32" s="1420" customFormat="1">
      <c r="A46" s="1434"/>
      <c r="B46" s="1434"/>
      <c r="C46" s="1560"/>
      <c r="D46" s="1460"/>
      <c r="E46" s="1560"/>
      <c r="F46" s="1561"/>
      <c r="G46" s="1561"/>
      <c r="H46" s="1449"/>
      <c r="I46" s="1562"/>
      <c r="J46" s="1562"/>
      <c r="K46" s="1563"/>
      <c r="L46" s="1399"/>
      <c r="M46" s="1531"/>
      <c r="N46" s="1486"/>
      <c r="O46" s="1399"/>
      <c r="P46" s="1399"/>
      <c r="Q46" s="1487"/>
      <c r="R46" s="1401"/>
      <c r="S46" s="1370">
        <f t="shared" si="2"/>
        <v>0</v>
      </c>
      <c r="T46" s="1696"/>
      <c r="U46" s="1568"/>
      <c r="V46" s="1401">
        <f t="shared" si="7"/>
        <v>0</v>
      </c>
      <c r="W46" s="1431">
        <f>(Q46+((S46-4)*R46))*((100-P46)/100)</f>
        <v>0</v>
      </c>
      <c r="X46" s="1419"/>
      <c r="Y46" s="1419"/>
      <c r="Z46" s="1419"/>
      <c r="AA46" s="1419"/>
      <c r="AB46" s="1419"/>
      <c r="AC46" s="1419"/>
      <c r="AD46" s="1419"/>
      <c r="AE46" s="1419"/>
      <c r="AF46" s="1419"/>
    </row>
    <row r="47" spans="1:32" s="1574" customFormat="1">
      <c r="A47" s="1360"/>
      <c r="B47" s="1359"/>
      <c r="C47" s="1393"/>
      <c r="D47" s="1406"/>
      <c r="E47" s="1393"/>
      <c r="F47" s="1535"/>
      <c r="G47" s="1535"/>
      <c r="H47" s="1365"/>
      <c r="I47" s="1364"/>
      <c r="J47" s="1364"/>
      <c r="K47" s="1393"/>
      <c r="L47" s="1409"/>
      <c r="M47" s="1569"/>
      <c r="N47" s="1570"/>
      <c r="O47" s="1416"/>
      <c r="P47" s="1408"/>
      <c r="Q47" s="1414"/>
      <c r="R47" s="1414"/>
      <c r="S47" s="1370">
        <f t="shared" si="2"/>
        <v>0</v>
      </c>
      <c r="T47" s="1415"/>
      <c r="U47" s="1412"/>
      <c r="V47" s="1533">
        <f t="shared" si="7"/>
        <v>0</v>
      </c>
      <c r="W47" s="1571">
        <f>(Q47+((S47-8)*R47))*((100-P47)/100)</f>
        <v>0</v>
      </c>
      <c r="X47" s="1572"/>
      <c r="Y47" s="1573"/>
      <c r="Z47" s="1572"/>
    </row>
    <row r="48" spans="1:32" s="1420" customFormat="1">
      <c r="A48" s="1441"/>
      <c r="B48" s="1427"/>
      <c r="C48" s="1552"/>
      <c r="D48" s="1412"/>
      <c r="E48" s="1552"/>
      <c r="F48" s="1575"/>
      <c r="G48" s="1575"/>
      <c r="H48" s="1409"/>
      <c r="I48" s="1536"/>
      <c r="J48" s="1536"/>
      <c r="K48" s="1552"/>
      <c r="L48" s="1435"/>
      <c r="M48" s="1576"/>
      <c r="N48" s="1555"/>
      <c r="O48" s="1438"/>
      <c r="P48" s="1475"/>
      <c r="Q48" s="1443"/>
      <c r="R48" s="1443"/>
      <c r="S48" s="1370">
        <f t="shared" si="2"/>
        <v>0</v>
      </c>
      <c r="T48" s="1480"/>
      <c r="U48" s="1445"/>
      <c r="V48" s="1577">
        <f t="shared" si="7"/>
        <v>0</v>
      </c>
      <c r="W48" s="1490">
        <f>(Q48+((S48-4)*R48))*((100-P48)/100)</f>
        <v>0</v>
      </c>
      <c r="X48" s="1417"/>
      <c r="Y48" s="1418"/>
      <c r="Z48" s="1417"/>
      <c r="AA48" s="1419"/>
      <c r="AB48" s="1419"/>
      <c r="AC48" s="1419"/>
      <c r="AD48" s="1419"/>
      <c r="AE48" s="1419"/>
      <c r="AF48" s="1419"/>
    </row>
    <row r="49" spans="1:32" s="1420" customFormat="1">
      <c r="A49" s="1359"/>
      <c r="B49" s="1359"/>
      <c r="C49" s="1393"/>
      <c r="D49" s="1362"/>
      <c r="E49" s="1393"/>
      <c r="F49" s="1484"/>
      <c r="G49" s="1484"/>
      <c r="H49" s="1365"/>
      <c r="I49" s="1578"/>
      <c r="J49" s="1536"/>
      <c r="K49" s="1394"/>
      <c r="L49" s="1399"/>
      <c r="M49" s="1395"/>
      <c r="N49" s="1486"/>
      <c r="O49" s="1399"/>
      <c r="P49" s="1399"/>
      <c r="Q49" s="1472"/>
      <c r="R49" s="1401"/>
      <c r="S49" s="1370">
        <f t="shared" si="2"/>
        <v>0</v>
      </c>
      <c r="T49" s="1696"/>
      <c r="U49" s="1473"/>
      <c r="V49" s="1401">
        <f t="shared" si="7"/>
        <v>0</v>
      </c>
      <c r="W49" s="1431">
        <f>(Q49+((S49-0)*R49))*((100-P49)/100)</f>
        <v>0</v>
      </c>
      <c r="X49" s="1419"/>
      <c r="Y49" s="1440">
        <f>(Q49+((S49-0)*R49))*((100-P49)/100)</f>
        <v>0</v>
      </c>
      <c r="Z49" s="1419"/>
      <c r="AA49" s="1419"/>
      <c r="AB49" s="1419"/>
      <c r="AC49" s="1419"/>
      <c r="AD49" s="1419"/>
      <c r="AE49" s="1419"/>
      <c r="AF49" s="1419"/>
    </row>
    <row r="50" spans="1:32" s="1420" customFormat="1">
      <c r="A50" s="1579"/>
      <c r="B50" s="1579"/>
      <c r="C50" s="1580"/>
      <c r="D50" s="1518"/>
      <c r="E50" s="1580"/>
      <c r="F50" s="1581"/>
      <c r="G50" s="1581"/>
      <c r="H50" s="1518"/>
      <c r="I50" s="1562"/>
      <c r="J50" s="1562"/>
      <c r="K50" s="1582"/>
      <c r="L50" s="1583"/>
      <c r="M50" s="1519"/>
      <c r="N50" s="1584"/>
      <c r="O50" s="1585"/>
      <c r="P50" s="1521"/>
      <c r="Q50" s="1586"/>
      <c r="R50" s="1587"/>
      <c r="S50" s="1370">
        <f t="shared" si="2"/>
        <v>0</v>
      </c>
      <c r="T50" s="1696"/>
      <c r="U50" s="1588"/>
      <c r="V50" s="1523">
        <f t="shared" si="7"/>
        <v>0</v>
      </c>
      <c r="W50" s="1589">
        <f>(Q50+((S50-0)*R50))*((100-P50)/100)</f>
        <v>0</v>
      </c>
      <c r="X50" s="1466"/>
      <c r="Y50" s="1590"/>
      <c r="Z50" s="1466"/>
      <c r="AA50" s="1466"/>
      <c r="AB50" s="1466"/>
      <c r="AC50" s="1466"/>
      <c r="AD50" s="1466"/>
      <c r="AE50" s="1466"/>
      <c r="AF50" s="1466"/>
    </row>
    <row r="51" spans="1:32" s="1420" customFormat="1">
      <c r="A51" s="1359"/>
      <c r="B51" s="1359"/>
      <c r="C51" s="1393"/>
      <c r="D51" s="1406"/>
      <c r="E51" s="1393"/>
      <c r="F51" s="1535"/>
      <c r="G51" s="1535"/>
      <c r="H51" s="1365"/>
      <c r="I51" s="1364"/>
      <c r="J51" s="1364"/>
      <c r="K51" s="1393"/>
      <c r="L51" s="1364"/>
      <c r="M51" s="1364"/>
      <c r="N51" s="1549"/>
      <c r="O51" s="1534"/>
      <c r="P51" s="1365"/>
      <c r="Q51" s="1413"/>
      <c r="R51" s="1369"/>
      <c r="S51" s="1370">
        <f t="shared" si="2"/>
        <v>0</v>
      </c>
      <c r="T51" s="1370"/>
      <c r="U51" s="1534"/>
      <c r="V51" s="1369">
        <f t="shared" si="7"/>
        <v>0</v>
      </c>
      <c r="W51" s="1371">
        <f>(Q51+((S51-0)*R51))*((100-P51)/100)</f>
        <v>0</v>
      </c>
      <c r="X51" s="1417"/>
      <c r="Y51" s="1418"/>
      <c r="Z51" s="1417"/>
      <c r="AA51" s="1419"/>
      <c r="AB51" s="1419"/>
      <c r="AC51" s="1419"/>
      <c r="AD51" s="1419"/>
      <c r="AE51" s="1419"/>
      <c r="AF51" s="1419"/>
    </row>
    <row r="52" spans="1:32" s="1420" customFormat="1">
      <c r="A52" s="1539"/>
      <c r="B52" s="1497"/>
      <c r="C52" s="1591"/>
      <c r="D52" s="1445"/>
      <c r="E52" s="1591"/>
      <c r="F52" s="1592"/>
      <c r="G52" s="1592"/>
      <c r="H52" s="1435"/>
      <c r="I52" s="1543"/>
      <c r="J52" s="1543"/>
      <c r="K52" s="1591"/>
      <c r="L52" s="1562"/>
      <c r="M52" s="1562"/>
      <c r="N52" s="1555"/>
      <c r="O52" s="1438"/>
      <c r="P52" s="1475"/>
      <c r="Q52" s="1593"/>
      <c r="R52" s="1479"/>
      <c r="S52" s="1370">
        <f t="shared" si="2"/>
        <v>0</v>
      </c>
      <c r="T52" s="1480"/>
      <c r="U52" s="1445"/>
      <c r="V52" s="1577">
        <f t="shared" si="7"/>
        <v>0</v>
      </c>
      <c r="W52" s="1490">
        <f>(Q52+((S52-0)*R52))*((100-P52)/100)</f>
        <v>0</v>
      </c>
      <c r="X52" s="1417"/>
      <c r="Y52" s="1418"/>
      <c r="Z52" s="1417"/>
      <c r="AA52" s="1419"/>
      <c r="AB52" s="1419"/>
      <c r="AC52" s="1419"/>
      <c r="AD52" s="1419"/>
      <c r="AE52" s="1419"/>
      <c r="AF52" s="1419"/>
    </row>
    <row r="53" spans="1:32" s="1466" customFormat="1">
      <c r="A53" s="1594"/>
      <c r="B53" s="1434"/>
      <c r="C53" s="1560"/>
      <c r="D53" s="1460"/>
      <c r="E53" s="1560"/>
      <c r="F53" s="1561"/>
      <c r="G53" s="1561"/>
      <c r="H53" s="1449"/>
      <c r="I53" s="1562"/>
      <c r="J53" s="1562"/>
      <c r="K53" s="1563"/>
      <c r="L53" s="1399"/>
      <c r="M53" s="1395"/>
      <c r="N53" s="1486"/>
      <c r="O53" s="1399"/>
      <c r="P53" s="1595"/>
      <c r="Q53" s="1596"/>
      <c r="R53" s="1401"/>
      <c r="S53" s="1370">
        <f t="shared" si="2"/>
        <v>0</v>
      </c>
      <c r="T53" s="1444"/>
      <c r="U53" s="1597"/>
      <c r="V53" s="1464">
        <f t="shared" si="7"/>
        <v>0</v>
      </c>
      <c r="W53" s="1598">
        <f>(Q53+((S53-0)*R53))*((100-P53)/100)</f>
        <v>0</v>
      </c>
      <c r="X53" s="1419"/>
      <c r="Y53" s="1419"/>
      <c r="Z53" s="1419"/>
      <c r="AA53" s="1419"/>
      <c r="AB53" s="1419"/>
      <c r="AC53" s="1419"/>
      <c r="AD53" s="1419"/>
      <c r="AE53" s="1419"/>
      <c r="AF53" s="1419"/>
    </row>
    <row r="54" spans="1:32" s="1420" customFormat="1">
      <c r="A54" s="1599"/>
      <c r="B54" s="1359"/>
      <c r="C54" s="1393"/>
      <c r="D54" s="1362"/>
      <c r="E54" s="1393"/>
      <c r="F54" s="1484"/>
      <c r="G54" s="1484"/>
      <c r="H54" s="1365"/>
      <c r="I54" s="1364"/>
      <c r="J54" s="1364"/>
      <c r="K54" s="1394"/>
      <c r="L54" s="1399"/>
      <c r="M54" s="1395"/>
      <c r="N54" s="1486"/>
      <c r="O54" s="1399"/>
      <c r="P54" s="1600"/>
      <c r="Q54" s="1601"/>
      <c r="R54" s="1401"/>
      <c r="S54" s="1370">
        <f t="shared" si="2"/>
        <v>0</v>
      </c>
      <c r="T54" s="1444"/>
      <c r="U54" s="1597"/>
      <c r="V54" s="1464">
        <f t="shared" si="7"/>
        <v>0</v>
      </c>
      <c r="W54" s="1598">
        <f>(Q54+((S54-8)*R54))*((100-P54)/100)</f>
        <v>0</v>
      </c>
      <c r="X54" s="1419"/>
      <c r="Y54" s="1419"/>
      <c r="Z54" s="1419"/>
      <c r="AA54" s="1419"/>
      <c r="AB54" s="1419"/>
      <c r="AC54" s="1419"/>
      <c r="AD54" s="1419"/>
      <c r="AE54" s="1419"/>
      <c r="AF54" s="1419"/>
    </row>
    <row r="55" spans="1:32" s="1420" customFormat="1" ht="13">
      <c r="A55" s="1497"/>
      <c r="B55" s="1539"/>
      <c r="C55" s="1540"/>
      <c r="D55" s="1475"/>
      <c r="E55" s="1541"/>
      <c r="F55" s="1602"/>
      <c r="G55" s="1602"/>
      <c r="H55" s="1475"/>
      <c r="I55" s="1543"/>
      <c r="J55" s="1543"/>
      <c r="K55" s="1544"/>
      <c r="L55" s="1399"/>
      <c r="M55" s="1470"/>
      <c r="N55" s="1471"/>
      <c r="O55" s="1468"/>
      <c r="P55" s="1498"/>
      <c r="Q55" s="1603"/>
      <c r="R55" s="1401"/>
      <c r="S55" s="1370">
        <f t="shared" si="2"/>
        <v>0</v>
      </c>
      <c r="T55" s="1696"/>
      <c r="U55" s="1604"/>
      <c r="V55" s="1443">
        <f t="shared" si="7"/>
        <v>0</v>
      </c>
      <c r="W55" s="1425">
        <f>(Q55+((S55-0)*R55))*((100-P55)/100)</f>
        <v>0</v>
      </c>
      <c r="X55" s="1417"/>
      <c r="Y55" s="1510">
        <f>W55*((100-P55)/100)</f>
        <v>0</v>
      </c>
      <c r="Z55" s="1417"/>
      <c r="AA55" s="1419"/>
      <c r="AB55" s="1419"/>
      <c r="AC55" s="1419"/>
      <c r="AD55" s="1419"/>
      <c r="AE55" s="1419"/>
      <c r="AF55" s="1419"/>
    </row>
    <row r="56" spans="1:32" s="1420" customFormat="1">
      <c r="A56" s="1360"/>
      <c r="B56" s="1359"/>
      <c r="C56" s="1393"/>
      <c r="D56" s="1362"/>
      <c r="E56" s="1483"/>
      <c r="F56" s="1484"/>
      <c r="G56" s="1485"/>
      <c r="H56" s="1399"/>
      <c r="I56" s="1469"/>
      <c r="J56" s="1364"/>
      <c r="K56" s="1394"/>
      <c r="L56" s="1502"/>
      <c r="M56" s="1605"/>
      <c r="N56" s="1606"/>
      <c r="O56" s="1502"/>
      <c r="P56" s="1505"/>
      <c r="Q56" s="1607"/>
      <c r="R56" s="1508"/>
      <c r="S56" s="1370">
        <f t="shared" si="2"/>
        <v>0</v>
      </c>
      <c r="T56" s="1696"/>
      <c r="U56" s="1452"/>
      <c r="V56" s="1453">
        <f t="shared" si="7"/>
        <v>0</v>
      </c>
      <c r="W56" s="1608">
        <f>Q56+((S56-0)*R56)</f>
        <v>0</v>
      </c>
      <c r="X56" s="1419"/>
      <c r="Y56" s="1473"/>
      <c r="Z56" s="1419"/>
      <c r="AA56" s="1419"/>
      <c r="AB56" s="1419"/>
      <c r="AC56" s="1419"/>
      <c r="AD56" s="1419"/>
      <c r="AE56" s="1419"/>
      <c r="AF56" s="1419"/>
    </row>
    <row r="57" spans="1:32" s="1492" customFormat="1" ht="13">
      <c r="A57" s="1359"/>
      <c r="B57" s="1360"/>
      <c r="C57" s="1361"/>
      <c r="D57" s="1362"/>
      <c r="E57" s="1609"/>
      <c r="F57" s="1363"/>
      <c r="G57" s="1363"/>
      <c r="H57" s="1408"/>
      <c r="I57" s="1364"/>
      <c r="J57" s="1364"/>
      <c r="K57" s="1361"/>
      <c r="L57" s="1435"/>
      <c r="M57" s="1476"/>
      <c r="N57" s="1477"/>
      <c r="O57" s="1475"/>
      <c r="P57" s="1610"/>
      <c r="Q57" s="1479"/>
      <c r="R57" s="1479"/>
      <c r="S57" s="1370">
        <f t="shared" si="2"/>
        <v>0</v>
      </c>
      <c r="T57" s="1415"/>
      <c r="U57" s="1416"/>
      <c r="V57" s="1414">
        <f t="shared" si="7"/>
        <v>0</v>
      </c>
      <c r="W57" s="1371">
        <f t="shared" ref="W57:W62" si="8">(Q57+((S57-0)*R57))*((100-P57)/100)</f>
        <v>0</v>
      </c>
      <c r="X57" s="1417"/>
      <c r="Y57" s="1510">
        <f>W57*((100-P57)/100)</f>
        <v>0</v>
      </c>
      <c r="Z57" s="1417"/>
      <c r="AA57" s="1419"/>
      <c r="AB57" s="1419"/>
      <c r="AC57" s="1419"/>
      <c r="AD57" s="1419"/>
      <c r="AE57" s="1419"/>
      <c r="AF57" s="1419"/>
    </row>
    <row r="58" spans="1:32" s="1420" customFormat="1" ht="14">
      <c r="A58" s="1434"/>
      <c r="B58" s="1448"/>
      <c r="C58" s="1611"/>
      <c r="D58" s="1460"/>
      <c r="E58" s="1612"/>
      <c r="F58" s="1613"/>
      <c r="G58" s="1613"/>
      <c r="H58" s="1460"/>
      <c r="I58" s="1562"/>
      <c r="J58" s="1562"/>
      <c r="K58" s="1614"/>
      <c r="L58" s="1399"/>
      <c r="M58" s="1470"/>
      <c r="N58" s="1471"/>
      <c r="O58" s="1468"/>
      <c r="P58" s="1615"/>
      <c r="Q58" s="1401"/>
      <c r="R58" s="1401"/>
      <c r="S58" s="1370">
        <f t="shared" si="2"/>
        <v>0</v>
      </c>
      <c r="T58" s="1444"/>
      <c r="U58" s="1616"/>
      <c r="V58" s="1443">
        <f t="shared" si="7"/>
        <v>0</v>
      </c>
      <c r="W58" s="1425">
        <f t="shared" si="8"/>
        <v>0</v>
      </c>
      <c r="X58" s="1417"/>
      <c r="Y58" s="1426"/>
      <c r="Z58" s="1417"/>
      <c r="AA58" s="1419"/>
      <c r="AB58" s="1419"/>
      <c r="AC58" s="1419"/>
      <c r="AD58" s="1419"/>
      <c r="AE58" s="1419"/>
      <c r="AF58" s="1419"/>
    </row>
    <row r="59" spans="1:32" s="1420" customFormat="1" ht="13" customHeight="1">
      <c r="A59" s="1359"/>
      <c r="B59" s="1360"/>
      <c r="C59" s="1361"/>
      <c r="D59" s="1362"/>
      <c r="E59" s="1609"/>
      <c r="F59" s="1363"/>
      <c r="G59" s="1363"/>
      <c r="H59" s="1362"/>
      <c r="I59" s="1543"/>
      <c r="J59" s="1543"/>
      <c r="K59" s="1614"/>
      <c r="L59" s="1399"/>
      <c r="M59" s="1470"/>
      <c r="N59" s="1471"/>
      <c r="O59" s="1468"/>
      <c r="P59" s="1615"/>
      <c r="Q59" s="1401"/>
      <c r="R59" s="1401"/>
      <c r="S59" s="1370">
        <f t="shared" si="2"/>
        <v>0</v>
      </c>
      <c r="T59" s="1370"/>
      <c r="U59" s="1534"/>
      <c r="V59" s="1369">
        <f t="shared" si="7"/>
        <v>0</v>
      </c>
      <c r="W59" s="1371">
        <f t="shared" si="8"/>
        <v>0</v>
      </c>
      <c r="X59" s="1417"/>
      <c r="Y59" s="1418"/>
      <c r="Z59" s="1417"/>
      <c r="AA59" s="1419"/>
      <c r="AB59" s="1419"/>
      <c r="AC59" s="1419"/>
      <c r="AD59" s="1419"/>
      <c r="AE59" s="1419"/>
      <c r="AF59" s="1419"/>
    </row>
    <row r="60" spans="1:32" s="1620" customFormat="1" ht="13">
      <c r="A60" s="1427"/>
      <c r="B60" s="1441"/>
      <c r="C60" s="1617"/>
      <c r="D60" s="1408"/>
      <c r="E60" s="1618"/>
      <c r="F60" s="1619"/>
      <c r="G60" s="1619"/>
      <c r="H60" s="1408"/>
      <c r="I60" s="1364"/>
      <c r="J60" s="1364"/>
      <c r="K60" s="1456"/>
      <c r="L60" s="1399"/>
      <c r="M60" s="1470"/>
      <c r="N60" s="1471"/>
      <c r="O60" s="1468"/>
      <c r="P60" s="1399"/>
      <c r="Q60" s="1401"/>
      <c r="R60" s="1401"/>
      <c r="S60" s="1370">
        <f t="shared" si="2"/>
        <v>0</v>
      </c>
      <c r="T60" s="1415"/>
      <c r="U60" s="1416"/>
      <c r="V60" s="1559">
        <f t="shared" si="7"/>
        <v>0</v>
      </c>
      <c r="W60" s="1501">
        <f t="shared" si="8"/>
        <v>0</v>
      </c>
      <c r="X60" s="1417"/>
      <c r="Y60" s="1418"/>
      <c r="Z60" s="1417"/>
      <c r="AA60" s="1419"/>
      <c r="AB60" s="1419"/>
      <c r="AC60" s="1419"/>
      <c r="AD60" s="1419"/>
      <c r="AE60" s="1419"/>
      <c r="AF60" s="1419"/>
    </row>
    <row r="61" spans="1:32" s="1420" customFormat="1">
      <c r="A61" s="1448"/>
      <c r="B61" s="1434"/>
      <c r="C61" s="1560"/>
      <c r="D61" s="1463"/>
      <c r="E61" s="1621"/>
      <c r="F61" s="1622"/>
      <c r="G61" s="1622"/>
      <c r="H61" s="1449"/>
      <c r="I61" s="1543"/>
      <c r="J61" s="1543"/>
      <c r="K61" s="1582"/>
      <c r="L61" s="1623"/>
      <c r="M61" s="1543"/>
      <c r="N61" s="1624"/>
      <c r="O61" s="1625"/>
      <c r="P61" s="1626"/>
      <c r="Q61" s="1627"/>
      <c r="R61" s="1627"/>
      <c r="S61" s="1370">
        <f t="shared" si="2"/>
        <v>0</v>
      </c>
      <c r="T61" s="1444"/>
      <c r="U61" s="1463"/>
      <c r="V61" s="1565">
        <f t="shared" si="7"/>
        <v>0</v>
      </c>
      <c r="W61" s="1566">
        <f t="shared" si="8"/>
        <v>0</v>
      </c>
      <c r="X61" s="1417"/>
      <c r="Y61" s="1431">
        <f>(Q61+((S61-0)*R61))*((100-P61)/100)</f>
        <v>0</v>
      </c>
      <c r="Z61" s="1417"/>
      <c r="AA61" s="1419"/>
      <c r="AB61" s="1419"/>
      <c r="AC61" s="1419"/>
      <c r="AD61" s="1419"/>
      <c r="AE61" s="1419"/>
      <c r="AF61" s="1419"/>
    </row>
    <row r="62" spans="1:32" s="1420" customFormat="1">
      <c r="A62" s="1359"/>
      <c r="B62" s="1359"/>
      <c r="C62" s="1393"/>
      <c r="D62" s="1362"/>
      <c r="E62" s="1483"/>
      <c r="F62" s="1484"/>
      <c r="G62" s="1484"/>
      <c r="H62" s="1365"/>
      <c r="I62" s="1364"/>
      <c r="J62" s="1364"/>
      <c r="K62" s="1394"/>
      <c r="L62" s="1513"/>
      <c r="M62" s="1628"/>
      <c r="N62" s="1629"/>
      <c r="O62" s="1449"/>
      <c r="P62" s="1449"/>
      <c r="Q62" s="1630"/>
      <c r="R62" s="1443"/>
      <c r="S62" s="1370">
        <f t="shared" si="2"/>
        <v>0</v>
      </c>
      <c r="T62" s="1370"/>
      <c r="U62" s="1422"/>
      <c r="V62" s="1369">
        <f t="shared" si="7"/>
        <v>0</v>
      </c>
      <c r="W62" s="1371">
        <f t="shared" si="8"/>
        <v>0</v>
      </c>
      <c r="X62" s="1419"/>
      <c r="Y62" s="1473"/>
      <c r="Z62" s="1419"/>
      <c r="AA62" s="1419"/>
      <c r="AB62" s="1419"/>
      <c r="AC62" s="1419"/>
      <c r="AD62" s="1419"/>
      <c r="AE62" s="1419"/>
      <c r="AF62" s="1419"/>
    </row>
    <row r="63" spans="1:32" s="1420" customFormat="1">
      <c r="A63" s="1631"/>
      <c r="B63" s="1427"/>
      <c r="C63" s="1552"/>
      <c r="D63" s="1408"/>
      <c r="E63" s="1632"/>
      <c r="F63" s="1553"/>
      <c r="G63" s="1553"/>
      <c r="H63" s="1409"/>
      <c r="I63" s="1536"/>
      <c r="J63" s="1536"/>
      <c r="K63" s="1557"/>
      <c r="L63" s="1399"/>
      <c r="M63" s="1395"/>
      <c r="N63" s="1486"/>
      <c r="O63" s="1399"/>
      <c r="P63" s="1633"/>
      <c r="Q63" s="1634"/>
      <c r="R63" s="1401"/>
      <c r="S63" s="1370">
        <f t="shared" si="2"/>
        <v>0</v>
      </c>
      <c r="T63" s="1696"/>
      <c r="U63" s="1635"/>
      <c r="V63" s="1636">
        <f t="shared" si="7"/>
        <v>0</v>
      </c>
      <c r="W63" s="1637">
        <f>Q63+((S63-0)*R63)</f>
        <v>0</v>
      </c>
      <c r="X63" s="1620"/>
      <c r="Y63" s="1638"/>
      <c r="Z63" s="1620"/>
      <c r="AA63" s="1620"/>
      <c r="AB63" s="1620"/>
      <c r="AC63" s="1620"/>
      <c r="AD63" s="1620"/>
      <c r="AE63" s="1620"/>
      <c r="AF63" s="1620"/>
    </row>
    <row r="64" spans="1:32" s="1420" customFormat="1">
      <c r="A64" s="1359"/>
      <c r="B64" s="1359"/>
      <c r="C64" s="1393"/>
      <c r="D64" s="1362"/>
      <c r="E64" s="1483"/>
      <c r="F64" s="1484"/>
      <c r="G64" s="1484"/>
      <c r="H64" s="1365"/>
      <c r="I64" s="1364"/>
      <c r="J64" s="1364"/>
      <c r="K64" s="1394"/>
      <c r="L64" s="1502"/>
      <c r="M64" s="1578"/>
      <c r="N64" s="1606"/>
      <c r="O64" s="1639"/>
      <c r="P64" s="1409"/>
      <c r="Q64" s="1640"/>
      <c r="R64" s="1414"/>
      <c r="S64" s="1370">
        <f t="shared" si="2"/>
        <v>0</v>
      </c>
      <c r="T64" s="1415"/>
      <c r="U64" s="1416"/>
      <c r="V64" s="1559">
        <f t="shared" si="7"/>
        <v>0</v>
      </c>
      <c r="W64" s="1501">
        <f>(Q64+((S64-0)*R64))*((100-P64)/100)</f>
        <v>0</v>
      </c>
      <c r="X64" s="1641"/>
      <c r="Y64" s="1431">
        <f>(Q64+((S64-0)*R64))*((100-P64)/100)</f>
        <v>0</v>
      </c>
      <c r="Z64" s="1417"/>
      <c r="AA64" s="1419"/>
      <c r="AB64" s="1419"/>
      <c r="AC64" s="1419"/>
      <c r="AD64" s="1419"/>
      <c r="AE64" s="1419"/>
      <c r="AF64" s="1419"/>
    </row>
    <row r="65" spans="1:32" s="1420" customFormat="1">
      <c r="A65" s="1448"/>
      <c r="B65" s="1434"/>
      <c r="C65" s="1560"/>
      <c r="D65" s="1460"/>
      <c r="E65" s="1621"/>
      <c r="F65" s="1561"/>
      <c r="G65" s="1561"/>
      <c r="H65" s="1449"/>
      <c r="I65" s="1562"/>
      <c r="J65" s="1562"/>
      <c r="K65" s="1563"/>
      <c r="L65" s="1514"/>
      <c r="M65" s="1628"/>
      <c r="N65" s="1515"/>
      <c r="O65" s="1642"/>
      <c r="P65" s="1449"/>
      <c r="Q65" s="1643"/>
      <c r="R65" s="1443"/>
      <c r="S65" s="1370">
        <f t="shared" si="2"/>
        <v>0</v>
      </c>
      <c r="T65" s="1444"/>
      <c r="U65" s="1564"/>
      <c r="V65" s="1565">
        <f t="shared" si="7"/>
        <v>0</v>
      </c>
      <c r="W65" s="1482">
        <f>(Q65+((S65-0)*R65))*((100-P65)/100)</f>
        <v>0</v>
      </c>
      <c r="X65" s="1419"/>
      <c r="Y65" s="1440">
        <f>(Q65+((S65-0)*R65))*((100-P65)/100)</f>
        <v>0</v>
      </c>
      <c r="Z65" s="1419"/>
      <c r="AA65" s="1419"/>
      <c r="AB65" s="1419"/>
      <c r="AC65" s="1419"/>
      <c r="AD65" s="1419"/>
      <c r="AE65" s="1419"/>
      <c r="AF65" s="1419"/>
    </row>
    <row r="66" spans="1:32" s="1420" customFormat="1">
      <c r="A66" s="1360"/>
      <c r="B66" s="1359"/>
      <c r="C66" s="1393"/>
      <c r="D66" s="1362"/>
      <c r="E66" s="1483"/>
      <c r="F66" s="1484"/>
      <c r="G66" s="1484"/>
      <c r="H66" s="1365"/>
      <c r="I66" s="1644"/>
      <c r="J66" s="1644"/>
      <c r="K66" s="1394"/>
      <c r="L66" s="1399"/>
      <c r="M66" s="1645"/>
      <c r="N66" s="1646"/>
      <c r="O66" s="1399"/>
      <c r="P66" s="1468"/>
      <c r="Q66" s="1647"/>
      <c r="R66" s="1401"/>
      <c r="S66" s="1370">
        <f t="shared" si="2"/>
        <v>0</v>
      </c>
      <c r="T66" s="1444"/>
      <c r="U66" s="1463"/>
      <c r="V66" s="1464">
        <f t="shared" si="7"/>
        <v>0</v>
      </c>
      <c r="W66" s="1425">
        <f>V66</f>
        <v>0</v>
      </c>
      <c r="X66" s="1417"/>
      <c r="Y66" s="1426"/>
      <c r="Z66" s="1417"/>
      <c r="AA66" s="1491"/>
      <c r="AB66" s="1491"/>
      <c r="AC66" s="1491"/>
      <c r="AD66" s="1491"/>
      <c r="AE66" s="1491"/>
      <c r="AF66" s="1491"/>
    </row>
    <row r="67" spans="1:32" s="1420" customFormat="1">
      <c r="A67" s="1427"/>
      <c r="B67" s="1427"/>
      <c r="C67" s="1552"/>
      <c r="D67" s="1409"/>
      <c r="E67" s="1648"/>
      <c r="F67" s="1552"/>
      <c r="G67" s="1552"/>
      <c r="H67" s="1649"/>
      <c r="I67" s="1536"/>
      <c r="J67" s="1536"/>
      <c r="K67" s="1557"/>
      <c r="L67" s="1399"/>
      <c r="M67" s="1395"/>
      <c r="N67" s="1486"/>
      <c r="O67" s="1399"/>
      <c r="P67" s="1399"/>
      <c r="Q67" s="1400"/>
      <c r="R67" s="1650"/>
      <c r="S67" s="1370">
        <f t="shared" si="2"/>
        <v>0</v>
      </c>
      <c r="T67" s="1696"/>
      <c r="U67" s="1473"/>
      <c r="V67" s="1401">
        <f t="shared" si="7"/>
        <v>0</v>
      </c>
      <c r="W67" s="1431">
        <f>(Q67+((S67-0)*R67))*((100-P67)/100)</f>
        <v>0</v>
      </c>
      <c r="X67" s="1419"/>
      <c r="Y67" s="1473"/>
      <c r="Z67" s="1419"/>
      <c r="AA67" s="1419"/>
      <c r="AB67" s="1419"/>
      <c r="AC67" s="1419"/>
      <c r="AD67" s="1419"/>
      <c r="AE67" s="1419"/>
      <c r="AF67" s="1419"/>
    </row>
    <row r="68" spans="1:32" s="1420" customFormat="1">
      <c r="A68" s="1359"/>
      <c r="B68" s="1359"/>
      <c r="C68" s="1393"/>
      <c r="D68" s="1362"/>
      <c r="E68" s="1483"/>
      <c r="F68" s="1484"/>
      <c r="G68" s="1485"/>
      <c r="H68" s="1399"/>
      <c r="I68" s="1469"/>
      <c r="J68" s="1364"/>
      <c r="K68" s="1394"/>
      <c r="L68" s="1511"/>
      <c r="M68" s="1651"/>
      <c r="N68" s="1624"/>
      <c r="O68" s="1511"/>
      <c r="P68" s="1511"/>
      <c r="Q68" s="1652"/>
      <c r="R68" s="1500"/>
      <c r="S68" s="1370">
        <f t="shared" si="2"/>
        <v>0</v>
      </c>
      <c r="T68" s="1696"/>
      <c r="U68" s="1653"/>
      <c r="V68" s="1500">
        <f t="shared" si="7"/>
        <v>0</v>
      </c>
      <c r="W68" s="1654">
        <f>(Q68+((S68-0)*R68))*((100-P68)/100)</f>
        <v>0</v>
      </c>
      <c r="X68" s="1419"/>
      <c r="Y68" s="1440">
        <f>(Q68+((S68-0)*R68))*((100-P68)/100)</f>
        <v>0</v>
      </c>
      <c r="Z68" s="1419"/>
      <c r="AA68" s="1419"/>
      <c r="AB68" s="1419"/>
      <c r="AC68" s="1419"/>
      <c r="AD68" s="1419"/>
      <c r="AE68" s="1419"/>
      <c r="AF68" s="1419"/>
    </row>
    <row r="69" spans="1:32" s="1420" customFormat="1">
      <c r="A69" s="1360"/>
      <c r="B69" s="1359"/>
      <c r="C69" s="1393"/>
      <c r="D69" s="1362"/>
      <c r="E69" s="1483"/>
      <c r="F69" s="1484"/>
      <c r="G69" s="1484"/>
      <c r="H69" s="1409"/>
      <c r="I69" s="1364"/>
      <c r="J69" s="1364"/>
      <c r="K69" s="1394"/>
      <c r="L69" s="1399"/>
      <c r="M69" s="1395"/>
      <c r="N69" s="1486"/>
      <c r="O69" s="1399"/>
      <c r="P69" s="1468"/>
      <c r="Q69" s="1400"/>
      <c r="R69" s="1650"/>
      <c r="S69" s="1370">
        <f t="shared" si="2"/>
        <v>0</v>
      </c>
      <c r="T69" s="1696"/>
      <c r="U69" s="1452"/>
      <c r="V69" s="1453">
        <f t="shared" si="7"/>
        <v>0</v>
      </c>
      <c r="W69" s="1431">
        <f>V69</f>
        <v>0</v>
      </c>
      <c r="X69" s="1419"/>
      <c r="Y69" s="1419"/>
      <c r="Z69" s="1419"/>
      <c r="AA69" s="1419"/>
      <c r="AB69" s="1419"/>
      <c r="AC69" s="1419"/>
      <c r="AD69" s="1419"/>
      <c r="AE69" s="1419"/>
      <c r="AF69" s="1419"/>
    </row>
    <row r="70" spans="1:32" s="1420" customFormat="1">
      <c r="A70" s="1655"/>
      <c r="B70" s="1359"/>
      <c r="C70" s="1393"/>
      <c r="D70" s="1362"/>
      <c r="E70" s="1483"/>
      <c r="F70" s="1484"/>
      <c r="G70" s="1484"/>
      <c r="H70" s="1365"/>
      <c r="I70" s="1364"/>
      <c r="J70" s="1364"/>
      <c r="K70" s="1393"/>
      <c r="L70" s="1409"/>
      <c r="M70" s="1536"/>
      <c r="N70" s="1570"/>
      <c r="O70" s="1409"/>
      <c r="P70" s="1656"/>
      <c r="Q70" s="1413"/>
      <c r="R70" s="1437"/>
      <c r="S70" s="1370">
        <f t="shared" si="2"/>
        <v>0</v>
      </c>
      <c r="T70" s="1696"/>
      <c r="U70" s="1657"/>
      <c r="V70" s="1658">
        <f t="shared" si="7"/>
        <v>0</v>
      </c>
      <c r="W70" s="1431">
        <f>V70</f>
        <v>0</v>
      </c>
      <c r="X70" s="1417"/>
      <c r="Y70" s="1440">
        <f>(Q70+((S70-0)*R70))*((100-P70)/100)</f>
        <v>0</v>
      </c>
      <c r="Z70" s="1417"/>
      <c r="AA70" s="1419"/>
      <c r="AB70" s="1419"/>
      <c r="AC70" s="1419"/>
      <c r="AD70" s="1419"/>
      <c r="AE70" s="1419"/>
      <c r="AF70" s="1419"/>
    </row>
    <row r="71" spans="1:32" s="1420" customFormat="1" ht="29.15" customHeight="1">
      <c r="A71" s="1359"/>
      <c r="B71" s="1359"/>
      <c r="C71" s="1393"/>
      <c r="D71" s="1362"/>
      <c r="E71" s="1483"/>
      <c r="F71" s="1484"/>
      <c r="G71" s="1484"/>
      <c r="H71" s="1365"/>
      <c r="I71" s="1364"/>
      <c r="J71" s="1364"/>
      <c r="K71" s="1393"/>
      <c r="L71" s="1365"/>
      <c r="M71" s="1364"/>
      <c r="N71" s="1549"/>
      <c r="O71" s="1365"/>
      <c r="P71" s="1365"/>
      <c r="Q71" s="1630"/>
      <c r="R71" s="1443"/>
      <c r="S71" s="1370">
        <f t="shared" si="2"/>
        <v>0</v>
      </c>
      <c r="T71" s="1480"/>
      <c r="U71" s="1481"/>
      <c r="V71" s="1479">
        <f t="shared" ref="V71:V87" si="9">S71*R71*(100-P71)/100</f>
        <v>0</v>
      </c>
      <c r="W71" s="1490">
        <f>(Q71+((S71-8)*R71))*((100-P71)/100)</f>
        <v>0</v>
      </c>
      <c r="X71" s="1419"/>
      <c r="Y71" s="1431">
        <f>(Q71+((S71-0)*R71))*((100-P71)/100)</f>
        <v>0</v>
      </c>
      <c r="Z71" s="1419"/>
      <c r="AA71" s="1419"/>
      <c r="AB71" s="1419"/>
      <c r="AC71" s="1419"/>
      <c r="AD71" s="1419"/>
      <c r="AE71" s="1419"/>
      <c r="AF71" s="1419"/>
    </row>
    <row r="72" spans="1:32" s="1420" customFormat="1" ht="13">
      <c r="A72" s="1359"/>
      <c r="B72" s="1359"/>
      <c r="C72" s="1393"/>
      <c r="D72" s="1362"/>
      <c r="E72" s="1659"/>
      <c r="F72" s="1484"/>
      <c r="G72" s="1484"/>
      <c r="H72" s="1365"/>
      <c r="I72" s="1364"/>
      <c r="J72" s="1364"/>
      <c r="K72" s="1393"/>
      <c r="L72" s="1365"/>
      <c r="M72" s="1364"/>
      <c r="N72" s="1660"/>
      <c r="O72" s="1365"/>
      <c r="P72" s="1661"/>
      <c r="Q72" s="1601"/>
      <c r="R72" s="1650"/>
      <c r="S72" s="1370">
        <f t="shared" ref="S72:S87" si="10">(G72-F72)/100</f>
        <v>0</v>
      </c>
      <c r="T72" s="1696"/>
      <c r="U72" s="1473"/>
      <c r="V72" s="1658">
        <f t="shared" si="9"/>
        <v>0</v>
      </c>
      <c r="W72" s="1454">
        <f>(Q72+((S72-8)*R72))*((100-P72)/100)</f>
        <v>0</v>
      </c>
      <c r="X72" s="1419"/>
      <c r="Y72" s="1431">
        <f>(Q72+((S72-0)*R72))*((100-P72)/100)</f>
        <v>0</v>
      </c>
      <c r="Z72" s="1419"/>
      <c r="AA72" s="1419"/>
      <c r="AB72" s="1419"/>
      <c r="AC72" s="1419"/>
      <c r="AD72" s="1419"/>
      <c r="AE72" s="1419"/>
      <c r="AF72" s="1419"/>
    </row>
    <row r="73" spans="1:32" s="1420" customFormat="1" ht="13">
      <c r="A73" s="1359"/>
      <c r="B73" s="1359"/>
      <c r="C73" s="1393"/>
      <c r="D73" s="1362"/>
      <c r="E73" s="1392"/>
      <c r="F73" s="1484"/>
      <c r="G73" s="1484"/>
      <c r="H73" s="1365"/>
      <c r="I73" s="1364"/>
      <c r="J73" s="1364"/>
      <c r="K73" s="1391"/>
      <c r="L73" s="1449"/>
      <c r="M73" s="1364"/>
      <c r="N73" s="1662"/>
      <c r="O73" s="1364"/>
      <c r="P73" s="1663"/>
      <c r="Q73" s="1601"/>
      <c r="R73" s="1650"/>
      <c r="S73" s="1370">
        <f t="shared" si="10"/>
        <v>0</v>
      </c>
      <c r="T73" s="1696"/>
      <c r="U73" s="1473"/>
      <c r="V73" s="1658">
        <f t="shared" si="9"/>
        <v>0</v>
      </c>
      <c r="W73" s="1454">
        <f>(Q73+((S73-8)*R73))*((100-P73)/100)</f>
        <v>0</v>
      </c>
      <c r="X73" s="1419"/>
      <c r="Y73" s="1431">
        <f>(Q73+((S73-0)*R73))*((100-P73)/100)</f>
        <v>0</v>
      </c>
      <c r="Z73" s="1419"/>
      <c r="AA73" s="1419"/>
      <c r="AB73" s="1419"/>
      <c r="AC73" s="1419"/>
      <c r="AD73" s="1419"/>
      <c r="AE73" s="1419"/>
      <c r="AF73" s="1419"/>
    </row>
    <row r="74" spans="1:32" s="1405" customFormat="1">
      <c r="A74" s="1359"/>
      <c r="B74" s="1359"/>
      <c r="C74" s="1393"/>
      <c r="D74" s="1362"/>
      <c r="E74" s="1483"/>
      <c r="F74" s="1484"/>
      <c r="G74" s="1484"/>
      <c r="H74" s="1365"/>
      <c r="I74" s="1364"/>
      <c r="J74" s="1364"/>
      <c r="K74" s="1394"/>
      <c r="L74" s="1399"/>
      <c r="M74" s="1469"/>
      <c r="N74" s="1549"/>
      <c r="O74" s="1365"/>
      <c r="P74" s="1365"/>
      <c r="Q74" s="1413"/>
      <c r="R74" s="1664"/>
      <c r="S74" s="1370">
        <f t="shared" si="10"/>
        <v>0</v>
      </c>
      <c r="T74" s="1696"/>
      <c r="U74" s="1473"/>
      <c r="V74" s="1401">
        <f t="shared" si="9"/>
        <v>0</v>
      </c>
      <c r="W74" s="1431">
        <f>V74</f>
        <v>0</v>
      </c>
      <c r="X74" s="1419"/>
      <c r="Y74" s="1419"/>
      <c r="Z74" s="1419"/>
      <c r="AA74" s="1419"/>
      <c r="AB74" s="1419"/>
      <c r="AC74" s="1419"/>
      <c r="AD74" s="1419"/>
      <c r="AE74" s="1419"/>
      <c r="AF74" s="1419"/>
    </row>
    <row r="75" spans="1:32" s="1420" customFormat="1" ht="13">
      <c r="A75" s="1359"/>
      <c r="B75" s="1359"/>
      <c r="C75" s="1393"/>
      <c r="D75" s="1362"/>
      <c r="E75" s="1392"/>
      <c r="F75" s="1484"/>
      <c r="G75" s="1484"/>
      <c r="H75" s="1365"/>
      <c r="I75" s="1364"/>
      <c r="J75" s="1364"/>
      <c r="K75" s="1391"/>
      <c r="L75" s="1409"/>
      <c r="M75" s="1364"/>
      <c r="N75" s="1662"/>
      <c r="O75" s="1364"/>
      <c r="P75" s="1365"/>
      <c r="Q75" s="1421"/>
      <c r="R75" s="1369"/>
      <c r="S75" s="1370">
        <f t="shared" si="10"/>
        <v>0</v>
      </c>
      <c r="T75" s="1415"/>
      <c r="U75" s="1558"/>
      <c r="V75" s="1414">
        <f t="shared" si="9"/>
        <v>0</v>
      </c>
      <c r="W75" s="1459">
        <f>(Q75+((S75-0)*R75))*((100-P75)/100)</f>
        <v>0</v>
      </c>
      <c r="X75" s="1419"/>
      <c r="Y75" s="1419"/>
      <c r="Z75" s="1419"/>
      <c r="AA75" s="1419"/>
      <c r="AB75" s="1419"/>
      <c r="AC75" s="1419"/>
      <c r="AD75" s="1419"/>
      <c r="AE75" s="1419"/>
      <c r="AF75" s="1419"/>
    </row>
    <row r="76" spans="1:32" s="1420" customFormat="1" ht="13">
      <c r="A76" s="1427"/>
      <c r="B76" s="1427"/>
      <c r="C76" s="1552"/>
      <c r="D76" s="1408"/>
      <c r="E76" s="1665"/>
      <c r="F76" s="1553"/>
      <c r="G76" s="1553"/>
      <c r="H76" s="1409"/>
      <c r="I76" s="1536"/>
      <c r="J76" s="1536"/>
      <c r="K76" s="1666"/>
      <c r="L76" s="1409"/>
      <c r="M76" s="1536"/>
      <c r="N76" s="1667"/>
      <c r="O76" s="1639"/>
      <c r="P76" s="1409"/>
      <c r="Q76" s="1640"/>
      <c r="R76" s="1559"/>
      <c r="S76" s="1370">
        <f t="shared" si="10"/>
        <v>0</v>
      </c>
      <c r="T76" s="1480"/>
      <c r="U76" s="1481"/>
      <c r="V76" s="1437">
        <f t="shared" si="9"/>
        <v>0</v>
      </c>
      <c r="W76" s="1501">
        <f>(Q76+((S76-0)*R76))*((100-P76)/100)</f>
        <v>0</v>
      </c>
      <c r="X76" s="1419"/>
      <c r="Y76" s="1431">
        <f>(Q76+((S76-0)*R76))*((100-P76)/100)</f>
        <v>0</v>
      </c>
      <c r="Z76" s="1419"/>
      <c r="AA76" s="1419"/>
      <c r="AB76" s="1419"/>
      <c r="AC76" s="1419"/>
      <c r="AD76" s="1419"/>
      <c r="AE76" s="1419"/>
      <c r="AF76" s="1419"/>
    </row>
    <row r="77" spans="1:32" s="1420" customFormat="1" ht="13">
      <c r="A77" s="1359"/>
      <c r="B77" s="1359"/>
      <c r="C77" s="1393"/>
      <c r="D77" s="1362"/>
      <c r="E77" s="1392"/>
      <c r="F77" s="1484"/>
      <c r="G77" s="1484"/>
      <c r="H77" s="1365"/>
      <c r="I77" s="1364"/>
      <c r="J77" s="1364"/>
      <c r="K77" s="1668"/>
      <c r="L77" s="1502"/>
      <c r="M77" s="1364"/>
      <c r="N77" s="1669"/>
      <c r="O77" s="1670"/>
      <c r="P77" s="1365"/>
      <c r="Q77" s="1671"/>
      <c r="R77" s="1472"/>
      <c r="S77" s="1370">
        <f t="shared" si="10"/>
        <v>0</v>
      </c>
      <c r="T77" s="1696"/>
      <c r="U77" s="1473"/>
      <c r="V77" s="1401">
        <f t="shared" si="9"/>
        <v>0</v>
      </c>
      <c r="W77" s="1431">
        <f>(Q77+((S77-0)*R77))*((100-P77)/100)</f>
        <v>0</v>
      </c>
      <c r="X77" s="1419"/>
      <c r="Y77" s="1431">
        <f>(Q77+((S77-0)*R77))*((100-P77)/100)</f>
        <v>0</v>
      </c>
      <c r="Z77" s="1419"/>
      <c r="AA77" s="1419"/>
      <c r="AB77" s="1419"/>
      <c r="AC77" s="1419"/>
      <c r="AD77" s="1419"/>
      <c r="AE77" s="1419"/>
      <c r="AF77" s="1419"/>
    </row>
    <row r="78" spans="1:32" s="1420" customFormat="1" ht="13">
      <c r="A78" s="1359"/>
      <c r="B78" s="1359"/>
      <c r="C78" s="1393"/>
      <c r="D78" s="1362"/>
      <c r="E78" s="1392"/>
      <c r="F78" s="1484"/>
      <c r="G78" s="1484"/>
      <c r="H78" s="1365"/>
      <c r="I78" s="1364"/>
      <c r="J78" s="1364"/>
      <c r="K78" s="1668"/>
      <c r="L78" s="1399"/>
      <c r="M78" s="1364"/>
      <c r="N78" s="1669"/>
      <c r="O78" s="1670"/>
      <c r="P78" s="1365"/>
      <c r="Q78" s="1672"/>
      <c r="R78" s="1672"/>
      <c r="S78" s="1370">
        <f t="shared" si="10"/>
        <v>0</v>
      </c>
      <c r="T78" s="1415"/>
      <c r="U78" s="1558"/>
      <c r="V78" s="1559">
        <f t="shared" si="9"/>
        <v>0</v>
      </c>
      <c r="W78" s="1501">
        <f>Q78+((S78-0)*R78)</f>
        <v>0</v>
      </c>
      <c r="X78" s="1419"/>
      <c r="Y78" s="1419"/>
      <c r="Z78" s="1419"/>
      <c r="AA78" s="1419"/>
      <c r="AB78" s="1419"/>
      <c r="AC78" s="1419"/>
      <c r="AD78" s="1419"/>
      <c r="AE78" s="1419"/>
      <c r="AF78" s="1419"/>
    </row>
    <row r="79" spans="1:32" s="1420" customFormat="1" ht="13">
      <c r="A79" s="1359"/>
      <c r="B79" s="1359"/>
      <c r="C79" s="1393"/>
      <c r="D79" s="1362"/>
      <c r="E79" s="1659"/>
      <c r="F79" s="1484"/>
      <c r="G79" s="1484"/>
      <c r="H79" s="1365"/>
      <c r="I79" s="1364"/>
      <c r="J79" s="1364"/>
      <c r="K79" s="1394"/>
      <c r="L79" s="1365"/>
      <c r="M79" s="1364"/>
      <c r="N79" s="1669"/>
      <c r="O79" s="1673"/>
      <c r="P79" s="1365"/>
      <c r="Q79" s="1672"/>
      <c r="R79" s="1672"/>
      <c r="S79" s="1370">
        <f t="shared" si="10"/>
        <v>0</v>
      </c>
      <c r="T79" s="1370"/>
      <c r="U79" s="1422"/>
      <c r="V79" s="1674">
        <f t="shared" si="9"/>
        <v>0</v>
      </c>
      <c r="W79" s="1431">
        <f>(Q79+((S79-0)*R79))*((100-P79)/100)</f>
        <v>0</v>
      </c>
      <c r="X79" s="1419"/>
      <c r="Y79" s="1419"/>
      <c r="Z79" s="1419"/>
      <c r="AA79" s="1419"/>
      <c r="AB79" s="1419"/>
      <c r="AC79" s="1419"/>
      <c r="AD79" s="1419"/>
      <c r="AE79" s="1419"/>
      <c r="AF79" s="1419"/>
    </row>
    <row r="80" spans="1:32" s="1420" customFormat="1" ht="13">
      <c r="A80" s="1359"/>
      <c r="B80" s="1359"/>
      <c r="C80" s="1393"/>
      <c r="D80" s="1362"/>
      <c r="E80" s="1659"/>
      <c r="F80" s="1484"/>
      <c r="G80" s="1484"/>
      <c r="H80" s="1365"/>
      <c r="I80" s="1364"/>
      <c r="J80" s="1364"/>
      <c r="K80" s="1394"/>
      <c r="L80" s="1365"/>
      <c r="M80" s="1364"/>
      <c r="N80" s="1660"/>
      <c r="O80" s="1673"/>
      <c r="P80" s="1365"/>
      <c r="Q80" s="1672"/>
      <c r="R80" s="1675"/>
      <c r="S80" s="1370">
        <f t="shared" si="10"/>
        <v>0</v>
      </c>
      <c r="T80" s="1370"/>
      <c r="U80" s="1422"/>
      <c r="V80" s="1674">
        <f t="shared" si="9"/>
        <v>0</v>
      </c>
      <c r="W80" s="1431">
        <f>Q80+((S80-4)*R80)</f>
        <v>0</v>
      </c>
      <c r="X80" s="1419"/>
      <c r="Y80" s="1419"/>
      <c r="Z80" s="1419"/>
      <c r="AA80" s="1419"/>
      <c r="AB80" s="1419"/>
      <c r="AC80" s="1419"/>
      <c r="AD80" s="1419"/>
      <c r="AE80" s="1419"/>
      <c r="AF80" s="1419"/>
    </row>
    <row r="81" spans="1:32" s="1420" customFormat="1" ht="17.25" customHeight="1">
      <c r="A81" s="1359"/>
      <c r="B81" s="1359"/>
      <c r="C81" s="1393"/>
      <c r="D81" s="1365"/>
      <c r="E81" s="1659"/>
      <c r="F81" s="1484"/>
      <c r="G81" s="1484"/>
      <c r="H81" s="1365"/>
      <c r="I81" s="1676"/>
      <c r="J81" s="1676"/>
      <c r="K81" s="1677"/>
      <c r="L81" s="1365"/>
      <c r="M81" s="1364"/>
      <c r="N81" s="1678"/>
      <c r="O81" s="1679"/>
      <c r="P81" s="1365"/>
      <c r="Q81" s="1680"/>
      <c r="R81" s="1675"/>
      <c r="S81" s="1370">
        <f t="shared" si="10"/>
        <v>0</v>
      </c>
      <c r="T81" s="1370"/>
      <c r="U81" s="1534"/>
      <c r="V81" s="1674">
        <f t="shared" si="9"/>
        <v>0</v>
      </c>
      <c r="W81" s="1431">
        <f>Q81+((S81-4)*R81)</f>
        <v>0</v>
      </c>
      <c r="X81" s="1417"/>
      <c r="Y81" s="1431">
        <f>(Q81+((S81-0)*R81))*((100-P81)/100)</f>
        <v>0</v>
      </c>
      <c r="Z81" s="1417"/>
      <c r="AA81" s="1419"/>
      <c r="AB81" s="1419"/>
      <c r="AC81" s="1419"/>
      <c r="AD81" s="1419"/>
      <c r="AE81" s="1419"/>
      <c r="AF81" s="1419"/>
    </row>
    <row r="82" spans="1:32" s="1420" customFormat="1" ht="13">
      <c r="A82" s="1359"/>
      <c r="B82" s="1390"/>
      <c r="C82" s="1390"/>
      <c r="D82" s="1365"/>
      <c r="E82" s="1659"/>
      <c r="F82" s="1393"/>
      <c r="G82" s="1393"/>
      <c r="H82" s="1365"/>
      <c r="I82" s="1670"/>
      <c r="J82" s="1364"/>
      <c r="K82" s="1668"/>
      <c r="L82" s="1502"/>
      <c r="M82" s="1395"/>
      <c r="N82" s="1667"/>
      <c r="O82" s="1670"/>
      <c r="P82" s="1365"/>
      <c r="Q82" s="1672"/>
      <c r="R82" s="1672"/>
      <c r="S82" s="1370">
        <f t="shared" si="10"/>
        <v>0</v>
      </c>
      <c r="T82" s="1370"/>
      <c r="U82" s="1422"/>
      <c r="V82" s="1674">
        <f t="shared" si="9"/>
        <v>0</v>
      </c>
      <c r="W82" s="1431">
        <f>(Q82+((S82-8)*R82))*((100-P82)/100)</f>
        <v>0</v>
      </c>
      <c r="X82" s="1419"/>
      <c r="Y82" s="1431">
        <f>(Q82+((S82-0)*R82))*((100-P82)/100)</f>
        <v>0</v>
      </c>
      <c r="Z82" s="1419"/>
      <c r="AA82" s="1419"/>
      <c r="AB82" s="1419"/>
      <c r="AC82" s="1419"/>
      <c r="AD82" s="1419"/>
      <c r="AE82" s="1419"/>
      <c r="AF82" s="1419"/>
    </row>
    <row r="83" spans="1:32" s="1420" customFormat="1" ht="13">
      <c r="A83" s="1359"/>
      <c r="B83" s="1390"/>
      <c r="C83" s="1390"/>
      <c r="D83" s="1365"/>
      <c r="E83" s="1659"/>
      <c r="F83" s="1393"/>
      <c r="G83" s="1393"/>
      <c r="H83" s="1681"/>
      <c r="I83" s="1670"/>
      <c r="J83" s="1364"/>
      <c r="K83" s="1668"/>
      <c r="L83" s="1399"/>
      <c r="M83" s="1682"/>
      <c r="N83" s="1669"/>
      <c r="O83" s="1670"/>
      <c r="P83" s="1365"/>
      <c r="Q83" s="1672"/>
      <c r="R83" s="1672"/>
      <c r="S83" s="1370">
        <f t="shared" si="10"/>
        <v>0</v>
      </c>
      <c r="T83" s="1370"/>
      <c r="U83" s="1422"/>
      <c r="V83" s="1674">
        <f t="shared" si="9"/>
        <v>0</v>
      </c>
      <c r="W83" s="1431">
        <f>(Q83+((S83-0)*R83))*((100-P83)/100)</f>
        <v>0</v>
      </c>
      <c r="X83" s="1419"/>
      <c r="Y83" s="1431">
        <f>(Q83+((S83-0)*R83))*((100-P83)/100)</f>
        <v>0</v>
      </c>
      <c r="Z83" s="1419"/>
      <c r="AA83" s="1419"/>
      <c r="AB83" s="1419"/>
      <c r="AC83" s="1419"/>
      <c r="AD83" s="1419"/>
      <c r="AE83" s="1419"/>
      <c r="AF83" s="1419"/>
    </row>
    <row r="84" spans="1:32" s="1420" customFormat="1" ht="13">
      <c r="A84" s="1359"/>
      <c r="B84" s="1390"/>
      <c r="C84" s="1390"/>
      <c r="D84" s="1365"/>
      <c r="E84" s="1659"/>
      <c r="F84" s="1393"/>
      <c r="G84" s="1393"/>
      <c r="H84" s="1683"/>
      <c r="I84" s="1670"/>
      <c r="J84" s="1364"/>
      <c r="K84" s="1668"/>
      <c r="L84" s="1399"/>
      <c r="M84" s="1364"/>
      <c r="N84" s="1669"/>
      <c r="O84" s="1670"/>
      <c r="P84" s="1365"/>
      <c r="Q84" s="1672"/>
      <c r="R84" s="1672"/>
      <c r="S84" s="1370">
        <f t="shared" si="10"/>
        <v>0</v>
      </c>
      <c r="T84" s="1370"/>
      <c r="U84" s="1422"/>
      <c r="V84" s="1674">
        <f t="shared" si="9"/>
        <v>0</v>
      </c>
      <c r="W84" s="1431">
        <f>Q84+((S84-0)*R84)</f>
        <v>0</v>
      </c>
      <c r="X84" s="1419"/>
      <c r="Y84" s="1419"/>
      <c r="Z84" s="1419"/>
      <c r="AA84" s="1419"/>
      <c r="AB84" s="1419"/>
      <c r="AC84" s="1419"/>
      <c r="AD84" s="1419"/>
      <c r="AE84" s="1419"/>
      <c r="AF84" s="1419"/>
    </row>
    <row r="85" spans="1:32" s="1420" customFormat="1" ht="13">
      <c r="A85" s="1359"/>
      <c r="B85" s="1359"/>
      <c r="C85" s="1391"/>
      <c r="D85" s="1364"/>
      <c r="E85" s="1392"/>
      <c r="F85" s="1484"/>
      <c r="G85" s="1484"/>
      <c r="H85" s="1364"/>
      <c r="I85" s="1364"/>
      <c r="J85" s="1364"/>
      <c r="K85" s="1668"/>
      <c r="L85" s="1399"/>
      <c r="M85" s="1395"/>
      <c r="N85" s="1669"/>
      <c r="O85" s="1670"/>
      <c r="P85" s="1365"/>
      <c r="Q85" s="1672"/>
      <c r="R85" s="1672"/>
      <c r="S85" s="1370">
        <f t="shared" si="10"/>
        <v>0</v>
      </c>
      <c r="T85" s="1370"/>
      <c r="U85" s="1422"/>
      <c r="V85" s="1674">
        <f t="shared" si="9"/>
        <v>0</v>
      </c>
      <c r="W85" s="1402">
        <f>Q85+((S85-0)*R85)</f>
        <v>0</v>
      </c>
      <c r="X85" s="1419"/>
      <c r="Y85" s="1431">
        <f>(Q85+((S85-0)*R85))*((100-P85)/100)</f>
        <v>0</v>
      </c>
      <c r="Z85" s="1419"/>
      <c r="AA85" s="1419"/>
      <c r="AB85" s="1419"/>
      <c r="AC85" s="1419"/>
      <c r="AD85" s="1419"/>
      <c r="AE85" s="1419"/>
      <c r="AF85" s="1419"/>
    </row>
    <row r="86" spans="1:32" s="1420" customFormat="1" ht="13">
      <c r="A86" s="1359"/>
      <c r="B86" s="1359"/>
      <c r="C86" s="1391"/>
      <c r="D86" s="1364"/>
      <c r="E86" s="1392"/>
      <c r="F86" s="1484"/>
      <c r="G86" s="1484"/>
      <c r="H86" s="1364"/>
      <c r="I86" s="1364"/>
      <c r="J86" s="1364"/>
      <c r="K86" s="1668"/>
      <c r="L86" s="1399"/>
      <c r="M86" s="1395"/>
      <c r="N86" s="1669"/>
      <c r="O86" s="1670"/>
      <c r="P86" s="1365"/>
      <c r="Q86" s="1672"/>
      <c r="R86" s="1672"/>
      <c r="S86" s="1370">
        <f t="shared" si="10"/>
        <v>0</v>
      </c>
      <c r="T86" s="1370"/>
      <c r="U86" s="1422"/>
      <c r="V86" s="1674">
        <f t="shared" si="9"/>
        <v>0</v>
      </c>
      <c r="W86" s="1402">
        <f>Q86+((S86-0)*R86)</f>
        <v>0</v>
      </c>
      <c r="X86" s="1419"/>
      <c r="Y86" s="1431">
        <f>(Q86+((S86-0)*R86))*((100-P86)/100)</f>
        <v>0</v>
      </c>
      <c r="Z86" s="1419"/>
      <c r="AA86" s="1419"/>
      <c r="AB86" s="1419"/>
      <c r="AC86" s="1419"/>
      <c r="AD86" s="1419"/>
      <c r="AE86" s="1419"/>
      <c r="AF86" s="1419"/>
    </row>
    <row r="87" spans="1:32" s="1420" customFormat="1" ht="13">
      <c r="A87" s="1434"/>
      <c r="B87" s="1434"/>
      <c r="C87" s="1684"/>
      <c r="D87" s="1562"/>
      <c r="E87" s="1685"/>
      <c r="F87" s="1561"/>
      <c r="G87" s="1561"/>
      <c r="H87" s="1562"/>
      <c r="I87" s="1562"/>
      <c r="J87" s="1562"/>
      <c r="K87" s="1686"/>
      <c r="L87" s="1513"/>
      <c r="M87" s="1514"/>
      <c r="N87" s="1687"/>
      <c r="O87" s="1642"/>
      <c r="P87" s="1449"/>
      <c r="Q87" s="1688"/>
      <c r="R87" s="1688"/>
      <c r="S87" s="1444">
        <f t="shared" si="10"/>
        <v>0</v>
      </c>
      <c r="T87" s="1444"/>
      <c r="U87" s="1567"/>
      <c r="V87" s="1689">
        <f t="shared" si="9"/>
        <v>0</v>
      </c>
      <c r="W87" s="1690">
        <f>Q87+((S87-0)*R87)</f>
        <v>0</v>
      </c>
      <c r="X87" s="1419"/>
      <c r="Y87" s="1419"/>
      <c r="Z87" s="1419"/>
      <c r="AA87" s="1419"/>
      <c r="AB87" s="1419"/>
      <c r="AC87" s="1419"/>
      <c r="AD87" s="1419"/>
      <c r="AE87" s="1419"/>
      <c r="AF87" s="1419"/>
    </row>
    <row r="88" spans="1:32" s="1064" customFormat="1" ht="13">
      <c r="A88" s="1707"/>
      <c r="B88" s="1708"/>
      <c r="C88" s="1708"/>
      <c r="D88" s="1709"/>
      <c r="E88" s="1708"/>
      <c r="F88" s="1708"/>
      <c r="G88" s="1708"/>
      <c r="H88" s="1709"/>
      <c r="I88" s="910"/>
      <c r="J88" s="140"/>
      <c r="K88" s="1022"/>
      <c r="L88" s="1709"/>
      <c r="M88" s="1708"/>
      <c r="N88" s="1708"/>
      <c r="O88" s="1709"/>
      <c r="P88" s="1710"/>
      <c r="Q88" s="1711"/>
      <c r="R88" s="1711"/>
      <c r="S88" s="1708"/>
      <c r="T88" s="1713" t="s">
        <v>1252</v>
      </c>
      <c r="U88" s="1712"/>
      <c r="V88" s="1706">
        <f>SUBTOTAL(109,V7:V87)</f>
        <v>27675000</v>
      </c>
      <c r="W88" s="1066">
        <f>SUBTOTAL(109,W7:W87)</f>
        <v>15462500</v>
      </c>
      <c r="Z88" s="1067">
        <f>W88*1.1</f>
        <v>17008750</v>
      </c>
    </row>
    <row r="89" spans="1:32" s="833" customFormat="1" ht="13">
      <c r="A89" s="82"/>
      <c r="B89" s="82"/>
      <c r="C89" s="82"/>
      <c r="D89" s="160"/>
      <c r="E89" s="104"/>
      <c r="F89" s="104"/>
      <c r="G89" s="104"/>
      <c r="H89" s="160"/>
      <c r="I89" s="160"/>
      <c r="J89" s="160"/>
      <c r="K89" s="104"/>
      <c r="L89" s="160"/>
      <c r="M89" s="160"/>
      <c r="N89" s="104"/>
      <c r="O89" s="160"/>
      <c r="P89" s="160"/>
      <c r="Q89" s="99"/>
      <c r="R89" s="82"/>
      <c r="S89" s="82"/>
      <c r="T89" s="82"/>
      <c r="U89" s="82"/>
      <c r="V89" s="82"/>
      <c r="W89" s="99"/>
      <c r="X89" s="82"/>
      <c r="Y89" s="82"/>
      <c r="Z89" s="82"/>
      <c r="AA89" s="82"/>
      <c r="AB89" s="82"/>
      <c r="AC89" s="82"/>
      <c r="AD89" s="82"/>
      <c r="AE89" s="82"/>
      <c r="AF89" s="82"/>
    </row>
    <row r="90" spans="1:32">
      <c r="A90" s="100"/>
      <c r="B90" s="100"/>
      <c r="C90" s="100"/>
      <c r="D90" s="59"/>
      <c r="E90" s="68"/>
      <c r="F90" s="68"/>
      <c r="G90" s="68"/>
      <c r="H90" s="59"/>
      <c r="I90" s="59"/>
      <c r="J90" s="59"/>
      <c r="K90" s="68"/>
      <c r="L90" s="59"/>
      <c r="M90" s="59"/>
      <c r="N90" s="68"/>
      <c r="O90" s="59"/>
      <c r="P90" s="59"/>
      <c r="Q90" s="101"/>
      <c r="R90" s="100"/>
      <c r="S90" s="100"/>
      <c r="T90" s="100"/>
      <c r="U90" s="100"/>
      <c r="V90" s="68" t="s">
        <v>1253</v>
      </c>
      <c r="W90" s="356">
        <v>0</v>
      </c>
      <c r="X90" s="100"/>
      <c r="Y90" s="100"/>
      <c r="Z90" s="100"/>
      <c r="AA90" s="100"/>
      <c r="AB90" s="100"/>
      <c r="AC90" s="100"/>
      <c r="AD90" s="100"/>
      <c r="AE90" s="100"/>
      <c r="AF90" s="100"/>
    </row>
    <row r="91" spans="1:32">
      <c r="A91" s="100"/>
      <c r="B91" s="100"/>
      <c r="C91" s="100"/>
      <c r="D91" s="59"/>
      <c r="E91" s="68"/>
      <c r="F91" s="68"/>
      <c r="G91" s="68"/>
      <c r="H91" s="59"/>
      <c r="I91" s="59"/>
      <c r="J91" s="59"/>
      <c r="K91" s="68"/>
      <c r="L91" s="59"/>
      <c r="M91" s="59"/>
      <c r="N91" s="68"/>
      <c r="O91" s="59"/>
      <c r="P91" s="59"/>
      <c r="Q91" s="101"/>
      <c r="R91" s="356"/>
      <c r="S91" s="100"/>
      <c r="T91" s="100"/>
      <c r="U91" s="100"/>
      <c r="V91" s="68" t="s">
        <v>1254</v>
      </c>
      <c r="W91" s="1705">
        <f>W88-W90</f>
        <v>15462500</v>
      </c>
      <c r="X91" s="100"/>
      <c r="Y91" s="100"/>
      <c r="Z91" s="100"/>
      <c r="AA91" s="100"/>
      <c r="AB91" s="100"/>
      <c r="AC91" s="100"/>
      <c r="AD91" s="100"/>
      <c r="AE91" s="100"/>
      <c r="AF91" s="100"/>
    </row>
    <row r="92" spans="1:32">
      <c r="A92" s="100"/>
      <c r="B92" s="100"/>
      <c r="C92" s="100"/>
      <c r="D92" s="59"/>
      <c r="E92" s="68"/>
      <c r="F92" s="68"/>
      <c r="G92" s="68"/>
      <c r="H92" s="59"/>
      <c r="I92" s="59"/>
      <c r="J92" s="59"/>
      <c r="K92" s="68"/>
      <c r="L92" s="59"/>
      <c r="M92" s="59"/>
      <c r="N92" s="68"/>
      <c r="O92" s="59"/>
      <c r="P92" s="59"/>
      <c r="Q92" s="100"/>
      <c r="R92" s="356"/>
      <c r="S92" s="100"/>
      <c r="T92" s="100"/>
      <c r="U92" s="100"/>
      <c r="V92" s="356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</row>
    <row r="93" spans="1:32">
      <c r="A93" s="100"/>
      <c r="B93" s="100"/>
      <c r="C93" s="100"/>
      <c r="D93" s="59"/>
      <c r="E93" s="68"/>
      <c r="F93" s="68"/>
      <c r="G93" s="68"/>
      <c r="H93" s="59"/>
      <c r="I93" s="59"/>
      <c r="J93" s="59"/>
      <c r="K93" s="68"/>
      <c r="L93" s="59"/>
      <c r="M93" s="59"/>
      <c r="N93" s="68"/>
      <c r="O93" s="59"/>
      <c r="P93" s="59"/>
      <c r="Q93" s="100"/>
      <c r="R93" s="100"/>
      <c r="S93" s="100"/>
      <c r="T93" s="100"/>
      <c r="U93" s="100" t="s">
        <v>1184</v>
      </c>
      <c r="V93" s="356"/>
      <c r="W93" s="100"/>
      <c r="X93" s="975">
        <f>Q38+R38*((S38*(100-P38)/100)-4)</f>
        <v>0</v>
      </c>
      <c r="Y93" s="100"/>
      <c r="Z93" s="100"/>
      <c r="AA93" s="100"/>
      <c r="AB93" s="100"/>
      <c r="AC93" s="100"/>
      <c r="AD93" s="100"/>
      <c r="AE93" s="100"/>
      <c r="AF93" s="100"/>
    </row>
    <row r="94" spans="1:32">
      <c r="A94" s="100"/>
      <c r="B94" s="100"/>
      <c r="C94" s="100"/>
      <c r="D94" s="59"/>
      <c r="E94" s="68"/>
      <c r="F94" s="68"/>
      <c r="G94" s="68"/>
      <c r="H94" s="59"/>
      <c r="I94" s="59"/>
      <c r="J94" s="59"/>
      <c r="K94" s="68"/>
      <c r="L94" s="59"/>
      <c r="M94" s="59"/>
      <c r="N94" s="68"/>
      <c r="O94" s="59"/>
      <c r="P94" s="59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100"/>
      <c r="AD94" s="100"/>
      <c r="AE94" s="100"/>
      <c r="AF94" s="100"/>
    </row>
    <row r="95" spans="1:32">
      <c r="A95" s="100"/>
      <c r="B95" s="100"/>
      <c r="C95" s="100"/>
      <c r="D95" s="59"/>
      <c r="E95" s="68"/>
      <c r="F95" s="68"/>
      <c r="G95" s="68"/>
      <c r="H95" s="59"/>
      <c r="I95" s="59"/>
      <c r="J95" s="59"/>
      <c r="K95" s="68"/>
      <c r="L95" s="59"/>
      <c r="M95" s="59"/>
      <c r="N95" s="68"/>
      <c r="O95" s="59"/>
      <c r="P95" s="59"/>
      <c r="Q95" s="101"/>
      <c r="R95" s="100"/>
      <c r="S95" s="100"/>
      <c r="T95" s="100"/>
      <c r="U95" s="100"/>
      <c r="V95" s="100"/>
      <c r="W95" s="101"/>
      <c r="X95" s="100"/>
      <c r="Y95" s="100"/>
      <c r="Z95" s="100"/>
      <c r="AA95" s="100"/>
      <c r="AB95" s="100"/>
      <c r="AC95" s="100"/>
      <c r="AD95" s="100"/>
      <c r="AE95" s="100"/>
      <c r="AF95" s="100"/>
    </row>
    <row r="96" spans="1:32">
      <c r="A96" s="100"/>
      <c r="B96" s="100"/>
      <c r="C96" s="100"/>
      <c r="D96" s="59"/>
      <c r="E96" s="68"/>
      <c r="F96" s="68"/>
      <c r="G96" s="68"/>
      <c r="H96" s="59"/>
      <c r="I96" s="59"/>
      <c r="J96" s="59"/>
      <c r="K96" s="68"/>
      <c r="L96" s="59"/>
      <c r="M96" s="59"/>
      <c r="N96" s="68" t="s">
        <v>1185</v>
      </c>
      <c r="O96" s="59"/>
      <c r="P96" s="59"/>
      <c r="Q96" s="101"/>
      <c r="R96" s="100"/>
      <c r="S96" s="100"/>
      <c r="T96" s="100"/>
      <c r="U96" s="100"/>
      <c r="V96" s="100"/>
      <c r="W96" s="101"/>
      <c r="X96" s="100"/>
      <c r="Y96" s="100"/>
      <c r="Z96" s="100"/>
      <c r="AA96" s="100"/>
      <c r="AB96" s="100"/>
      <c r="AC96" s="100"/>
      <c r="AD96" s="100"/>
      <c r="AE96" s="100"/>
      <c r="AF96" s="100"/>
    </row>
    <row r="97" spans="1:32">
      <c r="A97" s="100"/>
      <c r="B97" s="100"/>
      <c r="C97" s="100"/>
      <c r="D97" s="59"/>
      <c r="E97" s="68"/>
      <c r="F97" s="68"/>
      <c r="G97" s="68"/>
      <c r="H97" s="59"/>
      <c r="I97" s="59"/>
      <c r="J97" s="59"/>
      <c r="K97" s="68"/>
      <c r="L97" s="59"/>
      <c r="M97" s="59"/>
      <c r="N97" s="68" t="s">
        <v>1186</v>
      </c>
      <c r="O97" s="59"/>
      <c r="P97" s="59"/>
      <c r="Q97" s="101"/>
      <c r="R97" s="100"/>
      <c r="S97" s="100"/>
      <c r="T97" s="100"/>
      <c r="U97" s="100"/>
      <c r="V97" s="100"/>
      <c r="W97" s="101"/>
      <c r="X97" s="100"/>
      <c r="Y97" s="100"/>
      <c r="Z97" s="100"/>
      <c r="AA97" s="100"/>
      <c r="AB97" s="100"/>
      <c r="AC97" s="100"/>
      <c r="AD97" s="100"/>
      <c r="AE97" s="100"/>
      <c r="AF97" s="100"/>
    </row>
    <row r="98" spans="1:32">
      <c r="A98" s="100"/>
      <c r="B98" s="100"/>
      <c r="C98" s="100"/>
      <c r="D98" s="59"/>
      <c r="E98" s="68"/>
      <c r="F98" s="68"/>
      <c r="G98" s="68"/>
      <c r="H98" s="59"/>
      <c r="I98" s="59"/>
      <c r="J98" s="59"/>
      <c r="K98" s="68"/>
      <c r="L98" s="59"/>
      <c r="M98" s="59"/>
      <c r="N98" s="68"/>
      <c r="O98" s="59"/>
      <c r="P98" s="59"/>
      <c r="Q98" s="101"/>
      <c r="R98" s="100"/>
      <c r="S98" s="100"/>
      <c r="T98" s="100"/>
      <c r="U98" s="100"/>
      <c r="V98" s="100"/>
      <c r="W98" s="101"/>
      <c r="X98" s="100"/>
      <c r="Y98" s="100"/>
      <c r="Z98" s="100"/>
      <c r="AA98" s="100"/>
      <c r="AB98" s="100"/>
      <c r="AC98" s="100"/>
      <c r="AD98" s="100"/>
      <c r="AE98" s="100"/>
      <c r="AF98" s="100"/>
    </row>
    <row r="99" spans="1:32">
      <c r="A99" s="100"/>
      <c r="B99" s="100"/>
      <c r="C99" s="100"/>
      <c r="D99" s="59"/>
      <c r="E99" s="68"/>
      <c r="F99" s="68"/>
      <c r="G99" s="68"/>
      <c r="H99" s="59"/>
      <c r="I99" s="59"/>
      <c r="J99" s="59"/>
      <c r="K99" s="68"/>
      <c r="L99" s="59"/>
      <c r="M99" s="59"/>
      <c r="N99" s="68"/>
      <c r="O99" s="59"/>
      <c r="P99" s="59"/>
      <c r="Q99" s="101"/>
      <c r="R99" s="100"/>
      <c r="S99" s="100"/>
      <c r="T99" s="100"/>
      <c r="U99" s="100"/>
      <c r="V99" s="100"/>
      <c r="W99" s="101"/>
      <c r="X99" s="100"/>
      <c r="Y99" s="100"/>
      <c r="Z99" s="100"/>
      <c r="AA99" s="100"/>
      <c r="AB99" s="100"/>
      <c r="AC99" s="100"/>
      <c r="AD99" s="100"/>
      <c r="AE99" s="100"/>
      <c r="AF99" s="100"/>
    </row>
    <row r="100" spans="1:32">
      <c r="A100" s="100"/>
      <c r="B100" s="100"/>
      <c r="C100" s="100"/>
      <c r="D100" s="59"/>
      <c r="E100" s="68"/>
      <c r="F100" s="68"/>
      <c r="G100" s="68"/>
      <c r="H100" s="59"/>
      <c r="I100" s="59"/>
      <c r="J100" s="59"/>
      <c r="K100" s="68"/>
      <c r="L100" s="59"/>
      <c r="M100" s="59"/>
      <c r="N100" s="68"/>
      <c r="O100" s="59"/>
      <c r="P100" s="59"/>
      <c r="Q100" s="101"/>
      <c r="R100" s="100"/>
      <c r="S100" s="100"/>
      <c r="T100" s="100"/>
      <c r="U100" s="100"/>
      <c r="V100" s="100"/>
      <c r="W100" s="101"/>
      <c r="X100" s="100"/>
      <c r="Y100" s="100"/>
      <c r="Z100" s="100"/>
      <c r="AA100" s="100"/>
      <c r="AB100" s="100"/>
      <c r="AC100" s="100"/>
      <c r="AD100" s="100"/>
      <c r="AE100" s="100"/>
      <c r="AF100" s="100"/>
    </row>
  </sheetData>
  <autoFilter ref="A6:AF87" xr:uid="{1028D278-910A-4D41-890F-0D5DC76C3F25}">
    <filterColumn colId="14">
      <filters blank="1">
        <filter val="APPROVED"/>
      </filters>
    </filterColumn>
    <sortState xmlns:xlrd2="http://schemas.microsoft.com/office/spreadsheetml/2017/richdata2" ref="A7:AF87">
      <sortCondition descending="1" ref="E6:E87"/>
    </sortState>
  </autoFilter>
  <pageMargins left="0.7" right="0.7" top="0.75" bottom="0.75" header="0.3" footer="0.3"/>
  <pageSetup scale="27" fitToHeight="0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4795-05A6-403D-848A-497EFEEA9425}">
  <sheetPr codeName="Sheet19">
    <pageSetUpPr fitToPage="1"/>
  </sheetPr>
  <dimension ref="A2:AE100"/>
  <sheetViews>
    <sheetView topLeftCell="A53" zoomScale="90" zoomScaleNormal="90" workbookViewId="0">
      <selection activeCell="D59" sqref="D59"/>
    </sheetView>
  </sheetViews>
  <sheetFormatPr defaultColWidth="9.1796875" defaultRowHeight="14.5"/>
  <cols>
    <col min="1" max="2" width="8.81640625" style="830" customWidth="1"/>
    <col min="3" max="3" width="8.81640625" style="830" bestFit="1" customWidth="1"/>
    <col min="4" max="4" width="27.26953125" style="830" customWidth="1"/>
    <col min="5" max="5" width="13.81640625" style="837" customWidth="1"/>
    <col min="6" max="6" width="10.81640625" style="830" bestFit="1" customWidth="1"/>
    <col min="7" max="7" width="10" style="830" customWidth="1"/>
    <col min="8" max="8" width="38.26953125" style="830" customWidth="1"/>
    <col min="9" max="9" width="13.81640625" style="838" customWidth="1"/>
    <col min="10" max="10" width="9.7265625" style="838" customWidth="1"/>
    <col min="11" max="11" width="9.26953125" style="837" customWidth="1"/>
    <col min="12" max="12" width="9.81640625" style="830" customWidth="1"/>
    <col min="13" max="13" width="15" style="838" customWidth="1"/>
    <col min="14" max="14" width="22.26953125" style="837" customWidth="1"/>
    <col min="15" max="15" width="12.54296875" style="830" customWidth="1"/>
    <col min="16" max="16" width="9.1796875" style="830" bestFit="1" customWidth="1"/>
    <col min="17" max="17" width="13.26953125" style="839" customWidth="1"/>
    <col min="18" max="18" width="11.26953125" style="830" bestFit="1" customWidth="1"/>
    <col min="19" max="20" width="9.1796875" style="830" bestFit="1" customWidth="1"/>
    <col min="21" max="21" width="16.54296875" style="830" customWidth="1"/>
    <col min="22" max="22" width="14.26953125" style="839" customWidth="1"/>
    <col min="23" max="23" width="13.1796875" style="830" bestFit="1" customWidth="1"/>
    <col min="24" max="24" width="28.1796875" style="830" customWidth="1"/>
    <col min="25" max="25" width="13.7265625" style="830" customWidth="1"/>
    <col min="26" max="29" width="9.1796875" style="830" customWidth="1"/>
    <col min="30" max="16384" width="9.1796875" style="830"/>
  </cols>
  <sheetData>
    <row r="2" spans="1:31" s="831" customFormat="1" ht="20.25" customHeight="1">
      <c r="A2" s="52" t="s">
        <v>0</v>
      </c>
      <c r="B2" s="52"/>
      <c r="C2" s="52"/>
      <c r="D2" s="52"/>
      <c r="E2" s="391"/>
      <c r="F2" s="52"/>
      <c r="G2" s="52"/>
      <c r="H2" s="52"/>
      <c r="I2" s="52"/>
      <c r="J2" s="389"/>
      <c r="K2" s="391"/>
      <c r="L2" s="52"/>
      <c r="M2" s="390"/>
      <c r="N2" s="391"/>
      <c r="O2" s="52"/>
      <c r="P2" s="52"/>
      <c r="Q2" s="52"/>
      <c r="R2" s="52"/>
      <c r="S2" s="52"/>
      <c r="T2" s="52"/>
      <c r="U2" s="52"/>
      <c r="V2" s="53"/>
      <c r="W2" s="54"/>
      <c r="X2" s="52"/>
      <c r="Y2" s="435"/>
      <c r="Z2" s="56"/>
      <c r="AA2" s="57"/>
      <c r="AB2" s="57"/>
      <c r="AC2" s="57"/>
      <c r="AD2" s="58"/>
      <c r="AE2" s="59" t="s">
        <v>1</v>
      </c>
    </row>
    <row r="3" spans="1:31" s="831" customFormat="1" ht="20.25" customHeight="1">
      <c r="A3" s="60" t="s">
        <v>2</v>
      </c>
      <c r="B3" s="60"/>
      <c r="C3" s="60"/>
      <c r="D3" s="60"/>
      <c r="E3" s="394"/>
      <c r="F3" s="60"/>
      <c r="G3" s="60"/>
      <c r="H3" s="60"/>
      <c r="I3" s="60"/>
      <c r="J3" s="392"/>
      <c r="K3" s="394"/>
      <c r="L3" s="60"/>
      <c r="M3" s="393"/>
      <c r="N3" s="394"/>
      <c r="O3" s="60"/>
      <c r="P3" s="60"/>
      <c r="Q3" s="60"/>
      <c r="R3" s="60"/>
      <c r="S3" s="60"/>
      <c r="T3" s="60"/>
      <c r="U3" s="60"/>
      <c r="V3" s="61"/>
      <c r="W3" s="62"/>
      <c r="X3" s="60"/>
      <c r="Y3" s="63"/>
      <c r="Z3" s="56"/>
      <c r="AA3" s="57"/>
      <c r="AB3" s="57"/>
      <c r="AC3" s="57"/>
      <c r="AD3" s="64"/>
      <c r="AE3" s="59" t="s">
        <v>3</v>
      </c>
    </row>
    <row r="4" spans="1:31" s="831" customFormat="1" ht="20.25" customHeight="1">
      <c r="A4" s="60" t="s">
        <v>1466</v>
      </c>
      <c r="B4" s="60"/>
      <c r="C4" s="60"/>
      <c r="D4" s="60"/>
      <c r="E4" s="394"/>
      <c r="F4" s="60"/>
      <c r="G4" s="60"/>
      <c r="H4" s="60"/>
      <c r="I4" s="60"/>
      <c r="J4" s="392"/>
      <c r="K4" s="394"/>
      <c r="L4" s="60"/>
      <c r="M4" s="393"/>
      <c r="N4" s="394"/>
      <c r="O4" s="60"/>
      <c r="P4" s="60"/>
      <c r="Q4" s="60"/>
      <c r="R4" s="60"/>
      <c r="S4" s="60"/>
      <c r="T4" s="60"/>
      <c r="U4" s="60"/>
      <c r="V4" s="61"/>
      <c r="W4" s="62"/>
      <c r="X4" s="60"/>
      <c r="Y4" s="63"/>
      <c r="Z4" s="56"/>
      <c r="AA4" s="57"/>
      <c r="AB4" s="57"/>
      <c r="AC4" s="57"/>
      <c r="AD4" s="65"/>
      <c r="AE4" s="59" t="s">
        <v>5</v>
      </c>
    </row>
    <row r="5" spans="1:31" s="831" customFormat="1" ht="6" customHeight="1">
      <c r="A5" s="57"/>
      <c r="B5" s="57"/>
      <c r="C5" s="57"/>
      <c r="D5" s="66"/>
      <c r="E5" s="67"/>
      <c r="F5" s="67"/>
      <c r="G5" s="67"/>
      <c r="H5" s="66"/>
      <c r="I5" s="66"/>
      <c r="J5" s="66"/>
      <c r="K5" s="67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  <c r="AA5" s="57"/>
      <c r="AB5" s="57"/>
      <c r="AC5" s="57"/>
      <c r="AD5" s="57"/>
      <c r="AE5" s="57"/>
    </row>
    <row r="6" spans="1:31" s="832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61" t="s">
        <v>13</v>
      </c>
      <c r="J6" s="159" t="s">
        <v>14</v>
      </c>
      <c r="K6" s="74" t="s">
        <v>15</v>
      </c>
      <c r="L6" s="74" t="s">
        <v>16</v>
      </c>
      <c r="M6" s="159" t="s">
        <v>17</v>
      </c>
      <c r="N6" s="75" t="s">
        <v>18</v>
      </c>
      <c r="O6" s="76" t="s">
        <v>19</v>
      </c>
      <c r="P6" s="74" t="s">
        <v>20</v>
      </c>
      <c r="Q6" s="136" t="s">
        <v>21</v>
      </c>
      <c r="R6" s="74" t="s">
        <v>22</v>
      </c>
      <c r="S6" s="74" t="s">
        <v>23</v>
      </c>
      <c r="T6" s="74" t="s">
        <v>24</v>
      </c>
      <c r="U6" s="663" t="s">
        <v>25</v>
      </c>
      <c r="V6" s="74" t="s">
        <v>1146</v>
      </c>
      <c r="W6" s="79"/>
      <c r="X6" s="79"/>
      <c r="Y6" s="79"/>
      <c r="Z6" s="72" t="s">
        <v>27</v>
      </c>
      <c r="AA6" s="80" t="s">
        <v>28</v>
      </c>
      <c r="AB6" s="74" t="s">
        <v>29</v>
      </c>
      <c r="AC6" s="72" t="s">
        <v>30</v>
      </c>
      <c r="AD6" s="79"/>
      <c r="AE6" s="79"/>
    </row>
    <row r="7" spans="1:31" s="832" customFormat="1" ht="13">
      <c r="A7" s="81"/>
      <c r="B7" s="81">
        <v>1</v>
      </c>
      <c r="C7" s="258" t="s">
        <v>1467</v>
      </c>
      <c r="D7" s="259" t="s">
        <v>375</v>
      </c>
      <c r="E7" s="892" t="s">
        <v>1468</v>
      </c>
      <c r="F7" s="692">
        <v>1515</v>
      </c>
      <c r="G7" s="693">
        <v>1700</v>
      </c>
      <c r="H7" s="261" t="s">
        <v>858</v>
      </c>
      <c r="I7" s="358" t="s">
        <v>35</v>
      </c>
      <c r="J7" s="694" t="s">
        <v>36</v>
      </c>
      <c r="K7" s="797">
        <v>6</v>
      </c>
      <c r="L7" s="261"/>
      <c r="M7" s="694" t="s">
        <v>255</v>
      </c>
      <c r="N7" s="893" t="s">
        <v>1469</v>
      </c>
      <c r="O7" s="259" t="s">
        <v>40</v>
      </c>
      <c r="P7" s="693"/>
      <c r="Q7" s="695"/>
      <c r="R7" s="894">
        <v>180000</v>
      </c>
      <c r="S7" s="162">
        <f>(G7-1525)/100</f>
        <v>1.75</v>
      </c>
      <c r="T7" s="693"/>
      <c r="U7" s="894">
        <f t="shared" ref="U7:U39" si="0">S7*R7*(100-P7)/100</f>
        <v>315000</v>
      </c>
      <c r="V7" s="707">
        <f t="shared" ref="V7:V36" si="1">(Q7+((S7-0)*R7))*((100-P7)/100)</f>
        <v>315000</v>
      </c>
      <c r="W7" s="79"/>
      <c r="X7" s="79"/>
      <c r="Y7" s="79"/>
      <c r="Z7" s="689"/>
      <c r="AA7" s="690"/>
      <c r="AB7" s="688"/>
      <c r="AC7" s="689"/>
      <c r="AD7" s="79"/>
      <c r="AE7" s="79"/>
    </row>
    <row r="8" spans="1:31" s="832" customFormat="1" ht="13">
      <c r="A8" s="81"/>
      <c r="B8" s="81">
        <v>2</v>
      </c>
      <c r="C8" s="258" t="s">
        <v>1470</v>
      </c>
      <c r="D8" s="259" t="s">
        <v>32</v>
      </c>
      <c r="E8" s="892" t="s">
        <v>1471</v>
      </c>
      <c r="F8" s="692">
        <v>830</v>
      </c>
      <c r="G8" s="693">
        <v>900</v>
      </c>
      <c r="H8" s="261" t="s">
        <v>1472</v>
      </c>
      <c r="I8" s="358" t="s">
        <v>35</v>
      </c>
      <c r="J8" s="694" t="s">
        <v>36</v>
      </c>
      <c r="K8" s="797">
        <v>12</v>
      </c>
      <c r="L8" s="261"/>
      <c r="M8" s="694" t="s">
        <v>38</v>
      </c>
      <c r="N8" s="691" t="s">
        <v>1473</v>
      </c>
      <c r="O8" s="259" t="s">
        <v>40</v>
      </c>
      <c r="P8" s="693"/>
      <c r="Q8" s="695"/>
      <c r="R8" s="894">
        <v>950000</v>
      </c>
      <c r="S8" s="162">
        <f>(G8-850)/100</f>
        <v>0.5</v>
      </c>
      <c r="T8" s="693"/>
      <c r="U8" s="894">
        <f t="shared" si="0"/>
        <v>475000</v>
      </c>
      <c r="V8" s="707">
        <f t="shared" si="1"/>
        <v>475000</v>
      </c>
      <c r="W8" s="79"/>
      <c r="X8" s="79"/>
      <c r="Y8" s="79"/>
      <c r="Z8" s="689"/>
      <c r="AA8" s="690"/>
      <c r="AB8" s="688"/>
      <c r="AC8" s="689"/>
      <c r="AD8" s="79"/>
      <c r="AE8" s="79"/>
    </row>
    <row r="9" spans="1:31" s="832" customFormat="1" ht="13">
      <c r="A9" s="81"/>
      <c r="B9" s="81">
        <v>3</v>
      </c>
      <c r="C9" s="258" t="s">
        <v>1474</v>
      </c>
      <c r="D9" s="259" t="s">
        <v>32</v>
      </c>
      <c r="E9" s="892" t="s">
        <v>1475</v>
      </c>
      <c r="F9" s="692">
        <v>1200</v>
      </c>
      <c r="G9" s="693">
        <v>1400</v>
      </c>
      <c r="H9" s="261" t="s">
        <v>1132</v>
      </c>
      <c r="I9" s="358" t="s">
        <v>35</v>
      </c>
      <c r="J9" s="694" t="s">
        <v>36</v>
      </c>
      <c r="K9" s="797">
        <v>14</v>
      </c>
      <c r="L9" s="261"/>
      <c r="M9" s="694" t="s">
        <v>1221</v>
      </c>
      <c r="N9" s="691" t="s">
        <v>1476</v>
      </c>
      <c r="O9" s="259" t="s">
        <v>40</v>
      </c>
      <c r="P9" s="693"/>
      <c r="Q9" s="695"/>
      <c r="R9" s="894">
        <v>950000</v>
      </c>
      <c r="S9" s="162">
        <f>(G9-F9)/100</f>
        <v>2</v>
      </c>
      <c r="T9" s="693"/>
      <c r="U9" s="894">
        <f t="shared" si="0"/>
        <v>1900000</v>
      </c>
      <c r="V9" s="707">
        <f>(Q9+((S9-0)*R9))*((100-P9)/100)</f>
        <v>1900000</v>
      </c>
      <c r="W9" s="79"/>
      <c r="X9" s="79"/>
      <c r="Y9" s="79"/>
      <c r="Z9" s="689"/>
      <c r="AA9" s="690"/>
      <c r="AB9" s="688"/>
      <c r="AC9" s="689"/>
      <c r="AD9" s="79"/>
      <c r="AE9" s="79"/>
    </row>
    <row r="10" spans="1:31" s="833" customFormat="1" ht="13">
      <c r="A10" s="81"/>
      <c r="B10" s="81">
        <v>4</v>
      </c>
      <c r="C10" s="258" t="s">
        <v>1477</v>
      </c>
      <c r="D10" s="259" t="s">
        <v>32</v>
      </c>
      <c r="E10" s="260" t="s">
        <v>1478</v>
      </c>
      <c r="F10" s="86">
        <v>900</v>
      </c>
      <c r="G10" s="86">
        <v>1200</v>
      </c>
      <c r="H10" s="261" t="s">
        <v>1338</v>
      </c>
      <c r="I10" s="261" t="s">
        <v>35</v>
      </c>
      <c r="J10" s="261" t="s">
        <v>36</v>
      </c>
      <c r="K10" s="258" t="s">
        <v>37</v>
      </c>
      <c r="L10" s="261"/>
      <c r="M10" s="355" t="s">
        <v>255</v>
      </c>
      <c r="N10" s="269" t="s">
        <v>1479</v>
      </c>
      <c r="O10" s="259" t="s">
        <v>40</v>
      </c>
      <c r="P10" s="261"/>
      <c r="Q10" s="442"/>
      <c r="R10" s="894">
        <v>950000</v>
      </c>
      <c r="S10" s="162">
        <f>(G10-F10)/100</f>
        <v>3</v>
      </c>
      <c r="T10" s="259"/>
      <c r="U10" s="894">
        <f t="shared" si="0"/>
        <v>2850000</v>
      </c>
      <c r="V10" s="707">
        <f t="shared" si="1"/>
        <v>2850000</v>
      </c>
      <c r="W10" s="439"/>
      <c r="X10" s="91"/>
      <c r="Y10" s="439"/>
      <c r="Z10" s="82"/>
      <c r="AA10" s="82"/>
      <c r="AB10" s="82"/>
      <c r="AC10" s="82"/>
      <c r="AD10" s="82"/>
      <c r="AE10" s="82"/>
    </row>
    <row r="11" spans="1:31" s="833" customFormat="1" ht="13">
      <c r="A11" s="671"/>
      <c r="B11" s="671">
        <v>5</v>
      </c>
      <c r="C11" s="670" t="s">
        <v>1480</v>
      </c>
      <c r="D11" s="669" t="s">
        <v>32</v>
      </c>
      <c r="E11" s="260" t="s">
        <v>1481</v>
      </c>
      <c r="F11" s="668">
        <v>1030</v>
      </c>
      <c r="G11" s="668">
        <v>1200</v>
      </c>
      <c r="H11" s="667" t="s">
        <v>1338</v>
      </c>
      <c r="I11" s="261" t="s">
        <v>35</v>
      </c>
      <c r="J11" s="261" t="s">
        <v>36</v>
      </c>
      <c r="K11" s="670" t="s">
        <v>37</v>
      </c>
      <c r="L11" s="667"/>
      <c r="M11" s="262" t="s">
        <v>255</v>
      </c>
      <c r="N11" s="260" t="s">
        <v>1482</v>
      </c>
      <c r="O11" s="669" t="s">
        <v>40</v>
      </c>
      <c r="P11" s="667"/>
      <c r="Q11" s="840"/>
      <c r="R11" s="894">
        <v>950000</v>
      </c>
      <c r="S11" s="162">
        <f>(G11-1050)/100</f>
        <v>1.5</v>
      </c>
      <c r="T11" s="669"/>
      <c r="U11" s="841">
        <f t="shared" si="0"/>
        <v>1425000</v>
      </c>
      <c r="V11" s="707">
        <f t="shared" si="1"/>
        <v>1425000</v>
      </c>
      <c r="W11" s="439"/>
      <c r="X11" s="91"/>
      <c r="Y11" s="439"/>
      <c r="Z11" s="82"/>
      <c r="AA11" s="82"/>
      <c r="AB11" s="82"/>
      <c r="AC11" s="82"/>
      <c r="AD11" s="82"/>
      <c r="AE11" s="82"/>
    </row>
    <row r="12" spans="1:31" s="833" customFormat="1" ht="13">
      <c r="A12" s="671"/>
      <c r="B12" s="671">
        <v>6</v>
      </c>
      <c r="C12" s="670" t="s">
        <v>1483</v>
      </c>
      <c r="D12" s="669" t="s">
        <v>32</v>
      </c>
      <c r="E12" s="260" t="s">
        <v>1481</v>
      </c>
      <c r="F12" s="673" t="s">
        <v>1484</v>
      </c>
      <c r="G12" s="673" t="s">
        <v>1485</v>
      </c>
      <c r="H12" s="262" t="s">
        <v>1366</v>
      </c>
      <c r="I12" s="262" t="s">
        <v>35</v>
      </c>
      <c r="J12" s="262" t="s">
        <v>36</v>
      </c>
      <c r="K12" s="670" t="s">
        <v>37</v>
      </c>
      <c r="L12" s="667"/>
      <c r="M12" s="667" t="s">
        <v>255</v>
      </c>
      <c r="N12" s="260">
        <v>45272.778715277775</v>
      </c>
      <c r="O12" s="669" t="s">
        <v>40</v>
      </c>
      <c r="P12" s="667"/>
      <c r="Q12" s="675"/>
      <c r="R12" s="894">
        <v>950000</v>
      </c>
      <c r="S12" s="162">
        <f>(1050-F12)/100</f>
        <v>1.5</v>
      </c>
      <c r="T12" s="669"/>
      <c r="U12" s="841">
        <f t="shared" si="0"/>
        <v>1425000</v>
      </c>
      <c r="V12" s="707">
        <f t="shared" si="1"/>
        <v>1425000</v>
      </c>
      <c r="W12" s="439"/>
      <c r="X12" s="386">
        <f>(Q12+((S12-0)*R12))*((100-P12)/100)</f>
        <v>1425000</v>
      </c>
      <c r="Y12" s="439"/>
      <c r="Z12" s="82"/>
      <c r="AA12" s="82"/>
      <c r="AB12" s="82"/>
      <c r="AC12" s="82"/>
      <c r="AD12" s="82"/>
      <c r="AE12" s="82"/>
    </row>
    <row r="13" spans="1:31" s="833" customFormat="1" ht="13">
      <c r="A13" s="765"/>
      <c r="B13" s="765">
        <v>7</v>
      </c>
      <c r="C13" s="766">
        <v>4579</v>
      </c>
      <c r="D13" s="734" t="s">
        <v>65</v>
      </c>
      <c r="E13" s="767" t="s">
        <v>1486</v>
      </c>
      <c r="F13" s="768">
        <v>1300</v>
      </c>
      <c r="G13" s="768">
        <v>1600</v>
      </c>
      <c r="H13" s="766" t="s">
        <v>1487</v>
      </c>
      <c r="I13" s="875" t="s">
        <v>35</v>
      </c>
      <c r="J13" s="875" t="s">
        <v>36</v>
      </c>
      <c r="K13" s="769">
        <v>6</v>
      </c>
      <c r="L13" s="742"/>
      <c r="M13" s="293" t="s">
        <v>255</v>
      </c>
      <c r="N13" s="770">
        <v>45272.573541666665</v>
      </c>
      <c r="O13" s="771" t="s">
        <v>40</v>
      </c>
      <c r="P13" s="766"/>
      <c r="Q13" s="842"/>
      <c r="R13" s="895">
        <v>180000</v>
      </c>
      <c r="S13" s="162">
        <f>(G13-F13)/100</f>
        <v>3</v>
      </c>
      <c r="T13" s="766"/>
      <c r="U13" s="843">
        <f t="shared" si="0"/>
        <v>540000</v>
      </c>
      <c r="V13" s="626">
        <f t="shared" si="1"/>
        <v>540000</v>
      </c>
      <c r="W13" s="442"/>
      <c r="X13" s="386">
        <f>(Q13+((S13-0)*R13))*((100-P13)/100)</f>
        <v>540000</v>
      </c>
      <c r="Y13" s="82"/>
      <c r="Z13" s="82"/>
      <c r="AA13" s="82"/>
      <c r="AB13" s="82"/>
      <c r="AC13" s="82"/>
      <c r="AD13" s="82"/>
      <c r="AE13" s="82"/>
    </row>
    <row r="14" spans="1:31" s="833" customFormat="1" ht="14.5" customHeight="1">
      <c r="A14" s="712"/>
      <c r="B14" s="712">
        <v>8</v>
      </c>
      <c r="C14" s="896" t="s">
        <v>1488</v>
      </c>
      <c r="D14" s="702" t="s">
        <v>65</v>
      </c>
      <c r="E14" s="896" t="s">
        <v>1489</v>
      </c>
      <c r="F14" s="720">
        <v>1300</v>
      </c>
      <c r="G14" s="720">
        <v>1700</v>
      </c>
      <c r="H14" s="422" t="s">
        <v>1490</v>
      </c>
      <c r="I14" s="422" t="s">
        <v>259</v>
      </c>
      <c r="J14" s="422" t="s">
        <v>36</v>
      </c>
      <c r="K14" s="897" t="s">
        <v>61</v>
      </c>
      <c r="L14" s="427" t="s">
        <v>255</v>
      </c>
      <c r="M14" s="140" t="s">
        <v>255</v>
      </c>
      <c r="N14" s="898" t="s">
        <v>1491</v>
      </c>
      <c r="O14" s="899" t="s">
        <v>40</v>
      </c>
      <c r="P14" s="422"/>
      <c r="Q14" s="900"/>
      <c r="R14" s="901">
        <v>180000</v>
      </c>
      <c r="S14" s="162">
        <f>(G14-F14)/100</f>
        <v>4</v>
      </c>
      <c r="T14" s="702"/>
      <c r="U14" s="902">
        <f t="shared" si="0"/>
        <v>720000</v>
      </c>
      <c r="V14" s="704">
        <f t="shared" si="1"/>
        <v>720000</v>
      </c>
      <c r="W14" s="439"/>
      <c r="X14" s="386">
        <f>(Q14+((S14-0)*R14))*((100-P14)/100)</f>
        <v>720000</v>
      </c>
      <c r="Y14" s="439"/>
      <c r="Z14" s="82"/>
      <c r="AA14" s="82"/>
      <c r="AB14" s="82"/>
      <c r="AC14" s="82"/>
      <c r="AD14" s="82"/>
      <c r="AE14" s="82"/>
    </row>
    <row r="15" spans="1:31" s="833" customFormat="1" ht="13">
      <c r="A15" s="81"/>
      <c r="B15" s="81">
        <v>9</v>
      </c>
      <c r="C15" s="94">
        <v>4577</v>
      </c>
      <c r="D15" s="259" t="s">
        <v>43</v>
      </c>
      <c r="E15" s="258" t="s">
        <v>1489</v>
      </c>
      <c r="F15" s="86">
        <v>1030</v>
      </c>
      <c r="G15" s="86">
        <v>1200</v>
      </c>
      <c r="H15" s="94" t="s">
        <v>1338</v>
      </c>
      <c r="I15" s="140" t="s">
        <v>259</v>
      </c>
      <c r="J15" s="140" t="s">
        <v>36</v>
      </c>
      <c r="K15" s="258" t="s">
        <v>76</v>
      </c>
      <c r="L15" s="355" t="s">
        <v>255</v>
      </c>
      <c r="M15" s="355" t="s">
        <v>255</v>
      </c>
      <c r="N15" s="119">
        <v>45242.483124999999</v>
      </c>
      <c r="O15" s="259" t="s">
        <v>40</v>
      </c>
      <c r="P15" s="261"/>
      <c r="Q15" s="442"/>
      <c r="R15" s="894">
        <v>500000</v>
      </c>
      <c r="S15" s="162">
        <f>(G15-1050)/100</f>
        <v>1.5</v>
      </c>
      <c r="T15" s="94"/>
      <c r="U15" s="894">
        <f t="shared" si="0"/>
        <v>750000</v>
      </c>
      <c r="V15" s="707">
        <f t="shared" si="1"/>
        <v>750000</v>
      </c>
      <c r="W15" s="82"/>
      <c r="X15" s="82"/>
      <c r="Y15" s="82"/>
      <c r="Z15" s="82"/>
      <c r="AA15" s="82"/>
      <c r="AB15" s="82"/>
      <c r="AC15" s="82"/>
      <c r="AD15" s="82"/>
      <c r="AE15" s="82"/>
    </row>
    <row r="16" spans="1:31" s="833" customFormat="1">
      <c r="A16" s="81"/>
      <c r="B16" s="81">
        <v>10</v>
      </c>
      <c r="C16" s="258" t="s">
        <v>1492</v>
      </c>
      <c r="D16" s="259" t="s">
        <v>43</v>
      </c>
      <c r="E16" s="258" t="s">
        <v>1493</v>
      </c>
      <c r="F16" s="86">
        <v>1500</v>
      </c>
      <c r="G16" s="86">
        <v>1600</v>
      </c>
      <c r="H16" s="261" t="s">
        <v>1353</v>
      </c>
      <c r="I16" s="140" t="s">
        <v>35</v>
      </c>
      <c r="J16" s="140" t="s">
        <v>36</v>
      </c>
      <c r="K16" s="258" t="s">
        <v>76</v>
      </c>
      <c r="L16" s="261"/>
      <c r="M16" s="140" t="s">
        <v>255</v>
      </c>
      <c r="N16" s="903">
        <v>45150.615300925929</v>
      </c>
      <c r="O16" s="259" t="s">
        <v>40</v>
      </c>
      <c r="P16" s="442"/>
      <c r="Q16" s="442"/>
      <c r="R16" s="894">
        <v>500000</v>
      </c>
      <c r="S16" s="162">
        <f>(G16-F16)/100</f>
        <v>1</v>
      </c>
      <c r="T16" s="259"/>
      <c r="U16" s="904">
        <f t="shared" si="0"/>
        <v>500000</v>
      </c>
      <c r="V16" s="707">
        <f t="shared" si="1"/>
        <v>500000</v>
      </c>
      <c r="W16" s="439"/>
      <c r="X16" s="386">
        <f>(Q16+((S16-0)*R16))*((100-P16)/100)</f>
        <v>500000</v>
      </c>
      <c r="Y16" s="439"/>
      <c r="Z16" s="82"/>
      <c r="AA16" s="82"/>
      <c r="AB16" s="82"/>
      <c r="AC16" s="82"/>
      <c r="AD16" s="82"/>
      <c r="AE16" s="82"/>
    </row>
    <row r="17" spans="1:25" s="833" customFormat="1" ht="14">
      <c r="A17" s="81"/>
      <c r="B17" s="263">
        <v>11</v>
      </c>
      <c r="C17" s="264" t="s">
        <v>1494</v>
      </c>
      <c r="D17" s="259" t="s">
        <v>32</v>
      </c>
      <c r="E17" s="264" t="s">
        <v>1493</v>
      </c>
      <c r="F17" s="266">
        <v>900</v>
      </c>
      <c r="G17" s="266">
        <v>1600</v>
      </c>
      <c r="H17" s="267" t="s">
        <v>1495</v>
      </c>
      <c r="I17" s="905" t="s">
        <v>36</v>
      </c>
      <c r="J17" s="268" t="s">
        <v>36</v>
      </c>
      <c r="K17" s="264" t="s">
        <v>76</v>
      </c>
      <c r="L17" s="906" t="s">
        <v>1496</v>
      </c>
      <c r="M17" s="268" t="s">
        <v>255</v>
      </c>
      <c r="N17" s="907">
        <v>45150.438599537039</v>
      </c>
      <c r="O17" s="265" t="s">
        <v>40</v>
      </c>
      <c r="P17" s="798"/>
      <c r="Q17" s="908">
        <f>R17*3</f>
        <v>2850000</v>
      </c>
      <c r="R17" s="894">
        <v>950000</v>
      </c>
      <c r="S17" s="162">
        <f>(G17-F17)/100</f>
        <v>7</v>
      </c>
      <c r="T17" s="265"/>
      <c r="U17" s="904">
        <f t="shared" si="0"/>
        <v>6650000</v>
      </c>
      <c r="V17" s="707">
        <f>(Q17+((S17-4)*R17))*((100-P17)/100)</f>
        <v>5700000</v>
      </c>
      <c r="W17" s="439"/>
      <c r="X17" s="91"/>
      <c r="Y17" s="439"/>
    </row>
    <row r="18" spans="1:25" s="833" customFormat="1">
      <c r="A18" s="765"/>
      <c r="B18" s="765">
        <v>12</v>
      </c>
      <c r="C18" s="767" t="s">
        <v>1497</v>
      </c>
      <c r="D18" s="734" t="s">
        <v>43</v>
      </c>
      <c r="E18" s="767" t="s">
        <v>1498</v>
      </c>
      <c r="F18" s="768">
        <v>1330</v>
      </c>
      <c r="G18" s="768">
        <v>1530</v>
      </c>
      <c r="H18" s="735" t="s">
        <v>1499</v>
      </c>
      <c r="I18" s="875" t="s">
        <v>35</v>
      </c>
      <c r="J18" s="875" t="s">
        <v>36</v>
      </c>
      <c r="K18" s="772" t="s">
        <v>76</v>
      </c>
      <c r="L18" s="742"/>
      <c r="M18" s="877" t="s">
        <v>255</v>
      </c>
      <c r="N18" s="867">
        <v>45119.601006944446</v>
      </c>
      <c r="O18" s="771" t="s">
        <v>40</v>
      </c>
      <c r="P18" s="774"/>
      <c r="Q18" s="842"/>
      <c r="R18" s="894">
        <v>500000</v>
      </c>
      <c r="S18" s="531">
        <f>(G18-F18)/100</f>
        <v>2</v>
      </c>
      <c r="T18" s="734"/>
      <c r="U18" s="843">
        <f t="shared" si="0"/>
        <v>1000000</v>
      </c>
      <c r="V18" s="626">
        <f t="shared" si="1"/>
        <v>1000000</v>
      </c>
      <c r="W18" s="439"/>
      <c r="X18" s="91"/>
      <c r="Y18" s="439"/>
    </row>
    <row r="19" spans="1:25" s="833" customFormat="1">
      <c r="A19" s="748"/>
      <c r="B19" s="748">
        <v>13</v>
      </c>
      <c r="C19" s="749" t="s">
        <v>1500</v>
      </c>
      <c r="D19" s="714" t="s">
        <v>32</v>
      </c>
      <c r="E19" s="749" t="s">
        <v>1498</v>
      </c>
      <c r="F19" s="750">
        <v>1000</v>
      </c>
      <c r="G19" s="750">
        <v>1100</v>
      </c>
      <c r="H19" s="674" t="s">
        <v>1501</v>
      </c>
      <c r="I19" s="721" t="s">
        <v>35</v>
      </c>
      <c r="J19" s="721" t="s">
        <v>36</v>
      </c>
      <c r="K19" s="751" t="s">
        <v>37</v>
      </c>
      <c r="L19" s="889"/>
      <c r="M19" s="879" t="s">
        <v>112</v>
      </c>
      <c r="N19" s="890">
        <v>45119.456412037034</v>
      </c>
      <c r="O19" s="753" t="s">
        <v>40</v>
      </c>
      <c r="P19" s="754">
        <v>100</v>
      </c>
      <c r="Q19" s="909"/>
      <c r="R19" s="844">
        <v>950000</v>
      </c>
      <c r="S19" s="162">
        <f>(G19-F19)/100</f>
        <v>1</v>
      </c>
      <c r="T19" s="714"/>
      <c r="U19" s="845">
        <f t="shared" si="0"/>
        <v>0</v>
      </c>
      <c r="V19" s="625">
        <f t="shared" si="1"/>
        <v>0</v>
      </c>
      <c r="W19" s="439"/>
      <c r="X19" s="91"/>
      <c r="Y19" s="439"/>
    </row>
    <row r="20" spans="1:25" s="833" customFormat="1">
      <c r="A20" s="81"/>
      <c r="B20" s="81">
        <v>14</v>
      </c>
      <c r="C20" s="258" t="s">
        <v>1502</v>
      </c>
      <c r="D20" s="259" t="s">
        <v>32</v>
      </c>
      <c r="E20" s="258" t="s">
        <v>1498</v>
      </c>
      <c r="F20" s="86">
        <v>1300</v>
      </c>
      <c r="G20" s="86">
        <v>1430</v>
      </c>
      <c r="H20" s="261" t="s">
        <v>1364</v>
      </c>
      <c r="I20" s="910" t="s">
        <v>35</v>
      </c>
      <c r="J20" s="140" t="s">
        <v>36</v>
      </c>
      <c r="K20" s="258" t="s">
        <v>37</v>
      </c>
      <c r="L20" s="632"/>
      <c r="M20" s="355" t="s">
        <v>255</v>
      </c>
      <c r="N20" s="903">
        <v>45119.432395833333</v>
      </c>
      <c r="O20" s="259" t="s">
        <v>40</v>
      </c>
      <c r="P20" s="261"/>
      <c r="Q20" s="904"/>
      <c r="R20" s="894">
        <v>950000</v>
      </c>
      <c r="S20" s="162">
        <f>(1450-F20)/100</f>
        <v>1.5</v>
      </c>
      <c r="T20" s="94"/>
      <c r="U20" s="894">
        <f t="shared" si="0"/>
        <v>1425000</v>
      </c>
      <c r="V20" s="707">
        <f t="shared" si="1"/>
        <v>1425000</v>
      </c>
      <c r="W20" s="82"/>
      <c r="X20" s="386">
        <f>(Q20+((S20-0)*R20))*((100-P20)/100)</f>
        <v>1425000</v>
      </c>
      <c r="Y20" s="82"/>
    </row>
    <row r="21" spans="1:25" s="833" customFormat="1">
      <c r="A21" s="728"/>
      <c r="B21" s="728">
        <v>15</v>
      </c>
      <c r="C21" s="876" t="s">
        <v>1503</v>
      </c>
      <c r="D21" s="706" t="s">
        <v>43</v>
      </c>
      <c r="E21" s="876" t="s">
        <v>1498</v>
      </c>
      <c r="F21" s="911">
        <v>1000</v>
      </c>
      <c r="G21" s="911">
        <v>1100</v>
      </c>
      <c r="H21" s="737" t="s">
        <v>1376</v>
      </c>
      <c r="I21" s="140" t="s">
        <v>35</v>
      </c>
      <c r="J21" s="140" t="s">
        <v>36</v>
      </c>
      <c r="K21" s="876" t="s">
        <v>76</v>
      </c>
      <c r="L21" s="261"/>
      <c r="M21" s="401" t="s">
        <v>484</v>
      </c>
      <c r="N21" s="912">
        <v>45119.427002314813</v>
      </c>
      <c r="O21" s="706" t="s">
        <v>40</v>
      </c>
      <c r="P21" s="737" t="s">
        <v>41</v>
      </c>
      <c r="Q21" s="913"/>
      <c r="R21" s="914">
        <v>500000</v>
      </c>
      <c r="S21" s="531">
        <f t="shared" ref="S21:S59" si="2">(G21-F21)/100</f>
        <v>1</v>
      </c>
      <c r="T21" s="706"/>
      <c r="U21" s="914">
        <f t="shared" si="0"/>
        <v>0</v>
      </c>
      <c r="V21" s="809">
        <f t="shared" si="1"/>
        <v>0</v>
      </c>
      <c r="W21" s="439"/>
      <c r="X21" s="91"/>
      <c r="Y21" s="439"/>
    </row>
    <row r="22" spans="1:25" s="833" customFormat="1">
      <c r="A22" s="671"/>
      <c r="B22" s="671">
        <v>16</v>
      </c>
      <c r="C22" s="670" t="s">
        <v>1504</v>
      </c>
      <c r="D22" s="669" t="s">
        <v>75</v>
      </c>
      <c r="E22" s="670" t="s">
        <v>1505</v>
      </c>
      <c r="F22" s="668">
        <v>1330</v>
      </c>
      <c r="G22" s="668">
        <v>1630</v>
      </c>
      <c r="H22" s="667" t="s">
        <v>1366</v>
      </c>
      <c r="I22" s="140" t="s">
        <v>35</v>
      </c>
      <c r="J22" s="140" t="s">
        <v>36</v>
      </c>
      <c r="K22" s="670" t="s">
        <v>76</v>
      </c>
      <c r="L22" s="667"/>
      <c r="M22" s="879" t="s">
        <v>255</v>
      </c>
      <c r="N22" s="868">
        <v>45089.532187500001</v>
      </c>
      <c r="O22" s="669" t="s">
        <v>40</v>
      </c>
      <c r="P22" s="675"/>
      <c r="Q22" s="675"/>
      <c r="R22" s="894">
        <v>500000</v>
      </c>
      <c r="S22" s="162">
        <f t="shared" si="2"/>
        <v>3</v>
      </c>
      <c r="T22" s="669"/>
      <c r="U22" s="841">
        <f t="shared" si="0"/>
        <v>1500000</v>
      </c>
      <c r="V22" s="707">
        <f t="shared" si="1"/>
        <v>1500000</v>
      </c>
      <c r="W22" s="439"/>
      <c r="X22" s="91"/>
      <c r="Y22" s="439"/>
    </row>
    <row r="23" spans="1:25" s="833" customFormat="1">
      <c r="A23" s="728"/>
      <c r="B23" s="728">
        <v>17</v>
      </c>
      <c r="C23" s="876" t="s">
        <v>1506</v>
      </c>
      <c r="D23" s="706" t="s">
        <v>75</v>
      </c>
      <c r="E23" s="876" t="s">
        <v>1505</v>
      </c>
      <c r="F23" s="911">
        <v>1100</v>
      </c>
      <c r="G23" s="911">
        <v>1200</v>
      </c>
      <c r="H23" s="737" t="s">
        <v>1364</v>
      </c>
      <c r="I23" s="875" t="s">
        <v>35</v>
      </c>
      <c r="J23" s="875" t="s">
        <v>36</v>
      </c>
      <c r="K23" s="915" t="s">
        <v>76</v>
      </c>
      <c r="L23" s="414"/>
      <c r="M23" s="880" t="s">
        <v>255</v>
      </c>
      <c r="N23" s="916">
        <v>45089.492118055554</v>
      </c>
      <c r="O23" s="874" t="s">
        <v>40</v>
      </c>
      <c r="P23" s="775"/>
      <c r="Q23" s="917"/>
      <c r="R23" s="894">
        <v>500000</v>
      </c>
      <c r="S23" s="162">
        <f t="shared" si="2"/>
        <v>1</v>
      </c>
      <c r="T23" s="706"/>
      <c r="U23" s="895">
        <f t="shared" si="0"/>
        <v>500000</v>
      </c>
      <c r="V23" s="533">
        <f t="shared" si="1"/>
        <v>500000</v>
      </c>
      <c r="W23" s="439"/>
      <c r="X23" s="91"/>
      <c r="Y23" s="439"/>
    </row>
    <row r="24" spans="1:25" s="833" customFormat="1">
      <c r="A24" s="712"/>
      <c r="B24" s="712">
        <v>18</v>
      </c>
      <c r="C24" s="896" t="s">
        <v>1507</v>
      </c>
      <c r="D24" s="702" t="s">
        <v>43</v>
      </c>
      <c r="E24" s="896" t="s">
        <v>1505</v>
      </c>
      <c r="F24" s="720">
        <v>1400</v>
      </c>
      <c r="G24" s="720">
        <v>1500</v>
      </c>
      <c r="H24" s="422" t="s">
        <v>1508</v>
      </c>
      <c r="I24" s="721" t="s">
        <v>35</v>
      </c>
      <c r="J24" s="721" t="s">
        <v>36</v>
      </c>
      <c r="K24" s="897" t="s">
        <v>76</v>
      </c>
      <c r="L24" s="413"/>
      <c r="M24" s="881" t="s">
        <v>255</v>
      </c>
      <c r="N24" s="453">
        <v>45089.429837962962</v>
      </c>
      <c r="O24" s="899" t="s">
        <v>40</v>
      </c>
      <c r="P24" s="450"/>
      <c r="Q24" s="900"/>
      <c r="R24" s="894">
        <v>500000</v>
      </c>
      <c r="S24" s="162">
        <f t="shared" si="2"/>
        <v>1</v>
      </c>
      <c r="T24" s="188"/>
      <c r="U24" s="902">
        <f t="shared" si="0"/>
        <v>500000</v>
      </c>
      <c r="V24" s="704">
        <f t="shared" si="1"/>
        <v>500000</v>
      </c>
      <c r="W24" s="82"/>
      <c r="X24" s="82"/>
      <c r="Y24" s="82"/>
    </row>
    <row r="25" spans="1:25" s="833" customFormat="1" ht="13">
      <c r="A25" s="712"/>
      <c r="B25" s="712">
        <v>19</v>
      </c>
      <c r="C25" s="896" t="s">
        <v>1509</v>
      </c>
      <c r="D25" s="702" t="s">
        <v>32</v>
      </c>
      <c r="E25" s="896" t="s">
        <v>1505</v>
      </c>
      <c r="F25" s="720">
        <v>1430</v>
      </c>
      <c r="G25" s="720">
        <v>1630</v>
      </c>
      <c r="H25" s="422" t="s">
        <v>1510</v>
      </c>
      <c r="I25" s="721" t="s">
        <v>35</v>
      </c>
      <c r="J25" s="721" t="s">
        <v>36</v>
      </c>
      <c r="K25" s="896" t="s">
        <v>37</v>
      </c>
      <c r="L25" s="188" t="s">
        <v>1511</v>
      </c>
      <c r="M25" s="721" t="s">
        <v>47</v>
      </c>
      <c r="N25" s="918">
        <v>45089.428807870368</v>
      </c>
      <c r="O25" s="702" t="s">
        <v>40</v>
      </c>
      <c r="P25" s="919">
        <v>100</v>
      </c>
      <c r="Q25" s="450"/>
      <c r="R25" s="919">
        <v>950000</v>
      </c>
      <c r="S25" s="162">
        <f t="shared" si="2"/>
        <v>2</v>
      </c>
      <c r="T25" s="702"/>
      <c r="U25" s="919">
        <f t="shared" si="0"/>
        <v>0</v>
      </c>
      <c r="V25" s="757">
        <f>(Q25+((S25-0)*R25))*((100-P25)/100)</f>
        <v>0</v>
      </c>
      <c r="W25" s="439" t="s">
        <v>1512</v>
      </c>
      <c r="X25" s="91"/>
      <c r="Y25" s="439"/>
    </row>
    <row r="26" spans="1:25" s="833" customFormat="1">
      <c r="A26" s="81"/>
      <c r="B26" s="81">
        <v>20</v>
      </c>
      <c r="C26" s="258" t="s">
        <v>1513</v>
      </c>
      <c r="D26" s="259" t="s">
        <v>43</v>
      </c>
      <c r="E26" s="258" t="s">
        <v>1505</v>
      </c>
      <c r="F26" s="86">
        <v>900</v>
      </c>
      <c r="G26" s="86">
        <v>1400</v>
      </c>
      <c r="H26" s="261" t="s">
        <v>1338</v>
      </c>
      <c r="I26" s="140" t="s">
        <v>35</v>
      </c>
      <c r="J26" s="140" t="s">
        <v>36</v>
      </c>
      <c r="K26" s="258" t="s">
        <v>76</v>
      </c>
      <c r="L26" s="261"/>
      <c r="M26" s="140" t="s">
        <v>255</v>
      </c>
      <c r="N26" s="903">
        <v>45089.427418981482</v>
      </c>
      <c r="O26" s="259" t="s">
        <v>40</v>
      </c>
      <c r="P26" s="408"/>
      <c r="Q26" s="894">
        <f>R26*3</f>
        <v>1500000</v>
      </c>
      <c r="R26" s="894">
        <v>500000</v>
      </c>
      <c r="S26" s="162">
        <f t="shared" si="2"/>
        <v>5</v>
      </c>
      <c r="T26" s="259"/>
      <c r="U26" s="894">
        <f t="shared" si="0"/>
        <v>2500000</v>
      </c>
      <c r="V26" s="707">
        <f>(Q26+((S26-4)*R26))*((100-P26)/100)</f>
        <v>2000000</v>
      </c>
      <c r="W26" s="439"/>
      <c r="X26" s="91"/>
      <c r="Y26" s="439"/>
    </row>
    <row r="27" spans="1:25" s="834" customFormat="1">
      <c r="A27" s="728"/>
      <c r="B27" s="728">
        <v>21</v>
      </c>
      <c r="C27" s="876" t="s">
        <v>1514</v>
      </c>
      <c r="D27" s="706" t="s">
        <v>43</v>
      </c>
      <c r="E27" s="876" t="s">
        <v>1515</v>
      </c>
      <c r="F27" s="911">
        <v>1515</v>
      </c>
      <c r="G27" s="911">
        <v>1615</v>
      </c>
      <c r="H27" s="737" t="s">
        <v>1516</v>
      </c>
      <c r="I27" s="875" t="s">
        <v>35</v>
      </c>
      <c r="J27" s="875" t="s">
        <v>36</v>
      </c>
      <c r="K27" s="876" t="s">
        <v>76</v>
      </c>
      <c r="L27" s="737"/>
      <c r="M27" s="401" t="s">
        <v>255</v>
      </c>
      <c r="N27" s="920">
        <v>45058.671249999999</v>
      </c>
      <c r="O27" s="706" t="s">
        <v>40</v>
      </c>
      <c r="P27" s="913"/>
      <c r="Q27" s="913"/>
      <c r="R27" s="894">
        <v>500000</v>
      </c>
      <c r="S27" s="162">
        <f t="shared" si="2"/>
        <v>1</v>
      </c>
      <c r="T27" s="733"/>
      <c r="U27" s="914">
        <f t="shared" si="0"/>
        <v>500000</v>
      </c>
      <c r="V27" s="709">
        <f t="shared" si="1"/>
        <v>500000</v>
      </c>
      <c r="W27" s="605"/>
      <c r="X27" s="386">
        <f>(Q27+((S27-0)*R27))*((100-P27)/100)</f>
        <v>500000</v>
      </c>
      <c r="Y27" s="605"/>
    </row>
    <row r="28" spans="1:25" s="834" customFormat="1">
      <c r="A28" s="81"/>
      <c r="B28" s="81">
        <v>22</v>
      </c>
      <c r="C28" s="258" t="s">
        <v>1517</v>
      </c>
      <c r="D28" s="259" t="s">
        <v>43</v>
      </c>
      <c r="E28" s="258" t="s">
        <v>1489</v>
      </c>
      <c r="F28" s="86">
        <v>1200</v>
      </c>
      <c r="G28" s="86">
        <v>1800</v>
      </c>
      <c r="H28" s="261" t="s">
        <v>1518</v>
      </c>
      <c r="I28" s="140" t="s">
        <v>35</v>
      </c>
      <c r="J28" s="140" t="s">
        <v>36</v>
      </c>
      <c r="K28" s="258" t="s">
        <v>76</v>
      </c>
      <c r="L28" s="261"/>
      <c r="M28" s="358" t="s">
        <v>266</v>
      </c>
      <c r="N28" s="921">
        <v>45028.64607638889</v>
      </c>
      <c r="O28" s="259" t="s">
        <v>40</v>
      </c>
      <c r="P28" s="442"/>
      <c r="Q28" s="904">
        <f>R28*3</f>
        <v>1500000</v>
      </c>
      <c r="R28" s="894">
        <v>500000</v>
      </c>
      <c r="S28" s="162">
        <f t="shared" si="2"/>
        <v>6</v>
      </c>
      <c r="T28" s="259"/>
      <c r="U28" s="894">
        <f t="shared" si="0"/>
        <v>3000000</v>
      </c>
      <c r="V28" s="707">
        <f>(Q28+((S28-4)*R28))*((100-P28)/100)</f>
        <v>2500000</v>
      </c>
      <c r="W28" s="439"/>
      <c r="X28" s="91"/>
      <c r="Y28" s="439"/>
    </row>
    <row r="29" spans="1:25" s="834" customFormat="1">
      <c r="A29" s="729"/>
      <c r="B29" s="729">
        <v>23</v>
      </c>
      <c r="C29" s="922" t="s">
        <v>1519</v>
      </c>
      <c r="D29" s="730" t="s">
        <v>43</v>
      </c>
      <c r="E29" s="922" t="s">
        <v>1489</v>
      </c>
      <c r="F29" s="923">
        <v>1200</v>
      </c>
      <c r="G29" s="923">
        <v>1800</v>
      </c>
      <c r="H29" s="743" t="s">
        <v>1518</v>
      </c>
      <c r="I29" s="924" t="s">
        <v>35</v>
      </c>
      <c r="J29" s="924" t="s">
        <v>36</v>
      </c>
      <c r="K29" s="925" t="s">
        <v>37</v>
      </c>
      <c r="L29" s="926"/>
      <c r="M29" s="886" t="s">
        <v>266</v>
      </c>
      <c r="N29" s="927">
        <v>45028.645370370374</v>
      </c>
      <c r="O29" s="928" t="s">
        <v>174</v>
      </c>
      <c r="P29" s="929"/>
      <c r="Q29" s="929"/>
      <c r="R29" s="930"/>
      <c r="S29" s="162">
        <f t="shared" si="2"/>
        <v>6</v>
      </c>
      <c r="T29" s="760"/>
      <c r="U29" s="930">
        <f t="shared" si="0"/>
        <v>0</v>
      </c>
      <c r="V29" s="761">
        <f t="shared" si="1"/>
        <v>0</v>
      </c>
      <c r="W29" s="605"/>
      <c r="X29" s="605"/>
      <c r="Y29" s="605"/>
    </row>
    <row r="30" spans="1:25" s="833" customFormat="1">
      <c r="A30" s="81"/>
      <c r="B30" s="81">
        <v>24</v>
      </c>
      <c r="C30" s="258" t="s">
        <v>1520</v>
      </c>
      <c r="D30" s="259" t="s">
        <v>32</v>
      </c>
      <c r="E30" s="258" t="s">
        <v>1505</v>
      </c>
      <c r="F30" s="86">
        <v>1430</v>
      </c>
      <c r="G30" s="86">
        <v>1630</v>
      </c>
      <c r="H30" s="261" t="s">
        <v>1521</v>
      </c>
      <c r="I30" s="140" t="s">
        <v>35</v>
      </c>
      <c r="J30" s="140" t="s">
        <v>36</v>
      </c>
      <c r="K30" s="258" t="s">
        <v>37</v>
      </c>
      <c r="L30" s="261"/>
      <c r="M30" s="94" t="s">
        <v>47</v>
      </c>
      <c r="N30" s="903">
        <v>45028.519675925927</v>
      </c>
      <c r="O30" s="259" t="s">
        <v>174</v>
      </c>
      <c r="P30" s="408"/>
      <c r="Q30" s="442"/>
      <c r="R30" s="904"/>
      <c r="S30" s="162">
        <f t="shared" si="2"/>
        <v>2</v>
      </c>
      <c r="T30" s="259"/>
      <c r="U30" s="894">
        <f t="shared" si="0"/>
        <v>0</v>
      </c>
      <c r="V30" s="710">
        <f t="shared" si="1"/>
        <v>0</v>
      </c>
      <c r="W30" s="439"/>
      <c r="X30" s="91"/>
      <c r="Y30" s="439"/>
    </row>
    <row r="31" spans="1:25" s="833" customFormat="1">
      <c r="A31" s="81"/>
      <c r="B31" s="81">
        <v>25</v>
      </c>
      <c r="C31" s="258" t="s">
        <v>1522</v>
      </c>
      <c r="D31" s="259" t="s">
        <v>43</v>
      </c>
      <c r="E31" s="258" t="s">
        <v>1505</v>
      </c>
      <c r="F31" s="86">
        <v>1430</v>
      </c>
      <c r="G31" s="86">
        <v>1630</v>
      </c>
      <c r="H31" s="261" t="s">
        <v>1521</v>
      </c>
      <c r="I31" s="140" t="s">
        <v>35</v>
      </c>
      <c r="J31" s="140" t="s">
        <v>36</v>
      </c>
      <c r="K31" s="258" t="s">
        <v>100</v>
      </c>
      <c r="L31" s="261"/>
      <c r="M31" s="94" t="s">
        <v>47</v>
      </c>
      <c r="N31" s="903">
        <v>45028.515034722222</v>
      </c>
      <c r="O31" s="259" t="s">
        <v>174</v>
      </c>
      <c r="P31" s="442"/>
      <c r="Q31" s="137"/>
      <c r="R31" s="894"/>
      <c r="S31" s="162">
        <f t="shared" si="2"/>
        <v>2</v>
      </c>
      <c r="T31" s="94"/>
      <c r="U31" s="894">
        <f t="shared" si="0"/>
        <v>0</v>
      </c>
      <c r="V31" s="710">
        <f t="shared" si="1"/>
        <v>0</v>
      </c>
      <c r="W31" s="82"/>
      <c r="X31" s="426">
        <f>V31*((100-P31)/100)</f>
        <v>0</v>
      </c>
      <c r="Y31" s="82"/>
    </row>
    <row r="32" spans="1:25" s="833" customFormat="1" ht="13">
      <c r="A32" s="729"/>
      <c r="B32" s="729">
        <v>26</v>
      </c>
      <c r="C32" s="922" t="s">
        <v>1523</v>
      </c>
      <c r="D32" s="730" t="s">
        <v>75</v>
      </c>
      <c r="E32" s="922" t="s">
        <v>1524</v>
      </c>
      <c r="F32" s="923">
        <v>1030</v>
      </c>
      <c r="G32" s="923">
        <v>1130</v>
      </c>
      <c r="H32" s="743" t="s">
        <v>721</v>
      </c>
      <c r="I32" s="924" t="s">
        <v>35</v>
      </c>
      <c r="J32" s="924" t="s">
        <v>36</v>
      </c>
      <c r="K32" s="925" t="s">
        <v>76</v>
      </c>
      <c r="L32" s="926"/>
      <c r="M32" s="882" t="s">
        <v>124</v>
      </c>
      <c r="N32" s="931">
        <v>45028.435578703706</v>
      </c>
      <c r="O32" s="928" t="s">
        <v>40</v>
      </c>
      <c r="P32" s="929"/>
      <c r="Q32" s="776"/>
      <c r="R32" s="932">
        <v>500000</v>
      </c>
      <c r="S32" s="162">
        <f t="shared" si="2"/>
        <v>1</v>
      </c>
      <c r="T32" s="730"/>
      <c r="U32" s="901">
        <f t="shared" si="0"/>
        <v>500000</v>
      </c>
      <c r="V32" s="808">
        <f t="shared" si="1"/>
        <v>500000</v>
      </c>
      <c r="W32" s="439"/>
      <c r="X32" s="426">
        <f>V32*((100-P32)/100)</f>
        <v>500000</v>
      </c>
      <c r="Y32" s="439"/>
    </row>
    <row r="33" spans="1:25" s="833" customFormat="1" ht="13">
      <c r="A33" s="81"/>
      <c r="B33" s="81">
        <v>27</v>
      </c>
      <c r="C33" s="258" t="s">
        <v>1525</v>
      </c>
      <c r="D33" s="259" t="s">
        <v>43</v>
      </c>
      <c r="E33" s="258" t="s">
        <v>1524</v>
      </c>
      <c r="F33" s="86">
        <v>900</v>
      </c>
      <c r="G33" s="86">
        <v>1600</v>
      </c>
      <c r="H33" s="261" t="s">
        <v>1338</v>
      </c>
      <c r="I33" s="140" t="s">
        <v>35</v>
      </c>
      <c r="J33" s="140" t="s">
        <v>36</v>
      </c>
      <c r="K33" s="258" t="s">
        <v>76</v>
      </c>
      <c r="L33" s="261"/>
      <c r="M33" s="355" t="s">
        <v>255</v>
      </c>
      <c r="N33" s="933">
        <v>45028.429189814815</v>
      </c>
      <c r="O33" s="259" t="s">
        <v>40</v>
      </c>
      <c r="P33" s="442"/>
      <c r="Q33" s="894">
        <f>R33*3</f>
        <v>1500000</v>
      </c>
      <c r="R33" s="894">
        <v>500000</v>
      </c>
      <c r="S33" s="162">
        <f t="shared" si="2"/>
        <v>7</v>
      </c>
      <c r="T33" s="259"/>
      <c r="U33" s="894">
        <f t="shared" si="0"/>
        <v>3500000</v>
      </c>
      <c r="V33" s="707">
        <f>(Q33+((S33-4)*R33))*((100-P33)/100)</f>
        <v>3000000</v>
      </c>
      <c r="W33" s="439"/>
      <c r="X33" s="426">
        <f>V33*((100-P33)/100)</f>
        <v>3000000</v>
      </c>
      <c r="Y33" s="439"/>
    </row>
    <row r="34" spans="1:25" s="833" customFormat="1">
      <c r="A34" s="81"/>
      <c r="B34" s="81">
        <v>28</v>
      </c>
      <c r="C34" s="258" t="s">
        <v>1526</v>
      </c>
      <c r="D34" s="259" t="s">
        <v>43</v>
      </c>
      <c r="E34" s="258" t="s">
        <v>1493</v>
      </c>
      <c r="F34" s="86">
        <v>900</v>
      </c>
      <c r="G34" s="86">
        <v>1600</v>
      </c>
      <c r="H34" s="261" t="s">
        <v>1364</v>
      </c>
      <c r="I34" s="140" t="s">
        <v>35</v>
      </c>
      <c r="J34" s="140" t="s">
        <v>36</v>
      </c>
      <c r="K34" s="258" t="s">
        <v>76</v>
      </c>
      <c r="L34" s="261"/>
      <c r="M34" s="94" t="s">
        <v>255</v>
      </c>
      <c r="N34" s="903" t="s">
        <v>1527</v>
      </c>
      <c r="O34" s="259" t="s">
        <v>174</v>
      </c>
      <c r="P34" s="408"/>
      <c r="Q34" s="894"/>
      <c r="R34" s="894"/>
      <c r="S34" s="162">
        <f t="shared" si="2"/>
        <v>7</v>
      </c>
      <c r="T34" s="259"/>
      <c r="U34" s="894">
        <f t="shared" si="0"/>
        <v>0</v>
      </c>
      <c r="V34" s="710">
        <f t="shared" si="1"/>
        <v>0</v>
      </c>
      <c r="W34" s="439"/>
      <c r="X34" s="91"/>
      <c r="Y34" s="439"/>
    </row>
    <row r="35" spans="1:25" s="833" customFormat="1" ht="14">
      <c r="A35" s="81"/>
      <c r="B35" s="81">
        <v>29</v>
      </c>
      <c r="C35" s="258" t="s">
        <v>1528</v>
      </c>
      <c r="D35" s="259" t="s">
        <v>32</v>
      </c>
      <c r="E35" s="258" t="s">
        <v>1475</v>
      </c>
      <c r="F35" s="86">
        <v>1400</v>
      </c>
      <c r="G35" s="86">
        <v>1600</v>
      </c>
      <c r="H35" s="261" t="s">
        <v>1132</v>
      </c>
      <c r="I35" s="140" t="s">
        <v>35</v>
      </c>
      <c r="J35" s="140" t="s">
        <v>36</v>
      </c>
      <c r="K35" s="258" t="s">
        <v>1529</v>
      </c>
      <c r="L35" s="261"/>
      <c r="M35" s="140" t="s">
        <v>1221</v>
      </c>
      <c r="N35" s="933" t="s">
        <v>1530</v>
      </c>
      <c r="O35" s="259" t="s">
        <v>40</v>
      </c>
      <c r="P35" s="408"/>
      <c r="Q35" s="894"/>
      <c r="R35" s="894">
        <v>950000</v>
      </c>
      <c r="S35" s="162">
        <f t="shared" si="2"/>
        <v>2</v>
      </c>
      <c r="T35" s="259"/>
      <c r="U35" s="894">
        <f t="shared" si="0"/>
        <v>1900000</v>
      </c>
      <c r="V35" s="707">
        <f t="shared" si="1"/>
        <v>1900000</v>
      </c>
      <c r="W35" s="439"/>
      <c r="X35" s="91"/>
      <c r="Y35" s="439"/>
    </row>
    <row r="36" spans="1:25" s="836" customFormat="1" ht="13">
      <c r="A36" s="502"/>
      <c r="B36" s="502">
        <v>30</v>
      </c>
      <c r="C36" s="503" t="s">
        <v>1531</v>
      </c>
      <c r="D36" s="504" t="s">
        <v>32</v>
      </c>
      <c r="E36" s="503" t="s">
        <v>1471</v>
      </c>
      <c r="F36" s="505">
        <v>900</v>
      </c>
      <c r="G36" s="505">
        <v>1700</v>
      </c>
      <c r="H36" s="506" t="s">
        <v>1472</v>
      </c>
      <c r="I36" s="507" t="s">
        <v>35</v>
      </c>
      <c r="J36" s="507" t="s">
        <v>36</v>
      </c>
      <c r="K36" s="503" t="s">
        <v>443</v>
      </c>
      <c r="L36" s="506"/>
      <c r="M36" s="507" t="s">
        <v>38</v>
      </c>
      <c r="N36" s="934" t="s">
        <v>1532</v>
      </c>
      <c r="O36" s="504" t="s">
        <v>40</v>
      </c>
      <c r="P36" s="506">
        <v>100</v>
      </c>
      <c r="Q36" s="827"/>
      <c r="R36" s="827">
        <v>950000</v>
      </c>
      <c r="S36" s="514">
        <v>3</v>
      </c>
      <c r="T36" s="504"/>
      <c r="U36" s="827">
        <f t="shared" si="0"/>
        <v>0</v>
      </c>
      <c r="V36" s="828">
        <f t="shared" si="1"/>
        <v>0</v>
      </c>
      <c r="W36" s="935"/>
      <c r="X36" s="936"/>
      <c r="Y36" s="935"/>
    </row>
    <row r="37" spans="1:25" s="836" customFormat="1" ht="13">
      <c r="A37" s="502"/>
      <c r="B37" s="502">
        <v>30</v>
      </c>
      <c r="C37" s="503" t="s">
        <v>1533</v>
      </c>
      <c r="D37" s="504" t="s">
        <v>32</v>
      </c>
      <c r="E37" s="503" t="s">
        <v>1471</v>
      </c>
      <c r="F37" s="505">
        <v>900</v>
      </c>
      <c r="G37" s="505">
        <v>1700</v>
      </c>
      <c r="H37" s="506" t="s">
        <v>1472</v>
      </c>
      <c r="I37" s="507" t="s">
        <v>35</v>
      </c>
      <c r="J37" s="507" t="s">
        <v>36</v>
      </c>
      <c r="K37" s="503" t="s">
        <v>443</v>
      </c>
      <c r="L37" s="506"/>
      <c r="M37" s="507" t="s">
        <v>38</v>
      </c>
      <c r="N37" s="934" t="s">
        <v>1532</v>
      </c>
      <c r="O37" s="504" t="s">
        <v>40</v>
      </c>
      <c r="P37" s="506">
        <v>10</v>
      </c>
      <c r="Q37" s="827">
        <f>R37*3</f>
        <v>2850000</v>
      </c>
      <c r="R37" s="827">
        <v>950000</v>
      </c>
      <c r="S37" s="514">
        <f>(G37-F37)/100-S36</f>
        <v>5</v>
      </c>
      <c r="T37" s="504"/>
      <c r="U37" s="827">
        <f t="shared" ref="U37" si="3">S37*R37*(100-P37)/100</f>
        <v>4275000</v>
      </c>
      <c r="V37" s="828">
        <f>(Q37+((S37-4)*R37))*((100-P37)/100)</f>
        <v>3420000</v>
      </c>
      <c r="W37" s="935"/>
      <c r="X37" s="936"/>
      <c r="Y37" s="935"/>
    </row>
    <row r="38" spans="1:25" s="833" customFormat="1" ht="26">
      <c r="A38" s="671"/>
      <c r="B38" s="671">
        <v>31</v>
      </c>
      <c r="C38" s="670" t="s">
        <v>1534</v>
      </c>
      <c r="D38" s="669" t="s">
        <v>32</v>
      </c>
      <c r="E38" s="670" t="s">
        <v>1486</v>
      </c>
      <c r="F38" s="668">
        <v>900</v>
      </c>
      <c r="G38" s="668">
        <v>1800</v>
      </c>
      <c r="H38" s="667" t="s">
        <v>1535</v>
      </c>
      <c r="I38" s="140" t="s">
        <v>35</v>
      </c>
      <c r="J38" s="140" t="s">
        <v>36</v>
      </c>
      <c r="K38" s="670" t="s">
        <v>37</v>
      </c>
      <c r="L38" s="261"/>
      <c r="M38" s="879" t="s">
        <v>47</v>
      </c>
      <c r="N38" s="803" t="s">
        <v>1536</v>
      </c>
      <c r="O38" s="669" t="s">
        <v>40</v>
      </c>
      <c r="P38" s="919">
        <f>3/9*100</f>
        <v>33.333333333333329</v>
      </c>
      <c r="Q38" s="894">
        <f>R38*3</f>
        <v>2850000</v>
      </c>
      <c r="R38" s="894">
        <v>950000</v>
      </c>
      <c r="S38" s="162">
        <f t="shared" si="2"/>
        <v>9</v>
      </c>
      <c r="T38" s="669"/>
      <c r="U38" s="841">
        <f t="shared" si="0"/>
        <v>5700000</v>
      </c>
      <c r="V38" s="887">
        <f>Q38+R38*((S38*(100-P38)/100)-4)</f>
        <v>4750000</v>
      </c>
      <c r="W38" s="439" t="s">
        <v>1537</v>
      </c>
      <c r="X38" s="841">
        <f>(Q38+((S38-4)*R38))*((100-P38)/100)</f>
        <v>5066666.666666667</v>
      </c>
      <c r="Y38" s="439"/>
    </row>
    <row r="39" spans="1:25" s="833" customFormat="1">
      <c r="A39" s="777"/>
      <c r="B39" s="777">
        <v>32</v>
      </c>
      <c r="C39" s="778" t="s">
        <v>1538</v>
      </c>
      <c r="D39" s="762" t="s">
        <v>75</v>
      </c>
      <c r="E39" s="779" t="s">
        <v>1475</v>
      </c>
      <c r="F39" s="780">
        <v>900</v>
      </c>
      <c r="G39" s="780">
        <v>1700</v>
      </c>
      <c r="H39" s="763" t="s">
        <v>1364</v>
      </c>
      <c r="I39" s="924" t="s">
        <v>35</v>
      </c>
      <c r="J39" s="924" t="s">
        <v>36</v>
      </c>
      <c r="K39" s="781" t="s">
        <v>76</v>
      </c>
      <c r="L39" s="926"/>
      <c r="M39" s="878" t="s">
        <v>255</v>
      </c>
      <c r="N39" s="782" t="s">
        <v>1539</v>
      </c>
      <c r="O39" s="783" t="s">
        <v>40</v>
      </c>
      <c r="P39" s="763"/>
      <c r="Q39" s="894">
        <f>R39*6</f>
        <v>3000000</v>
      </c>
      <c r="R39" s="894">
        <v>500000</v>
      </c>
      <c r="S39" s="162">
        <f t="shared" si="2"/>
        <v>8</v>
      </c>
      <c r="T39" s="762"/>
      <c r="U39" s="846">
        <f t="shared" si="0"/>
        <v>4000000</v>
      </c>
      <c r="V39" s="784">
        <f>(Q39+((S39-8)*R39))*((100-P39)/100)</f>
        <v>3000000</v>
      </c>
      <c r="W39" s="439"/>
      <c r="X39" s="91"/>
      <c r="Y39" s="439"/>
    </row>
    <row r="40" spans="1:25" s="833" customFormat="1">
      <c r="A40" s="81"/>
      <c r="B40" s="81">
        <v>33</v>
      </c>
      <c r="C40" s="258" t="s">
        <v>1540</v>
      </c>
      <c r="D40" s="259" t="s">
        <v>43</v>
      </c>
      <c r="E40" s="258" t="s">
        <v>1475</v>
      </c>
      <c r="F40" s="86">
        <v>900</v>
      </c>
      <c r="G40" s="86">
        <v>1700</v>
      </c>
      <c r="H40" s="261" t="s">
        <v>1364</v>
      </c>
      <c r="I40" s="140" t="s">
        <v>35</v>
      </c>
      <c r="J40" s="140" t="s">
        <v>36</v>
      </c>
      <c r="K40" s="258" t="s">
        <v>76</v>
      </c>
      <c r="L40" s="261"/>
      <c r="M40" s="355" t="s">
        <v>255</v>
      </c>
      <c r="N40" s="903" t="s">
        <v>1541</v>
      </c>
      <c r="O40" s="259" t="s">
        <v>40</v>
      </c>
      <c r="P40" s="261"/>
      <c r="Q40" s="894">
        <f>R40*6</f>
        <v>3000000</v>
      </c>
      <c r="R40" s="894">
        <v>500000</v>
      </c>
      <c r="S40" s="162">
        <f t="shared" si="2"/>
        <v>8</v>
      </c>
      <c r="T40" s="259"/>
      <c r="U40" s="894">
        <f t="shared" ref="U40:U71" si="4">S40*R40*(100-P40)/100</f>
        <v>4000000</v>
      </c>
      <c r="V40" s="707">
        <f>(Q40+((S40-8)*R40))*((100-P40)/100)</f>
        <v>3000000</v>
      </c>
      <c r="W40" s="439"/>
      <c r="X40" s="91"/>
      <c r="Y40" s="439"/>
    </row>
    <row r="41" spans="1:25" s="833" customFormat="1">
      <c r="A41" s="81"/>
      <c r="B41" s="81">
        <v>34</v>
      </c>
      <c r="C41" s="258" t="s">
        <v>1542</v>
      </c>
      <c r="D41" s="669" t="s">
        <v>32</v>
      </c>
      <c r="E41" s="258" t="s">
        <v>1478</v>
      </c>
      <c r="F41" s="86">
        <v>1200</v>
      </c>
      <c r="G41" s="86">
        <v>1700</v>
      </c>
      <c r="H41" s="261" t="s">
        <v>1364</v>
      </c>
      <c r="I41" s="937" t="s">
        <v>35</v>
      </c>
      <c r="J41" s="924" t="s">
        <v>36</v>
      </c>
      <c r="K41" s="258" t="s">
        <v>37</v>
      </c>
      <c r="L41" s="938"/>
      <c r="M41" s="355" t="s">
        <v>255</v>
      </c>
      <c r="N41" s="903" t="s">
        <v>1543</v>
      </c>
      <c r="O41" s="259" t="s">
        <v>40</v>
      </c>
      <c r="P41" s="261"/>
      <c r="Q41" s="894">
        <f>R41*3</f>
        <v>2850000</v>
      </c>
      <c r="R41" s="894">
        <v>950000</v>
      </c>
      <c r="S41" s="162">
        <f t="shared" si="2"/>
        <v>5</v>
      </c>
      <c r="T41" s="259"/>
      <c r="U41" s="894">
        <f t="shared" si="4"/>
        <v>4750000</v>
      </c>
      <c r="V41" s="707">
        <f>(Q41+((S41-4)*R41))*((100-P41)/100)</f>
        <v>3800000</v>
      </c>
      <c r="W41" s="439"/>
      <c r="X41" s="91"/>
      <c r="Y41" s="439"/>
    </row>
    <row r="42" spans="1:25" s="833" customFormat="1">
      <c r="A42" s="728"/>
      <c r="B42" s="728">
        <v>35</v>
      </c>
      <c r="C42" s="876" t="s">
        <v>1544</v>
      </c>
      <c r="D42" s="734" t="s">
        <v>75</v>
      </c>
      <c r="E42" s="876" t="s">
        <v>1478</v>
      </c>
      <c r="F42" s="911">
        <v>900</v>
      </c>
      <c r="G42" s="911">
        <v>1200</v>
      </c>
      <c r="H42" s="737" t="s">
        <v>1364</v>
      </c>
      <c r="I42" s="140" t="s">
        <v>35</v>
      </c>
      <c r="J42" s="140" t="s">
        <v>36</v>
      </c>
      <c r="K42" s="876" t="s">
        <v>76</v>
      </c>
      <c r="L42" s="261"/>
      <c r="M42" s="401" t="s">
        <v>255</v>
      </c>
      <c r="N42" s="912" t="s">
        <v>1545</v>
      </c>
      <c r="O42" s="706" t="s">
        <v>40</v>
      </c>
      <c r="P42" s="737"/>
      <c r="Q42" s="894"/>
      <c r="R42" s="894">
        <v>500000</v>
      </c>
      <c r="S42" s="531">
        <f t="shared" si="2"/>
        <v>3</v>
      </c>
      <c r="T42" s="706"/>
      <c r="U42" s="914">
        <f t="shared" si="4"/>
        <v>1500000</v>
      </c>
      <c r="V42" s="709">
        <f t="shared" ref="V42:V43" si="5">(Q42+((S42-0)*R42))*((100-P42)/100)</f>
        <v>1500000</v>
      </c>
      <c r="W42" s="439"/>
      <c r="X42" s="386">
        <f>(Q42+((S42-4)*R42))*((100-P42)/100)</f>
        <v>-500000</v>
      </c>
      <c r="Y42" s="439"/>
    </row>
    <row r="43" spans="1:25" s="833" customFormat="1">
      <c r="A43" s="728"/>
      <c r="B43" s="728">
        <v>36</v>
      </c>
      <c r="C43" s="876" t="s">
        <v>1546</v>
      </c>
      <c r="D43" s="734" t="s">
        <v>43</v>
      </c>
      <c r="E43" s="876" t="s">
        <v>1478</v>
      </c>
      <c r="F43" s="911">
        <v>900</v>
      </c>
      <c r="G43" s="911">
        <v>1200</v>
      </c>
      <c r="H43" s="737" t="s">
        <v>1364</v>
      </c>
      <c r="I43" s="875" t="s">
        <v>35</v>
      </c>
      <c r="J43" s="875" t="s">
        <v>36</v>
      </c>
      <c r="K43" s="915" t="s">
        <v>76</v>
      </c>
      <c r="L43" s="700"/>
      <c r="M43" s="355" t="s">
        <v>255</v>
      </c>
      <c r="N43" s="916" t="s">
        <v>1547</v>
      </c>
      <c r="O43" s="874" t="s">
        <v>40</v>
      </c>
      <c r="P43" s="737"/>
      <c r="Q43" s="894"/>
      <c r="R43" s="894">
        <v>500000</v>
      </c>
      <c r="S43" s="162">
        <f t="shared" si="2"/>
        <v>3</v>
      </c>
      <c r="T43" s="282"/>
      <c r="U43" s="895">
        <f t="shared" si="4"/>
        <v>1500000</v>
      </c>
      <c r="V43" s="533">
        <f t="shared" si="5"/>
        <v>1500000</v>
      </c>
      <c r="W43" s="82"/>
      <c r="X43" s="82"/>
      <c r="Y43" s="82"/>
    </row>
    <row r="44" spans="1:25" s="833" customFormat="1">
      <c r="A44" s="748"/>
      <c r="B44" s="712">
        <v>37</v>
      </c>
      <c r="C44" s="896" t="s">
        <v>1548</v>
      </c>
      <c r="D44" s="714" t="s">
        <v>75</v>
      </c>
      <c r="E44" s="896" t="s">
        <v>1481</v>
      </c>
      <c r="F44" s="720">
        <v>900</v>
      </c>
      <c r="G44" s="720">
        <v>1700</v>
      </c>
      <c r="H44" s="422" t="s">
        <v>1364</v>
      </c>
      <c r="I44" s="721" t="s">
        <v>35</v>
      </c>
      <c r="J44" s="721" t="s">
        <v>36</v>
      </c>
      <c r="K44" s="897" t="s">
        <v>76</v>
      </c>
      <c r="L44" s="699"/>
      <c r="M44" s="355" t="s">
        <v>255</v>
      </c>
      <c r="N44" s="453" t="s">
        <v>1549</v>
      </c>
      <c r="O44" s="899" t="s">
        <v>40</v>
      </c>
      <c r="P44" s="674"/>
      <c r="Q44" s="894">
        <f>R44*6</f>
        <v>3000000</v>
      </c>
      <c r="R44" s="894">
        <v>500000</v>
      </c>
      <c r="S44" s="162">
        <f t="shared" si="2"/>
        <v>8</v>
      </c>
      <c r="T44" s="847"/>
      <c r="U44" s="845">
        <f t="shared" si="4"/>
        <v>4000000</v>
      </c>
      <c r="V44" s="625">
        <f>(Q44+((S44-8)*R44))*((100-P44)/100)</f>
        <v>3000000</v>
      </c>
      <c r="W44" s="82"/>
      <c r="X44" s="82"/>
      <c r="Y44" s="82"/>
    </row>
    <row r="45" spans="1:25" s="833" customFormat="1">
      <c r="A45" s="81"/>
      <c r="B45" s="81">
        <v>38</v>
      </c>
      <c r="C45" s="258" t="s">
        <v>1550</v>
      </c>
      <c r="D45" s="669" t="s">
        <v>43</v>
      </c>
      <c r="E45" s="258" t="s">
        <v>1481</v>
      </c>
      <c r="F45" s="86">
        <v>900</v>
      </c>
      <c r="G45" s="86">
        <v>1700</v>
      </c>
      <c r="H45" s="261" t="s">
        <v>1364</v>
      </c>
      <c r="I45" s="140" t="s">
        <v>35</v>
      </c>
      <c r="J45" s="140" t="s">
        <v>36</v>
      </c>
      <c r="K45" s="258" t="s">
        <v>76</v>
      </c>
      <c r="L45" s="261"/>
      <c r="M45" s="355" t="s">
        <v>255</v>
      </c>
      <c r="N45" s="903" t="s">
        <v>1551</v>
      </c>
      <c r="O45" s="259" t="s">
        <v>40</v>
      </c>
      <c r="P45" s="261"/>
      <c r="Q45" s="894">
        <f t="shared" ref="Q45:Q47" si="6">R45*6</f>
        <v>3000000</v>
      </c>
      <c r="R45" s="894">
        <v>500000</v>
      </c>
      <c r="S45" s="162">
        <f t="shared" si="2"/>
        <v>8</v>
      </c>
      <c r="T45" s="94"/>
      <c r="U45" s="894">
        <f t="shared" si="4"/>
        <v>4000000</v>
      </c>
      <c r="V45" s="707">
        <f>(Q45+((S45-8)*R45))*((100-P45)/100)</f>
        <v>3000000</v>
      </c>
      <c r="W45" s="82"/>
      <c r="X45" s="82"/>
      <c r="Y45" s="82"/>
    </row>
    <row r="46" spans="1:25" s="833" customFormat="1">
      <c r="A46" s="712"/>
      <c r="B46" s="712">
        <v>39</v>
      </c>
      <c r="C46" s="896" t="s">
        <v>1552</v>
      </c>
      <c r="D46" s="714" t="s">
        <v>75</v>
      </c>
      <c r="E46" s="896" t="s">
        <v>1486</v>
      </c>
      <c r="F46" s="720">
        <v>900</v>
      </c>
      <c r="G46" s="720">
        <v>1700</v>
      </c>
      <c r="H46" s="422" t="s">
        <v>1364</v>
      </c>
      <c r="I46" s="721" t="s">
        <v>35</v>
      </c>
      <c r="J46" s="721" t="s">
        <v>36</v>
      </c>
      <c r="K46" s="896" t="s">
        <v>76</v>
      </c>
      <c r="L46" s="422"/>
      <c r="M46" s="355" t="s">
        <v>255</v>
      </c>
      <c r="N46" s="939" t="s">
        <v>1553</v>
      </c>
      <c r="O46" s="702" t="s">
        <v>40</v>
      </c>
      <c r="P46" s="422"/>
      <c r="Q46" s="894">
        <f t="shared" si="6"/>
        <v>3000000</v>
      </c>
      <c r="R46" s="894">
        <v>500000</v>
      </c>
      <c r="S46" s="162">
        <f t="shared" si="2"/>
        <v>8</v>
      </c>
      <c r="T46" s="804"/>
      <c r="U46" s="919">
        <f t="shared" si="4"/>
        <v>4000000</v>
      </c>
      <c r="V46" s="757">
        <f>(Q46+((S46-8)*R46))*((100-P46)/100)</f>
        <v>3000000</v>
      </c>
      <c r="W46" s="82"/>
      <c r="X46" s="82"/>
      <c r="Y46" s="82"/>
    </row>
    <row r="47" spans="1:25" s="835" customFormat="1">
      <c r="A47" s="671"/>
      <c r="B47" s="81">
        <v>40</v>
      </c>
      <c r="C47" s="258" t="s">
        <v>1554</v>
      </c>
      <c r="D47" s="669" t="s">
        <v>43</v>
      </c>
      <c r="E47" s="258" t="s">
        <v>1486</v>
      </c>
      <c r="F47" s="86">
        <v>900</v>
      </c>
      <c r="G47" s="86">
        <v>1700</v>
      </c>
      <c r="H47" s="261" t="s">
        <v>1364</v>
      </c>
      <c r="I47" s="140" t="s">
        <v>35</v>
      </c>
      <c r="J47" s="140" t="s">
        <v>36</v>
      </c>
      <c r="K47" s="258" t="s">
        <v>76</v>
      </c>
      <c r="L47" s="261"/>
      <c r="M47" s="355" t="s">
        <v>255</v>
      </c>
      <c r="N47" s="903" t="s">
        <v>1555</v>
      </c>
      <c r="O47" s="259" t="s">
        <v>40</v>
      </c>
      <c r="P47" s="667"/>
      <c r="Q47" s="894">
        <f t="shared" si="6"/>
        <v>3000000</v>
      </c>
      <c r="R47" s="894">
        <v>500000</v>
      </c>
      <c r="S47" s="162">
        <f t="shared" si="2"/>
        <v>8</v>
      </c>
      <c r="T47" s="669"/>
      <c r="U47" s="841">
        <f t="shared" si="4"/>
        <v>4000000</v>
      </c>
      <c r="V47" s="888">
        <f>(Q47+((S47-8)*R47))*((100-P47)/100)</f>
        <v>3000000</v>
      </c>
      <c r="W47" s="848"/>
      <c r="X47" s="849"/>
      <c r="Y47" s="848"/>
    </row>
    <row r="48" spans="1:25" s="833" customFormat="1">
      <c r="A48" s="765"/>
      <c r="B48" s="728">
        <v>41</v>
      </c>
      <c r="C48" s="876" t="s">
        <v>1556</v>
      </c>
      <c r="D48" s="734" t="s">
        <v>75</v>
      </c>
      <c r="E48" s="876" t="s">
        <v>1489</v>
      </c>
      <c r="F48" s="911">
        <v>1200</v>
      </c>
      <c r="G48" s="911">
        <v>1700</v>
      </c>
      <c r="H48" s="737" t="s">
        <v>1364</v>
      </c>
      <c r="I48" s="875" t="s">
        <v>35</v>
      </c>
      <c r="J48" s="875" t="s">
        <v>36</v>
      </c>
      <c r="K48" s="876" t="s">
        <v>76</v>
      </c>
      <c r="L48" s="737"/>
      <c r="M48" s="355" t="s">
        <v>255</v>
      </c>
      <c r="N48" s="912" t="s">
        <v>1557</v>
      </c>
      <c r="O48" s="706" t="s">
        <v>40</v>
      </c>
      <c r="P48" s="735"/>
      <c r="Q48" s="894">
        <f>R48*3</f>
        <v>1500000</v>
      </c>
      <c r="R48" s="894">
        <v>500000</v>
      </c>
      <c r="S48" s="162">
        <f t="shared" si="2"/>
        <v>5</v>
      </c>
      <c r="T48" s="734"/>
      <c r="U48" s="850">
        <f t="shared" si="4"/>
        <v>2500000</v>
      </c>
      <c r="V48" s="709">
        <f>(Q48+((S48-4)*R48))*((100-P48)/100)</f>
        <v>2000000</v>
      </c>
      <c r="W48" s="439"/>
      <c r="X48" s="91"/>
      <c r="Y48" s="439"/>
    </row>
    <row r="49" spans="1:25" s="833" customFormat="1">
      <c r="A49" s="671"/>
      <c r="B49" s="81">
        <v>42</v>
      </c>
      <c r="C49" s="258" t="s">
        <v>1558</v>
      </c>
      <c r="D49" s="669" t="s">
        <v>32</v>
      </c>
      <c r="E49" s="258" t="s">
        <v>1489</v>
      </c>
      <c r="F49" s="86">
        <v>900</v>
      </c>
      <c r="G49" s="86">
        <v>1700</v>
      </c>
      <c r="H49" s="261" t="s">
        <v>1364</v>
      </c>
      <c r="I49" s="940" t="s">
        <v>35</v>
      </c>
      <c r="J49" s="875" t="s">
        <v>36</v>
      </c>
      <c r="K49" s="258" t="s">
        <v>37</v>
      </c>
      <c r="L49" s="941"/>
      <c r="M49" s="355" t="s">
        <v>255</v>
      </c>
      <c r="N49" s="903" t="s">
        <v>1559</v>
      </c>
      <c r="O49" s="259" t="s">
        <v>40</v>
      </c>
      <c r="P49" s="667"/>
      <c r="Q49" s="942">
        <f>R49*6</f>
        <v>5700000</v>
      </c>
      <c r="R49" s="894">
        <v>950000</v>
      </c>
      <c r="S49" s="162">
        <f t="shared" si="2"/>
        <v>8</v>
      </c>
      <c r="T49" s="943"/>
      <c r="U49" s="841">
        <f t="shared" si="4"/>
        <v>7600000</v>
      </c>
      <c r="V49" s="888">
        <f>(Q49+((S49-8)*R49))*((100-P49)/100)</f>
        <v>5700000</v>
      </c>
      <c r="W49" s="82"/>
      <c r="X49" s="82"/>
      <c r="Y49" s="82"/>
    </row>
    <row r="50" spans="1:25" s="833" customFormat="1">
      <c r="A50" s="729"/>
      <c r="B50" s="729">
        <v>43</v>
      </c>
      <c r="C50" s="922" t="s">
        <v>1560</v>
      </c>
      <c r="D50" s="762" t="s">
        <v>32</v>
      </c>
      <c r="E50" s="922" t="s">
        <v>1561</v>
      </c>
      <c r="F50" s="923">
        <v>1600</v>
      </c>
      <c r="G50" s="923">
        <v>1800</v>
      </c>
      <c r="H50" s="743" t="s">
        <v>1132</v>
      </c>
      <c r="I50" s="721" t="s">
        <v>35</v>
      </c>
      <c r="J50" s="721" t="s">
        <v>36</v>
      </c>
      <c r="K50" s="925" t="s">
        <v>1529</v>
      </c>
      <c r="L50" s="699"/>
      <c r="M50" s="924" t="s">
        <v>1562</v>
      </c>
      <c r="N50" s="944" t="s">
        <v>1563</v>
      </c>
      <c r="O50" s="928" t="s">
        <v>174</v>
      </c>
      <c r="P50" s="743"/>
      <c r="Q50" s="945"/>
      <c r="R50" s="901"/>
      <c r="S50" s="531">
        <f t="shared" si="2"/>
        <v>2</v>
      </c>
      <c r="T50" s="431"/>
      <c r="U50" s="946">
        <f t="shared" si="4"/>
        <v>0</v>
      </c>
      <c r="V50" s="808">
        <f t="shared" ref="V50:V54" si="7">(Q50+((S50-0)*R50))*((100-P50)/100)</f>
        <v>0</v>
      </c>
      <c r="W50" s="82"/>
      <c r="X50" s="386">
        <f>(Q50+((S50-0)*R50))*((100-P50)/100)</f>
        <v>0</v>
      </c>
      <c r="Y50" s="82"/>
    </row>
    <row r="51" spans="1:25" s="833" customFormat="1">
      <c r="A51" s="81"/>
      <c r="B51" s="81">
        <v>44</v>
      </c>
      <c r="C51" s="258" t="s">
        <v>1564</v>
      </c>
      <c r="D51" s="669" t="s">
        <v>32</v>
      </c>
      <c r="E51" s="258" t="s">
        <v>1468</v>
      </c>
      <c r="F51" s="86">
        <v>1600</v>
      </c>
      <c r="G51" s="86">
        <v>1800</v>
      </c>
      <c r="H51" s="261" t="s">
        <v>1132</v>
      </c>
      <c r="I51" s="140" t="s">
        <v>35</v>
      </c>
      <c r="J51" s="140" t="s">
        <v>36</v>
      </c>
      <c r="K51" s="258" t="s">
        <v>1529</v>
      </c>
      <c r="L51" s="140" t="s">
        <v>1562</v>
      </c>
      <c r="M51" s="140" t="s">
        <v>1221</v>
      </c>
      <c r="N51" s="903" t="s">
        <v>1565</v>
      </c>
      <c r="O51" s="259" t="s">
        <v>40</v>
      </c>
      <c r="P51" s="261"/>
      <c r="Q51" s="442"/>
      <c r="R51" s="894">
        <v>950000</v>
      </c>
      <c r="S51" s="162">
        <f t="shared" si="2"/>
        <v>2</v>
      </c>
      <c r="T51" s="259"/>
      <c r="U51" s="894">
        <f t="shared" si="4"/>
        <v>1900000</v>
      </c>
      <c r="V51" s="707">
        <f t="shared" si="7"/>
        <v>1900000</v>
      </c>
      <c r="W51" s="439"/>
      <c r="X51" s="91"/>
      <c r="Y51" s="439"/>
    </row>
    <row r="52" spans="1:25" s="833" customFormat="1">
      <c r="A52" s="777"/>
      <c r="B52" s="729">
        <v>45</v>
      </c>
      <c r="C52" s="922" t="s">
        <v>1566</v>
      </c>
      <c r="D52" s="762" t="s">
        <v>32</v>
      </c>
      <c r="E52" s="922" t="s">
        <v>1475</v>
      </c>
      <c r="F52" s="923">
        <v>1600</v>
      </c>
      <c r="G52" s="923">
        <v>1800</v>
      </c>
      <c r="H52" s="743" t="s">
        <v>1132</v>
      </c>
      <c r="I52" s="924" t="s">
        <v>35</v>
      </c>
      <c r="J52" s="924" t="s">
        <v>36</v>
      </c>
      <c r="K52" s="922" t="s">
        <v>1529</v>
      </c>
      <c r="L52" s="140" t="s">
        <v>1562</v>
      </c>
      <c r="M52" s="140" t="s">
        <v>1221</v>
      </c>
      <c r="N52" s="947" t="s">
        <v>1567</v>
      </c>
      <c r="O52" s="730" t="s">
        <v>40</v>
      </c>
      <c r="P52" s="763"/>
      <c r="Q52" s="851"/>
      <c r="R52" s="930">
        <v>950000</v>
      </c>
      <c r="S52" s="162">
        <f t="shared" si="2"/>
        <v>2</v>
      </c>
      <c r="T52" s="762"/>
      <c r="U52" s="852">
        <f t="shared" si="4"/>
        <v>1900000</v>
      </c>
      <c r="V52" s="761">
        <f t="shared" si="7"/>
        <v>1900000</v>
      </c>
      <c r="W52" s="439"/>
      <c r="X52" s="91"/>
      <c r="Y52" s="439"/>
    </row>
    <row r="53" spans="1:25" s="833" customFormat="1">
      <c r="A53" s="748"/>
      <c r="B53" s="712">
        <v>46</v>
      </c>
      <c r="C53" s="896" t="s">
        <v>1568</v>
      </c>
      <c r="D53" s="714" t="s">
        <v>43</v>
      </c>
      <c r="E53" s="896" t="s">
        <v>1489</v>
      </c>
      <c r="F53" s="720">
        <v>1300</v>
      </c>
      <c r="G53" s="720">
        <v>1800</v>
      </c>
      <c r="H53" s="422" t="s">
        <v>1518</v>
      </c>
      <c r="I53" s="721" t="s">
        <v>35</v>
      </c>
      <c r="J53" s="721" t="s">
        <v>36</v>
      </c>
      <c r="K53" s="896" t="s">
        <v>76</v>
      </c>
      <c r="L53" s="422"/>
      <c r="M53" s="721" t="s">
        <v>266</v>
      </c>
      <c r="N53" s="939" t="s">
        <v>1569</v>
      </c>
      <c r="O53" s="702" t="s">
        <v>174</v>
      </c>
      <c r="P53" s="674"/>
      <c r="Q53" s="853"/>
      <c r="R53" s="919"/>
      <c r="S53" s="162">
        <f t="shared" si="2"/>
        <v>5</v>
      </c>
      <c r="T53" s="847"/>
      <c r="U53" s="854">
        <f t="shared" si="4"/>
        <v>0</v>
      </c>
      <c r="V53" s="805">
        <f t="shared" si="7"/>
        <v>0</v>
      </c>
      <c r="W53" s="82"/>
      <c r="X53" s="82"/>
      <c r="Y53" s="82"/>
    </row>
    <row r="54" spans="1:25" s="833" customFormat="1">
      <c r="A54" s="815"/>
      <c r="B54" s="81">
        <v>47</v>
      </c>
      <c r="C54" s="258" t="s">
        <v>1570</v>
      </c>
      <c r="D54" s="669" t="s">
        <v>32</v>
      </c>
      <c r="E54" s="258" t="s">
        <v>1561</v>
      </c>
      <c r="F54" s="86">
        <v>1400</v>
      </c>
      <c r="G54" s="86">
        <v>1800</v>
      </c>
      <c r="H54" s="261" t="s">
        <v>1132</v>
      </c>
      <c r="I54" s="140" t="s">
        <v>35</v>
      </c>
      <c r="J54" s="140" t="s">
        <v>36</v>
      </c>
      <c r="K54" s="258" t="s">
        <v>1529</v>
      </c>
      <c r="L54" s="261"/>
      <c r="M54" s="140" t="s">
        <v>1562</v>
      </c>
      <c r="N54" s="903" t="s">
        <v>1571</v>
      </c>
      <c r="O54" s="259" t="s">
        <v>174</v>
      </c>
      <c r="P54" s="816"/>
      <c r="Q54" s="948"/>
      <c r="R54" s="894"/>
      <c r="S54" s="162">
        <f t="shared" si="2"/>
        <v>4</v>
      </c>
      <c r="T54" s="818"/>
      <c r="U54" s="841">
        <f t="shared" si="4"/>
        <v>0</v>
      </c>
      <c r="V54" s="888">
        <f t="shared" si="7"/>
        <v>0</v>
      </c>
      <c r="W54" s="82"/>
      <c r="X54" s="82"/>
      <c r="Y54" s="82"/>
    </row>
    <row r="55" spans="1:25" s="833" customFormat="1">
      <c r="A55" s="810"/>
      <c r="B55" s="729">
        <v>48</v>
      </c>
      <c r="C55" s="922" t="s">
        <v>1572</v>
      </c>
      <c r="D55" s="762" t="s">
        <v>32</v>
      </c>
      <c r="E55" s="922" t="s">
        <v>1468</v>
      </c>
      <c r="F55" s="923">
        <v>1400</v>
      </c>
      <c r="G55" s="923">
        <v>1800</v>
      </c>
      <c r="H55" s="743" t="s">
        <v>1132</v>
      </c>
      <c r="I55" s="924" t="s">
        <v>35</v>
      </c>
      <c r="J55" s="924" t="s">
        <v>36</v>
      </c>
      <c r="K55" s="925" t="s">
        <v>1529</v>
      </c>
      <c r="L55" s="708"/>
      <c r="M55" s="924" t="s">
        <v>1562</v>
      </c>
      <c r="N55" s="944" t="s">
        <v>1573</v>
      </c>
      <c r="O55" s="928" t="s">
        <v>174</v>
      </c>
      <c r="P55" s="949"/>
      <c r="Q55" s="950"/>
      <c r="R55" s="951"/>
      <c r="S55" s="162">
        <f t="shared" si="2"/>
        <v>4</v>
      </c>
      <c r="T55" s="813"/>
      <c r="U55" s="951">
        <f t="shared" si="4"/>
        <v>0</v>
      </c>
      <c r="V55" s="814">
        <f>Q55+((S55-8)*R55)</f>
        <v>0</v>
      </c>
      <c r="W55" s="82"/>
      <c r="X55" s="82"/>
      <c r="Y55" s="82"/>
    </row>
    <row r="56" spans="1:25" s="833" customFormat="1">
      <c r="A56" s="81"/>
      <c r="B56" s="81">
        <v>49</v>
      </c>
      <c r="C56" s="258" t="s">
        <v>1574</v>
      </c>
      <c r="D56" s="669" t="s">
        <v>32</v>
      </c>
      <c r="E56" s="269" t="s">
        <v>1475</v>
      </c>
      <c r="F56" s="86">
        <v>1400</v>
      </c>
      <c r="G56" s="86">
        <v>1800</v>
      </c>
      <c r="H56" s="261" t="s">
        <v>1132</v>
      </c>
      <c r="I56" s="140" t="s">
        <v>35</v>
      </c>
      <c r="J56" s="140" t="s">
        <v>36</v>
      </c>
      <c r="K56" s="258" t="s">
        <v>1529</v>
      </c>
      <c r="L56" s="261"/>
      <c r="M56" s="140" t="s">
        <v>1562</v>
      </c>
      <c r="N56" s="903" t="s">
        <v>1575</v>
      </c>
      <c r="O56" s="259" t="s">
        <v>174</v>
      </c>
      <c r="P56" s="261"/>
      <c r="Q56" s="442"/>
      <c r="R56" s="894"/>
      <c r="S56" s="162">
        <f t="shared" si="2"/>
        <v>4</v>
      </c>
      <c r="T56" s="259"/>
      <c r="U56" s="894">
        <f t="shared" si="4"/>
        <v>0</v>
      </c>
      <c r="V56" s="707">
        <f>(Q56+((S56-8)*R56))*((100-P56)/100)</f>
        <v>0</v>
      </c>
      <c r="W56" s="455"/>
      <c r="X56" s="386">
        <f>(Q56+((S56-0)*R56))*((100-P56)/100)</f>
        <v>0</v>
      </c>
      <c r="Y56" s="439"/>
    </row>
    <row r="57" spans="1:25" s="834" customFormat="1">
      <c r="A57" s="671"/>
      <c r="B57" s="81">
        <v>50</v>
      </c>
      <c r="C57" s="258" t="s">
        <v>1576</v>
      </c>
      <c r="D57" s="669" t="s">
        <v>32</v>
      </c>
      <c r="E57" s="269">
        <v>45150</v>
      </c>
      <c r="F57" s="86">
        <v>1400</v>
      </c>
      <c r="G57" s="86">
        <v>1800</v>
      </c>
      <c r="H57" s="261" t="s">
        <v>1132</v>
      </c>
      <c r="I57" s="358" t="s">
        <v>35</v>
      </c>
      <c r="J57" s="358" t="s">
        <v>36</v>
      </c>
      <c r="K57" s="258" t="s">
        <v>1529</v>
      </c>
      <c r="L57" s="261"/>
      <c r="M57" s="358" t="s">
        <v>1562</v>
      </c>
      <c r="N57" s="921" t="s">
        <v>1577</v>
      </c>
      <c r="O57" s="259" t="s">
        <v>174</v>
      </c>
      <c r="P57" s="667"/>
      <c r="Q57" s="739"/>
      <c r="R57" s="894"/>
      <c r="S57" s="162">
        <f t="shared" si="2"/>
        <v>4</v>
      </c>
      <c r="T57" s="669"/>
      <c r="U57" s="841">
        <f t="shared" si="4"/>
        <v>0</v>
      </c>
      <c r="V57" s="707">
        <f>(Q57+((S57-4)*R57))*((100-P57)/100)</f>
        <v>0</v>
      </c>
      <c r="W57" s="439"/>
      <c r="X57" s="91"/>
      <c r="Y57" s="439"/>
    </row>
    <row r="58" spans="1:25" s="833" customFormat="1">
      <c r="A58" s="748"/>
      <c r="B58" s="712">
        <v>51</v>
      </c>
      <c r="C58" s="896" t="s">
        <v>1578</v>
      </c>
      <c r="D58" s="714" t="s">
        <v>32</v>
      </c>
      <c r="E58" s="952">
        <v>44938</v>
      </c>
      <c r="F58" s="720">
        <v>1600</v>
      </c>
      <c r="G58" s="720">
        <v>1800</v>
      </c>
      <c r="H58" s="422" t="s">
        <v>1579</v>
      </c>
      <c r="I58" s="953" t="s">
        <v>35</v>
      </c>
      <c r="J58" s="953" t="s">
        <v>36</v>
      </c>
      <c r="K58" s="896" t="s">
        <v>1529</v>
      </c>
      <c r="L58" s="953" t="s">
        <v>1580</v>
      </c>
      <c r="M58" s="721" t="s">
        <v>1221</v>
      </c>
      <c r="N58" s="939" t="s">
        <v>1581</v>
      </c>
      <c r="O58" s="702" t="s">
        <v>40</v>
      </c>
      <c r="P58" s="883"/>
      <c r="Q58" s="884"/>
      <c r="R58" s="756">
        <v>950000</v>
      </c>
      <c r="S58" s="162">
        <f t="shared" si="2"/>
        <v>2</v>
      </c>
      <c r="T58" s="847"/>
      <c r="U58" s="885">
        <f t="shared" si="4"/>
        <v>1900000</v>
      </c>
      <c r="V58" s="757">
        <f>(Q58+((S58-0)*R58))*((100-P58)/100)</f>
        <v>1900000</v>
      </c>
      <c r="W58" s="82"/>
      <c r="X58" s="386">
        <f>(Q58+((S58-0)*R58))*((100-P58)/100)</f>
        <v>1900000</v>
      </c>
      <c r="Y58" s="82"/>
    </row>
    <row r="59" spans="1:25" s="833" customFormat="1" ht="13" customHeight="1">
      <c r="A59" s="81"/>
      <c r="B59" s="81"/>
      <c r="C59" s="258" t="s">
        <v>197</v>
      </c>
      <c r="D59" s="410" t="s">
        <v>198</v>
      </c>
      <c r="E59" s="471" t="s">
        <v>1582</v>
      </c>
      <c r="F59" s="410" t="s">
        <v>1583</v>
      </c>
      <c r="G59" s="410" t="s">
        <v>1398</v>
      </c>
      <c r="H59" s="262" t="s">
        <v>1472</v>
      </c>
      <c r="I59" s="924" t="s">
        <v>35</v>
      </c>
      <c r="J59" s="924" t="s">
        <v>36</v>
      </c>
      <c r="K59" s="896"/>
      <c r="L59" s="422"/>
      <c r="M59" s="140" t="s">
        <v>38</v>
      </c>
      <c r="N59" s="903"/>
      <c r="O59" s="259" t="s">
        <v>40</v>
      </c>
      <c r="P59" s="261" t="s">
        <v>64</v>
      </c>
      <c r="Q59" s="442"/>
      <c r="R59" s="894">
        <v>2200000</v>
      </c>
      <c r="S59" s="162">
        <f t="shared" si="2"/>
        <v>3</v>
      </c>
      <c r="T59" s="94"/>
      <c r="U59" s="894">
        <f t="shared" si="4"/>
        <v>5940000</v>
      </c>
      <c r="V59" s="707">
        <f>(Q59+((S59-0)*R59))*((100-P59)/100)</f>
        <v>5940000</v>
      </c>
      <c r="W59" s="82"/>
      <c r="X59" s="82"/>
      <c r="Y59" s="82"/>
    </row>
    <row r="60" spans="1:25" s="620" customFormat="1">
      <c r="A60" s="790"/>
      <c r="B60" s="728"/>
      <c r="C60" s="876" t="s">
        <v>197</v>
      </c>
      <c r="D60" s="734" t="s">
        <v>198</v>
      </c>
      <c r="E60" s="954">
        <v>45242</v>
      </c>
      <c r="F60" s="911">
        <v>830</v>
      </c>
      <c r="G60" s="911">
        <v>1100</v>
      </c>
      <c r="H60" s="737" t="s">
        <v>1137</v>
      </c>
      <c r="I60" s="140" t="s">
        <v>35</v>
      </c>
      <c r="J60" s="140" t="s">
        <v>36</v>
      </c>
      <c r="K60" s="258"/>
      <c r="L60" s="261"/>
      <c r="M60" s="875" t="s">
        <v>218</v>
      </c>
      <c r="N60" s="916"/>
      <c r="O60" s="874" t="s">
        <v>40</v>
      </c>
      <c r="P60" s="791"/>
      <c r="Q60" s="855"/>
      <c r="R60" s="856">
        <v>2200000</v>
      </c>
      <c r="S60" s="162">
        <f>(G60-850)/100</f>
        <v>2.5</v>
      </c>
      <c r="T60" s="794"/>
      <c r="U60" s="857">
        <f t="shared" si="4"/>
        <v>5500000</v>
      </c>
      <c r="V60" s="796">
        <f>Q60+((S60-0)*R60)</f>
        <v>5500000</v>
      </c>
    </row>
    <row r="61" spans="1:25" s="833" customFormat="1" ht="29.15" customHeight="1">
      <c r="A61" s="748"/>
      <c r="B61" s="712"/>
      <c r="C61" s="896"/>
      <c r="D61" s="714"/>
      <c r="E61" s="952"/>
      <c r="F61" s="720"/>
      <c r="G61" s="720"/>
      <c r="H61" s="422"/>
      <c r="I61" s="924"/>
      <c r="J61" s="924"/>
      <c r="K61" s="925"/>
      <c r="L61" s="708"/>
      <c r="M61" s="721"/>
      <c r="N61" s="453"/>
      <c r="O61" s="899"/>
      <c r="P61" s="717"/>
      <c r="Q61" s="858"/>
      <c r="R61" s="858"/>
      <c r="S61" s="162">
        <f t="shared" ref="S61:S88" si="8">(G61-F61)/100</f>
        <v>0</v>
      </c>
      <c r="T61" s="714"/>
      <c r="U61" s="845">
        <f t="shared" si="4"/>
        <v>0</v>
      </c>
      <c r="V61" s="625">
        <f>(Q61+((S61-0)*R61))*((100-P61)/100)</f>
        <v>0</v>
      </c>
      <c r="W61" s="439"/>
      <c r="X61" s="386">
        <f>(Q61+((S61-0)*R61))*((100-P61)/100)</f>
        <v>0</v>
      </c>
      <c r="Y61" s="439"/>
    </row>
    <row r="62" spans="1:25" s="836" customFormat="1">
      <c r="A62" s="859"/>
      <c r="B62" s="502"/>
      <c r="C62" s="503"/>
      <c r="D62" s="824"/>
      <c r="E62" s="955"/>
      <c r="F62" s="505"/>
      <c r="G62" s="505"/>
      <c r="H62" s="506"/>
      <c r="I62" s="507"/>
      <c r="J62" s="507"/>
      <c r="K62" s="503"/>
      <c r="L62" s="506"/>
      <c r="M62" s="507"/>
      <c r="N62" s="956"/>
      <c r="O62" s="504"/>
      <c r="P62" s="825"/>
      <c r="Q62" s="826"/>
      <c r="R62" s="827"/>
      <c r="S62" s="162">
        <f t="shared" si="8"/>
        <v>0</v>
      </c>
      <c r="T62" s="860"/>
      <c r="U62" s="861">
        <f t="shared" si="4"/>
        <v>0</v>
      </c>
      <c r="V62" s="828">
        <f>(Q62+((S62-0)*R62))*((100-P62)/100)</f>
        <v>0</v>
      </c>
      <c r="W62" s="823"/>
      <c r="X62" s="516">
        <f>(Q62+((S62-0)*R62))*((100-P62)/100)</f>
        <v>0</v>
      </c>
      <c r="Y62" s="823"/>
    </row>
    <row r="63" spans="1:25" s="833" customFormat="1">
      <c r="A63" s="728"/>
      <c r="B63" s="728"/>
      <c r="C63" s="876"/>
      <c r="D63" s="734"/>
      <c r="E63" s="954"/>
      <c r="F63" s="911"/>
      <c r="G63" s="911"/>
      <c r="H63" s="737"/>
      <c r="I63" s="875"/>
      <c r="J63" s="875"/>
      <c r="K63" s="915"/>
      <c r="L63" s="700"/>
      <c r="M63" s="875"/>
      <c r="N63" s="916"/>
      <c r="O63" s="874"/>
      <c r="P63" s="737"/>
      <c r="Q63" s="957"/>
      <c r="R63" s="958"/>
      <c r="S63" s="162">
        <f t="shared" si="8"/>
        <v>0</v>
      </c>
      <c r="T63" s="354"/>
      <c r="U63" s="959">
        <f t="shared" si="4"/>
        <v>0</v>
      </c>
      <c r="V63" s="533">
        <f>(Q63+((S63-0)*R63))*((100-P63)/100)</f>
        <v>0</v>
      </c>
      <c r="W63" s="82"/>
      <c r="X63" s="386">
        <f>(Q63+((S63-0)*R63))*((100-P63)/100)</f>
        <v>0</v>
      </c>
      <c r="Y63" s="82"/>
    </row>
    <row r="64" spans="1:25" s="833" customFormat="1">
      <c r="A64" s="81"/>
      <c r="B64" s="81"/>
      <c r="C64" s="258"/>
      <c r="D64" s="669"/>
      <c r="E64" s="258"/>
      <c r="F64" s="86"/>
      <c r="G64" s="86"/>
      <c r="H64" s="261"/>
      <c r="I64" s="140"/>
      <c r="J64" s="140"/>
      <c r="K64" s="315"/>
      <c r="L64" s="687"/>
      <c r="M64" s="140"/>
      <c r="N64" s="448"/>
      <c r="O64" s="433"/>
      <c r="P64" s="261"/>
      <c r="Q64" s="437"/>
      <c r="R64" s="960"/>
      <c r="S64" s="162">
        <f t="shared" si="8"/>
        <v>0</v>
      </c>
      <c r="T64" s="282"/>
      <c r="U64" s="895">
        <f t="shared" si="4"/>
        <v>0</v>
      </c>
      <c r="V64" s="534">
        <f>Q64+((S64-0)*R64)</f>
        <v>0</v>
      </c>
      <c r="W64" s="82"/>
      <c r="X64" s="386">
        <f>(Q64+((S64-0)*R64))*((100-P64)/100)</f>
        <v>0</v>
      </c>
      <c r="Y64" s="82"/>
    </row>
    <row r="65" spans="1:25" s="833" customFormat="1">
      <c r="A65" s="748"/>
      <c r="B65" s="712"/>
      <c r="C65" s="896"/>
      <c r="D65" s="714"/>
      <c r="E65" s="952"/>
      <c r="F65" s="720"/>
      <c r="G65" s="720"/>
      <c r="H65" s="422"/>
      <c r="I65" s="721"/>
      <c r="J65" s="721"/>
      <c r="K65" s="897"/>
      <c r="L65" s="699"/>
      <c r="M65" s="721"/>
      <c r="N65" s="453"/>
      <c r="O65" s="899"/>
      <c r="P65" s="674"/>
      <c r="Q65" s="844"/>
      <c r="R65" s="844"/>
      <c r="S65" s="162">
        <f t="shared" si="8"/>
        <v>0</v>
      </c>
      <c r="T65" s="847"/>
      <c r="U65" s="845">
        <f t="shared" si="4"/>
        <v>0</v>
      </c>
      <c r="V65" s="625">
        <f>Q65+((S65-0)*R65)</f>
        <v>0</v>
      </c>
      <c r="W65" s="82"/>
      <c r="X65" s="82"/>
      <c r="Y65" s="82"/>
    </row>
    <row r="66" spans="1:25" s="833" customFormat="1">
      <c r="A66" s="81"/>
      <c r="B66" s="81"/>
      <c r="C66" s="258"/>
      <c r="D66" s="669"/>
      <c r="E66" s="269"/>
      <c r="F66" s="86"/>
      <c r="G66" s="86"/>
      <c r="H66" s="261"/>
      <c r="I66" s="140"/>
      <c r="J66" s="140"/>
      <c r="K66" s="258"/>
      <c r="L66" s="261"/>
      <c r="M66" s="140"/>
      <c r="N66" s="903"/>
      <c r="O66" s="259"/>
      <c r="P66" s="261"/>
      <c r="Q66" s="442"/>
      <c r="R66" s="894"/>
      <c r="S66" s="162">
        <f t="shared" si="8"/>
        <v>0</v>
      </c>
      <c r="T66" s="94"/>
      <c r="U66" s="894">
        <f t="shared" si="4"/>
        <v>0</v>
      </c>
      <c r="V66" s="707">
        <f>(Q66+((S66-0)*R66))*((100-P66)/100)</f>
        <v>0</v>
      </c>
      <c r="W66" s="82"/>
      <c r="X66" s="386">
        <f>(Q66+((S66-0)*R66))*((100-P66)/100)</f>
        <v>0</v>
      </c>
      <c r="Y66" s="82"/>
    </row>
    <row r="67" spans="1:25" s="833" customFormat="1">
      <c r="A67" s="728"/>
      <c r="B67" s="728"/>
      <c r="C67" s="876"/>
      <c r="D67" s="734"/>
      <c r="E67" s="954"/>
      <c r="F67" s="911"/>
      <c r="G67" s="911"/>
      <c r="H67" s="737"/>
      <c r="I67" s="875"/>
      <c r="J67" s="875"/>
      <c r="K67" s="876"/>
      <c r="L67" s="737"/>
      <c r="M67" s="875"/>
      <c r="N67" s="912"/>
      <c r="O67" s="706"/>
      <c r="P67" s="737"/>
      <c r="Q67" s="913"/>
      <c r="R67" s="914"/>
      <c r="S67" s="162">
        <f t="shared" si="8"/>
        <v>0</v>
      </c>
      <c r="T67" s="282"/>
      <c r="U67" s="914">
        <f t="shared" si="4"/>
        <v>0</v>
      </c>
      <c r="V67" s="709">
        <f t="shared" ref="V67:V73" si="9">(Q67+((S67-8)*R67))*((100-P67)/100)</f>
        <v>0</v>
      </c>
      <c r="W67" s="82"/>
      <c r="X67" s="386">
        <f>(Q67+((S67-0)*R67))*((100-P67)/100)</f>
        <v>0</v>
      </c>
      <c r="Y67" s="82"/>
    </row>
    <row r="68" spans="1:25" s="833" customFormat="1">
      <c r="A68" s="81"/>
      <c r="B68" s="81"/>
      <c r="C68" s="258"/>
      <c r="D68" s="669"/>
      <c r="E68" s="269"/>
      <c r="F68" s="86"/>
      <c r="G68" s="86"/>
      <c r="H68" s="261"/>
      <c r="I68" s="140"/>
      <c r="J68" s="140"/>
      <c r="K68" s="258"/>
      <c r="L68" s="261"/>
      <c r="M68" s="140"/>
      <c r="N68" s="903"/>
      <c r="O68" s="259"/>
      <c r="P68" s="261"/>
      <c r="Q68" s="442"/>
      <c r="R68" s="894"/>
      <c r="S68" s="162">
        <f t="shared" si="8"/>
        <v>0</v>
      </c>
      <c r="T68" s="94"/>
      <c r="U68" s="894">
        <f t="shared" si="4"/>
        <v>0</v>
      </c>
      <c r="V68" s="707">
        <f t="shared" si="9"/>
        <v>0</v>
      </c>
      <c r="W68" s="82"/>
      <c r="X68" s="82"/>
      <c r="Y68" s="82"/>
    </row>
    <row r="69" spans="1:25" s="833" customFormat="1">
      <c r="A69" s="81"/>
      <c r="B69" s="81"/>
      <c r="C69" s="258"/>
      <c r="D69" s="669"/>
      <c r="E69" s="269"/>
      <c r="F69" s="86"/>
      <c r="G69" s="86"/>
      <c r="H69" s="261"/>
      <c r="I69" s="140"/>
      <c r="J69" s="140"/>
      <c r="K69" s="258"/>
      <c r="L69" s="261"/>
      <c r="M69" s="140"/>
      <c r="N69" s="903"/>
      <c r="O69" s="259"/>
      <c r="P69" s="261"/>
      <c r="Q69" s="442"/>
      <c r="R69" s="894"/>
      <c r="S69" s="162">
        <f t="shared" si="8"/>
        <v>0</v>
      </c>
      <c r="T69" s="94"/>
      <c r="U69" s="894">
        <f t="shared" si="4"/>
        <v>0</v>
      </c>
      <c r="V69" s="707">
        <f t="shared" si="9"/>
        <v>0</v>
      </c>
      <c r="W69" s="82"/>
      <c r="X69" s="82"/>
      <c r="Y69" s="82"/>
    </row>
    <row r="70" spans="1:25" s="833" customFormat="1">
      <c r="A70" s="671"/>
      <c r="B70" s="81"/>
      <c r="C70" s="258"/>
      <c r="D70" s="669"/>
      <c r="E70" s="269"/>
      <c r="F70" s="86"/>
      <c r="G70" s="86"/>
      <c r="H70" s="261"/>
      <c r="I70" s="140"/>
      <c r="J70" s="140"/>
      <c r="K70" s="258"/>
      <c r="L70" s="261"/>
      <c r="M70" s="140"/>
      <c r="N70" s="903"/>
      <c r="O70" s="259"/>
      <c r="P70" s="667"/>
      <c r="Q70" s="442"/>
      <c r="R70" s="894"/>
      <c r="S70" s="162">
        <f t="shared" si="8"/>
        <v>0</v>
      </c>
      <c r="T70" s="666"/>
      <c r="U70" s="841">
        <f t="shared" si="4"/>
        <v>0</v>
      </c>
      <c r="V70" s="707">
        <f t="shared" si="9"/>
        <v>0</v>
      </c>
      <c r="W70" s="82"/>
      <c r="X70" s="82"/>
      <c r="Y70" s="82"/>
    </row>
    <row r="71" spans="1:25" s="833" customFormat="1" ht="29.15" customHeight="1">
      <c r="A71" s="499"/>
      <c r="B71" s="81"/>
      <c r="C71" s="258"/>
      <c r="D71" s="669"/>
      <c r="E71" s="269"/>
      <c r="F71" s="86"/>
      <c r="G71" s="86"/>
      <c r="H71" s="261"/>
      <c r="I71" s="140"/>
      <c r="J71" s="140"/>
      <c r="K71" s="258"/>
      <c r="L71" s="261"/>
      <c r="M71" s="140"/>
      <c r="N71" s="903"/>
      <c r="O71" s="259"/>
      <c r="P71" s="488"/>
      <c r="Q71" s="442"/>
      <c r="R71" s="894"/>
      <c r="S71" s="162">
        <f t="shared" si="8"/>
        <v>0</v>
      </c>
      <c r="T71" s="497"/>
      <c r="U71" s="961">
        <f t="shared" si="4"/>
        <v>0</v>
      </c>
      <c r="V71" s="707">
        <f t="shared" si="9"/>
        <v>0</v>
      </c>
      <c r="W71" s="439"/>
      <c r="X71" s="386">
        <f>(Q71+((S71-0)*R71))*((100-P71)/100)</f>
        <v>0</v>
      </c>
      <c r="Y71" s="439"/>
    </row>
    <row r="72" spans="1:25" s="833" customFormat="1" ht="13">
      <c r="A72" s="81"/>
      <c r="B72" s="81"/>
      <c r="C72" s="258"/>
      <c r="D72" s="669"/>
      <c r="E72" s="479"/>
      <c r="F72" s="86"/>
      <c r="G72" s="86"/>
      <c r="H72" s="261"/>
      <c r="I72" s="140"/>
      <c r="J72" s="140"/>
      <c r="K72" s="258"/>
      <c r="L72" s="261"/>
      <c r="M72" s="140"/>
      <c r="N72" s="409"/>
      <c r="O72" s="259"/>
      <c r="P72" s="261"/>
      <c r="Q72" s="442"/>
      <c r="R72" s="894"/>
      <c r="S72" s="162">
        <f t="shared" si="8"/>
        <v>0</v>
      </c>
      <c r="T72" s="94"/>
      <c r="U72" s="894">
        <f t="shared" ref="U72:U81" si="10">S72*R72*(100-P72)/100</f>
        <v>0</v>
      </c>
      <c r="V72" s="707">
        <f t="shared" si="9"/>
        <v>0</v>
      </c>
      <c r="W72" s="82"/>
      <c r="X72" s="386">
        <f>(Q72+((S72-0)*R72))*((100-P72)/100)</f>
        <v>0</v>
      </c>
      <c r="Y72" s="82"/>
    </row>
    <row r="73" spans="1:25" s="833" customFormat="1" ht="13">
      <c r="A73" s="81"/>
      <c r="B73" s="81"/>
      <c r="C73" s="258"/>
      <c r="D73" s="669"/>
      <c r="E73" s="102"/>
      <c r="F73" s="86"/>
      <c r="G73" s="86"/>
      <c r="H73" s="261"/>
      <c r="I73" s="140"/>
      <c r="J73" s="140"/>
      <c r="K73" s="103"/>
      <c r="L73" s="261"/>
      <c r="M73" s="140"/>
      <c r="N73" s="119"/>
      <c r="O73" s="94"/>
      <c r="P73" s="711"/>
      <c r="Q73" s="442"/>
      <c r="R73" s="894"/>
      <c r="S73" s="162">
        <f t="shared" si="8"/>
        <v>0</v>
      </c>
      <c r="T73" s="94"/>
      <c r="U73" s="894">
        <f t="shared" si="10"/>
        <v>0</v>
      </c>
      <c r="V73" s="707">
        <f t="shared" si="9"/>
        <v>0</v>
      </c>
      <c r="W73" s="82"/>
      <c r="X73" s="386">
        <f>(Q73+((S73-0)*R73))*((100-P73)/100)</f>
        <v>0</v>
      </c>
      <c r="Y73" s="82"/>
    </row>
    <row r="74" spans="1:25" s="833" customFormat="1" ht="13">
      <c r="A74" s="729"/>
      <c r="B74" s="729"/>
      <c r="C74" s="922"/>
      <c r="D74" s="762"/>
      <c r="E74" s="962"/>
      <c r="F74" s="923"/>
      <c r="G74" s="923"/>
      <c r="H74" s="743"/>
      <c r="I74" s="924"/>
      <c r="J74" s="924"/>
      <c r="K74" s="963"/>
      <c r="L74" s="926"/>
      <c r="M74" s="924"/>
      <c r="N74" s="964"/>
      <c r="O74" s="965"/>
      <c r="P74" s="743"/>
      <c r="Q74" s="966"/>
      <c r="R74" s="901"/>
      <c r="S74" s="162">
        <f t="shared" si="8"/>
        <v>0</v>
      </c>
      <c r="T74" s="431"/>
      <c r="U74" s="946">
        <f t="shared" si="10"/>
        <v>0</v>
      </c>
      <c r="V74" s="808">
        <f>(Q74+((S74-0)*R74))*((100-P74)/100)</f>
        <v>0</v>
      </c>
      <c r="W74" s="82"/>
      <c r="X74" s="386">
        <f>(Q74+((S74-0)*R74))*((100-P74)/100)</f>
        <v>0</v>
      </c>
      <c r="Y74" s="82"/>
    </row>
    <row r="75" spans="1:25" s="833" customFormat="1" ht="13">
      <c r="A75" s="81"/>
      <c r="B75" s="81"/>
      <c r="C75" s="258"/>
      <c r="D75" s="669"/>
      <c r="E75" s="102"/>
      <c r="F75" s="86"/>
      <c r="G75" s="86"/>
      <c r="H75" s="261"/>
      <c r="I75" s="140"/>
      <c r="J75" s="140"/>
      <c r="K75" s="103"/>
      <c r="L75" s="261"/>
      <c r="M75" s="140"/>
      <c r="N75" s="119"/>
      <c r="O75" s="94"/>
      <c r="P75" s="261"/>
      <c r="Q75" s="442"/>
      <c r="R75" s="894"/>
      <c r="S75" s="162">
        <f t="shared" si="8"/>
        <v>0</v>
      </c>
      <c r="T75" s="94"/>
      <c r="U75" s="894">
        <f t="shared" si="10"/>
        <v>0</v>
      </c>
      <c r="V75" s="707">
        <f>(Q75+((S75-0)*R75))*((100-P75)/100)</f>
        <v>0</v>
      </c>
      <c r="W75" s="82"/>
      <c r="X75" s="82"/>
      <c r="Y75" s="82"/>
    </row>
    <row r="76" spans="1:25" s="833" customFormat="1" ht="13">
      <c r="A76" s="728"/>
      <c r="B76" s="728"/>
      <c r="C76" s="876"/>
      <c r="D76" s="734"/>
      <c r="E76" s="967"/>
      <c r="F76" s="911"/>
      <c r="G76" s="911"/>
      <c r="H76" s="737"/>
      <c r="I76" s="875"/>
      <c r="J76" s="875"/>
      <c r="K76" s="968"/>
      <c r="L76" s="737"/>
      <c r="M76" s="875"/>
      <c r="N76" s="456"/>
      <c r="O76" s="874"/>
      <c r="P76" s="737"/>
      <c r="Q76" s="960"/>
      <c r="R76" s="895"/>
      <c r="S76" s="162">
        <f t="shared" si="8"/>
        <v>0</v>
      </c>
      <c r="T76" s="537"/>
      <c r="U76" s="901">
        <f t="shared" si="10"/>
        <v>0</v>
      </c>
      <c r="V76" s="533">
        <f>(Q76+((S76-0)*R76))*((100-P76)/100)</f>
        <v>0</v>
      </c>
      <c r="W76" s="82"/>
      <c r="X76" s="386">
        <f>(Q76+((S76-0)*R76))*((100-P76)/100)</f>
        <v>0</v>
      </c>
      <c r="Y76" s="82"/>
    </row>
    <row r="77" spans="1:25" s="833" customFormat="1" ht="13">
      <c r="A77" s="81"/>
      <c r="B77" s="81"/>
      <c r="C77" s="258"/>
      <c r="D77" s="669"/>
      <c r="E77" s="102"/>
      <c r="F77" s="86"/>
      <c r="G77" s="86"/>
      <c r="H77" s="261"/>
      <c r="I77" s="140"/>
      <c r="J77" s="140"/>
      <c r="K77" s="316"/>
      <c r="L77" s="414"/>
      <c r="M77" s="140"/>
      <c r="N77" s="281"/>
      <c r="O77" s="433"/>
      <c r="P77" s="261"/>
      <c r="Q77" s="969"/>
      <c r="R77" s="970"/>
      <c r="S77" s="162">
        <f t="shared" si="8"/>
        <v>0</v>
      </c>
      <c r="T77" s="132"/>
      <c r="U77" s="971">
        <f t="shared" si="10"/>
        <v>0</v>
      </c>
      <c r="V77" s="386">
        <f>(Q77+((S77-0)*R77))*((100-P77)/100)</f>
        <v>0</v>
      </c>
      <c r="W77" s="82"/>
      <c r="X77" s="386">
        <f>(Q77+((S77-0)*R77))*((100-P77)/100)</f>
        <v>0</v>
      </c>
      <c r="Y77" s="82"/>
    </row>
    <row r="78" spans="1:25" s="833" customFormat="1" ht="13">
      <c r="A78" s="81"/>
      <c r="B78" s="81"/>
      <c r="C78" s="258"/>
      <c r="D78" s="669"/>
      <c r="E78" s="102"/>
      <c r="F78" s="86"/>
      <c r="G78" s="86"/>
      <c r="H78" s="261"/>
      <c r="I78" s="140"/>
      <c r="J78" s="140"/>
      <c r="K78" s="316"/>
      <c r="L78" s="297"/>
      <c r="M78" s="140"/>
      <c r="N78" s="281"/>
      <c r="O78" s="433"/>
      <c r="P78" s="261"/>
      <c r="Q78" s="437"/>
      <c r="R78" s="437"/>
      <c r="S78" s="162">
        <f t="shared" si="8"/>
        <v>0</v>
      </c>
      <c r="T78" s="282"/>
      <c r="U78" s="895">
        <f t="shared" si="10"/>
        <v>0</v>
      </c>
      <c r="V78" s="533">
        <f>Q78+((S78-0)*R78)</f>
        <v>0</v>
      </c>
      <c r="W78" s="82"/>
      <c r="X78" s="82"/>
      <c r="Y78" s="82"/>
    </row>
    <row r="79" spans="1:25" s="833" customFormat="1" ht="13">
      <c r="A79" s="81"/>
      <c r="B79" s="81"/>
      <c r="C79" s="258"/>
      <c r="D79" s="669"/>
      <c r="E79" s="479"/>
      <c r="F79" s="86"/>
      <c r="G79" s="86"/>
      <c r="H79" s="261"/>
      <c r="I79" s="140"/>
      <c r="J79" s="140"/>
      <c r="K79" s="315"/>
      <c r="L79" s="261"/>
      <c r="M79" s="140"/>
      <c r="N79" s="281"/>
      <c r="O79" s="454"/>
      <c r="P79" s="261"/>
      <c r="Q79" s="437"/>
      <c r="R79" s="437"/>
      <c r="S79" s="162">
        <f t="shared" si="8"/>
        <v>0</v>
      </c>
      <c r="T79" s="94"/>
      <c r="U79" s="438">
        <f t="shared" si="10"/>
        <v>0</v>
      </c>
      <c r="V79" s="386">
        <f>(Q79+((S79-0)*R79))*((100-P79)/100)</f>
        <v>0</v>
      </c>
      <c r="W79" s="82"/>
      <c r="X79" s="82"/>
      <c r="Y79" s="82"/>
    </row>
    <row r="80" spans="1:25" s="833" customFormat="1" ht="13">
      <c r="A80" s="81"/>
      <c r="B80" s="81"/>
      <c r="C80" s="258"/>
      <c r="D80" s="669"/>
      <c r="E80" s="479"/>
      <c r="F80" s="86"/>
      <c r="G80" s="86"/>
      <c r="H80" s="261"/>
      <c r="I80" s="140"/>
      <c r="J80" s="140"/>
      <c r="K80" s="315"/>
      <c r="L80" s="261"/>
      <c r="M80" s="140"/>
      <c r="N80" s="409"/>
      <c r="O80" s="454"/>
      <c r="P80" s="261"/>
      <c r="Q80" s="437"/>
      <c r="R80" s="447"/>
      <c r="S80" s="162">
        <f t="shared" si="8"/>
        <v>0</v>
      </c>
      <c r="T80" s="94"/>
      <c r="U80" s="438">
        <f t="shared" si="10"/>
        <v>0</v>
      </c>
      <c r="V80" s="386">
        <f>Q80+((S80-4)*R80)</f>
        <v>0</v>
      </c>
      <c r="W80" s="82"/>
      <c r="X80" s="82"/>
      <c r="Y80" s="82"/>
    </row>
    <row r="81" spans="1:25" s="833" customFormat="1" ht="17.25" customHeight="1">
      <c r="A81" s="81"/>
      <c r="B81" s="81"/>
      <c r="C81" s="258"/>
      <c r="D81" s="259"/>
      <c r="E81" s="479"/>
      <c r="F81" s="86"/>
      <c r="G81" s="86"/>
      <c r="H81" s="261"/>
      <c r="I81" s="491"/>
      <c r="J81" s="491"/>
      <c r="K81" s="492"/>
      <c r="L81" s="261"/>
      <c r="M81" s="140"/>
      <c r="N81" s="495"/>
      <c r="O81" s="490"/>
      <c r="P81" s="261"/>
      <c r="Q81" s="440"/>
      <c r="R81" s="447"/>
      <c r="S81" s="162">
        <f t="shared" si="8"/>
        <v>0</v>
      </c>
      <c r="T81" s="259"/>
      <c r="U81" s="438">
        <f t="shared" si="10"/>
        <v>0</v>
      </c>
      <c r="V81" s="386">
        <f>Q81+((S81-4)*R81)</f>
        <v>0</v>
      </c>
      <c r="W81" s="439"/>
      <c r="X81" s="386">
        <f>(Q81+((S81-0)*R81))*((100-P81)/100)</f>
        <v>0</v>
      </c>
      <c r="Y81" s="439"/>
    </row>
    <row r="82" spans="1:25" s="833" customFormat="1">
      <c r="A82" s="364"/>
      <c r="B82" s="364"/>
      <c r="C82" s="365"/>
      <c r="D82" s="366"/>
      <c r="E82" s="972"/>
      <c r="F82" s="475"/>
      <c r="G82" s="475"/>
      <c r="H82" s="459"/>
      <c r="I82" s="460"/>
      <c r="J82" s="474"/>
      <c r="K82" s="973"/>
      <c r="L82" s="369"/>
      <c r="M82" s="696"/>
      <c r="N82" s="697"/>
      <c r="O82" s="974"/>
      <c r="P82" s="369"/>
      <c r="Q82" s="698"/>
      <c r="R82" s="464"/>
      <c r="S82" s="162">
        <f t="shared" si="8"/>
        <v>0</v>
      </c>
      <c r="T82" s="476"/>
      <c r="U82" s="685">
        <f>10886400*1.2</f>
        <v>13063680</v>
      </c>
      <c r="V82" s="467">
        <f>Q82+((S82-0)*R82)</f>
        <v>0</v>
      </c>
      <c r="W82" s="82"/>
      <c r="X82" s="386">
        <f>(Q82+((S82-0)*R82))*((100-P82)/100)</f>
        <v>0</v>
      </c>
      <c r="Y82" s="82"/>
    </row>
    <row r="83" spans="1:25" s="833" customFormat="1" ht="13">
      <c r="A83" s="81"/>
      <c r="B83" s="484"/>
      <c r="C83" s="484"/>
      <c r="D83" s="259"/>
      <c r="E83" s="479"/>
      <c r="F83" s="410"/>
      <c r="G83" s="410"/>
      <c r="H83" s="261"/>
      <c r="I83" s="412"/>
      <c r="J83" s="140"/>
      <c r="K83" s="316"/>
      <c r="L83" s="414"/>
      <c r="M83" s="312"/>
      <c r="N83" s="456"/>
      <c r="O83" s="433"/>
      <c r="P83" s="261"/>
      <c r="Q83" s="437"/>
      <c r="R83" s="437"/>
      <c r="S83" s="162">
        <f t="shared" si="8"/>
        <v>0</v>
      </c>
      <c r="T83" s="94"/>
      <c r="U83" s="438">
        <f t="shared" ref="U83:U88" si="11">S83*R83*(100-P83)/100</f>
        <v>0</v>
      </c>
      <c r="V83" s="386">
        <f>(Q83+((S83-8)*R83))*((100-P83)/100)</f>
        <v>0</v>
      </c>
      <c r="W83" s="82"/>
      <c r="X83" s="386">
        <f>(Q83+((S83-0)*R83))*((100-P83)/100)</f>
        <v>0</v>
      </c>
      <c r="Y83" s="82"/>
    </row>
    <row r="84" spans="1:25" s="833" customFormat="1" ht="13">
      <c r="A84" s="81"/>
      <c r="B84" s="484"/>
      <c r="C84" s="484"/>
      <c r="D84" s="259"/>
      <c r="E84" s="479"/>
      <c r="F84" s="410"/>
      <c r="G84" s="410"/>
      <c r="H84" s="485"/>
      <c r="I84" s="412"/>
      <c r="J84" s="140"/>
      <c r="K84" s="316"/>
      <c r="L84" s="297"/>
      <c r="M84" s="486"/>
      <c r="N84" s="281"/>
      <c r="O84" s="433"/>
      <c r="P84" s="261"/>
      <c r="Q84" s="437"/>
      <c r="R84" s="437"/>
      <c r="S84" s="162">
        <f t="shared" si="8"/>
        <v>0</v>
      </c>
      <c r="T84" s="94"/>
      <c r="U84" s="438">
        <f t="shared" si="11"/>
        <v>0</v>
      </c>
      <c r="V84" s="386">
        <f>(Q84+((S84-0)*R84))*((100-P84)/100)</f>
        <v>0</v>
      </c>
      <c r="W84" s="82"/>
      <c r="X84" s="386">
        <f>(Q84+((S84-0)*R84))*((100-P84)/100)</f>
        <v>0</v>
      </c>
      <c r="Y84" s="82"/>
    </row>
    <row r="85" spans="1:25" s="833" customFormat="1" ht="13">
      <c r="A85" s="81"/>
      <c r="B85" s="484"/>
      <c r="C85" s="484"/>
      <c r="D85" s="259"/>
      <c r="E85" s="479"/>
      <c r="F85" s="410"/>
      <c r="G85" s="410"/>
      <c r="H85" s="487"/>
      <c r="I85" s="412"/>
      <c r="J85" s="140"/>
      <c r="K85" s="316"/>
      <c r="L85" s="297"/>
      <c r="M85" s="140"/>
      <c r="N85" s="281"/>
      <c r="O85" s="433"/>
      <c r="P85" s="261"/>
      <c r="Q85" s="437"/>
      <c r="R85" s="437"/>
      <c r="S85" s="162">
        <f t="shared" si="8"/>
        <v>0</v>
      </c>
      <c r="T85" s="94"/>
      <c r="U85" s="438">
        <f t="shared" si="11"/>
        <v>0</v>
      </c>
      <c r="V85" s="386">
        <f>Q85+((S85-0)*R85)</f>
        <v>0</v>
      </c>
      <c r="W85" s="82"/>
      <c r="X85" s="82"/>
      <c r="Y85" s="82"/>
    </row>
    <row r="86" spans="1:25" s="833" customFormat="1" ht="13">
      <c r="A86" s="81"/>
      <c r="B86" s="81"/>
      <c r="C86" s="103"/>
      <c r="D86" s="94"/>
      <c r="E86" s="102"/>
      <c r="F86" s="86"/>
      <c r="G86" s="86"/>
      <c r="H86" s="94"/>
      <c r="I86" s="140"/>
      <c r="J86" s="140"/>
      <c r="K86" s="316"/>
      <c r="L86" s="297"/>
      <c r="M86" s="312"/>
      <c r="N86" s="281"/>
      <c r="O86" s="433"/>
      <c r="P86" s="261"/>
      <c r="Q86" s="437"/>
      <c r="R86" s="437"/>
      <c r="S86" s="162">
        <f t="shared" si="8"/>
        <v>0</v>
      </c>
      <c r="T86" s="94"/>
      <c r="U86" s="438">
        <f t="shared" si="11"/>
        <v>0</v>
      </c>
      <c r="V86" s="470">
        <f>Q86+((S86-0)*R86)</f>
        <v>0</v>
      </c>
      <c r="W86" s="82"/>
      <c r="X86" s="386">
        <f>(Q86+((S86-0)*R86))*((100-P86)/100)</f>
        <v>0</v>
      </c>
      <c r="Y86" s="82"/>
    </row>
    <row r="87" spans="1:25" s="833" customFormat="1" ht="13">
      <c r="A87" s="81"/>
      <c r="B87" s="81"/>
      <c r="C87" s="103"/>
      <c r="D87" s="94"/>
      <c r="E87" s="102"/>
      <c r="F87" s="86"/>
      <c r="G87" s="86"/>
      <c r="H87" s="94"/>
      <c r="I87" s="140"/>
      <c r="J87" s="140"/>
      <c r="K87" s="316"/>
      <c r="L87" s="297"/>
      <c r="M87" s="312"/>
      <c r="N87" s="281"/>
      <c r="O87" s="457"/>
      <c r="P87" s="261"/>
      <c r="Q87" s="437"/>
      <c r="R87" s="437"/>
      <c r="S87" s="162">
        <f t="shared" si="8"/>
        <v>0</v>
      </c>
      <c r="T87" s="94"/>
      <c r="U87" s="122">
        <f t="shared" si="11"/>
        <v>0</v>
      </c>
      <c r="V87" s="470">
        <f>Q87+((S87-0)*R87)</f>
        <v>0</v>
      </c>
      <c r="W87" s="82"/>
      <c r="X87" s="386">
        <f>(Q87+((S87-0)*R87))*((100-P87)/100)</f>
        <v>0</v>
      </c>
      <c r="Y87" s="82"/>
    </row>
    <row r="88" spans="1:25" s="833" customFormat="1" ht="13">
      <c r="A88" s="712"/>
      <c r="B88" s="712"/>
      <c r="C88" s="718"/>
      <c r="D88" s="188"/>
      <c r="E88" s="719"/>
      <c r="F88" s="720"/>
      <c r="G88" s="720"/>
      <c r="H88" s="188"/>
      <c r="I88" s="721"/>
      <c r="J88" s="721"/>
      <c r="K88" s="722"/>
      <c r="L88" s="413"/>
      <c r="M88" s="881"/>
      <c r="N88" s="723"/>
      <c r="O88" s="724"/>
      <c r="P88" s="422"/>
      <c r="Q88" s="725"/>
      <c r="R88" s="725"/>
      <c r="S88" s="162">
        <f t="shared" si="8"/>
        <v>0</v>
      </c>
      <c r="T88" s="188"/>
      <c r="U88" s="726">
        <f t="shared" si="11"/>
        <v>0</v>
      </c>
      <c r="V88" s="727">
        <f>Q88+((S88-0)*R88)</f>
        <v>0</v>
      </c>
      <c r="W88" s="82"/>
      <c r="X88" s="82"/>
      <c r="Y88" s="82"/>
    </row>
    <row r="89" spans="1:25" s="833" customFormat="1" ht="13">
      <c r="A89" s="666"/>
      <c r="B89" s="666"/>
      <c r="C89" s="666"/>
      <c r="D89" s="666"/>
      <c r="E89" s="862"/>
      <c r="F89" s="666"/>
      <c r="G89" s="666"/>
      <c r="H89" s="666"/>
      <c r="I89" s="140"/>
      <c r="J89" s="140"/>
      <c r="K89" s="862"/>
      <c r="L89" s="666"/>
      <c r="M89" s="879"/>
      <c r="N89" s="862"/>
      <c r="O89" s="666"/>
      <c r="P89" s="667"/>
      <c r="Q89" s="675"/>
      <c r="R89" s="675"/>
      <c r="S89" s="666"/>
      <c r="T89" s="666"/>
      <c r="U89" s="629">
        <f>SUBTOTAL(109,U7:U88)</f>
        <v>116403680</v>
      </c>
      <c r="V89" s="741">
        <f>SUBTOTAL(109,V7:V88)</f>
        <v>89735000</v>
      </c>
      <c r="W89" s="82"/>
      <c r="X89" s="82"/>
      <c r="Y89" s="376">
        <f>V89*1.1</f>
        <v>98708500.000000015</v>
      </c>
    </row>
    <row r="90" spans="1:25" s="833" customFormat="1" ht="13">
      <c r="A90" s="82"/>
      <c r="B90" s="82"/>
      <c r="C90" s="82"/>
      <c r="D90" s="82"/>
      <c r="E90" s="104"/>
      <c r="F90" s="82"/>
      <c r="G90" s="82"/>
      <c r="H90" s="82"/>
      <c r="I90" s="160"/>
      <c r="J90" s="160"/>
      <c r="K90" s="104"/>
      <c r="L90" s="82"/>
      <c r="M90" s="160"/>
      <c r="N90" s="104"/>
      <c r="O90" s="82"/>
      <c r="P90" s="82"/>
      <c r="Q90" s="99"/>
      <c r="R90" s="82"/>
      <c r="S90" s="82"/>
      <c r="T90" s="82"/>
      <c r="U90" s="82"/>
      <c r="V90" s="99"/>
      <c r="W90" s="82"/>
      <c r="X90" s="82"/>
      <c r="Y90" s="82"/>
    </row>
    <row r="91" spans="1:25">
      <c r="A91" s="100"/>
      <c r="B91" s="100"/>
      <c r="C91" s="100"/>
      <c r="D91" s="100"/>
      <c r="E91" s="68"/>
      <c r="F91" s="100"/>
      <c r="G91" s="100"/>
      <c r="H91" s="100"/>
      <c r="I91" s="59"/>
      <c r="J91" s="59"/>
      <c r="K91" s="68"/>
      <c r="L91" s="100"/>
      <c r="M91" s="59"/>
      <c r="N91" s="68"/>
      <c r="O91" s="100"/>
      <c r="P91" s="100"/>
      <c r="Q91" s="101"/>
      <c r="R91" s="100"/>
      <c r="S91" s="100"/>
      <c r="T91" s="100"/>
      <c r="U91" s="100"/>
      <c r="V91" s="101">
        <f>V89*1.1</f>
        <v>98708500.000000015</v>
      </c>
      <c r="W91" s="100"/>
      <c r="X91" s="100"/>
      <c r="Y91" s="100"/>
    </row>
    <row r="92" spans="1:25">
      <c r="A92" s="100"/>
      <c r="B92" s="100"/>
      <c r="C92" s="100"/>
      <c r="D92" s="100"/>
      <c r="E92" s="68"/>
      <c r="F92" s="100"/>
      <c r="G92" s="100"/>
      <c r="H92" s="100"/>
      <c r="I92" s="59"/>
      <c r="J92" s="59"/>
      <c r="K92" s="68"/>
      <c r="L92" s="100"/>
      <c r="M92" s="59"/>
      <c r="N92" s="68"/>
      <c r="O92" s="100"/>
      <c r="P92" s="100"/>
      <c r="Q92" s="101"/>
      <c r="R92" s="356"/>
      <c r="S92" s="100"/>
      <c r="T92" s="100"/>
      <c r="U92" s="100"/>
      <c r="V92" s="101"/>
      <c r="W92" s="100"/>
      <c r="X92" s="100"/>
      <c r="Y92" s="100"/>
    </row>
    <row r="93" spans="1:25">
      <c r="A93" s="100"/>
      <c r="B93" s="100"/>
      <c r="C93" s="100"/>
      <c r="D93" s="100"/>
      <c r="E93" s="68"/>
      <c r="F93" s="100"/>
      <c r="G93" s="100"/>
      <c r="H93" s="100"/>
      <c r="I93" s="59"/>
      <c r="J93" s="59"/>
      <c r="K93" s="68"/>
      <c r="L93" s="100"/>
      <c r="M93" s="59"/>
      <c r="N93" s="68"/>
      <c r="O93" s="100"/>
      <c r="P93" s="100"/>
      <c r="Q93" s="100"/>
      <c r="R93" s="356"/>
      <c r="S93" s="100"/>
      <c r="T93" s="100"/>
      <c r="U93" s="356"/>
      <c r="V93" s="100"/>
      <c r="W93" s="100"/>
      <c r="X93" s="100"/>
      <c r="Y93" s="100"/>
    </row>
    <row r="94" spans="1:25">
      <c r="A94" s="100"/>
      <c r="B94" s="100"/>
      <c r="C94" s="100"/>
      <c r="D94" s="100"/>
      <c r="E94" s="68"/>
      <c r="F94" s="100"/>
      <c r="G94" s="100"/>
      <c r="H94" s="100"/>
      <c r="I94" s="59"/>
      <c r="J94" s="59"/>
      <c r="K94" s="68"/>
      <c r="L94" s="100"/>
      <c r="M94" s="59"/>
      <c r="N94" s="68"/>
      <c r="O94" s="100"/>
      <c r="P94" s="100"/>
      <c r="Q94" s="100"/>
      <c r="R94" s="100"/>
      <c r="S94" s="100"/>
      <c r="T94" s="100"/>
      <c r="U94" s="356"/>
      <c r="V94" s="100"/>
      <c r="W94" s="975">
        <f>Q38+R38*((S38*(100-P38)/100)-4)</f>
        <v>4750000</v>
      </c>
      <c r="X94" s="100"/>
      <c r="Y94" s="100"/>
    </row>
    <row r="95" spans="1:25">
      <c r="A95" s="100"/>
      <c r="B95" s="100"/>
      <c r="C95" s="100"/>
      <c r="D95" s="100"/>
      <c r="E95" s="68"/>
      <c r="F95" s="100"/>
      <c r="G95" s="100"/>
      <c r="H95" s="100"/>
      <c r="I95" s="59"/>
      <c r="J95" s="59"/>
      <c r="K95" s="68"/>
      <c r="L95" s="100"/>
      <c r="M95" s="59"/>
      <c r="N95" s="68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</row>
    <row r="97" spans="18:21">
      <c r="R97" s="356">
        <f>R36*3</f>
        <v>2850000</v>
      </c>
      <c r="S97" s="100"/>
      <c r="T97" s="100"/>
      <c r="U97" s="975">
        <f>950000*1</f>
        <v>950000</v>
      </c>
    </row>
    <row r="98" spans="18:21">
      <c r="R98" s="356">
        <f>R36*1</f>
        <v>950000</v>
      </c>
      <c r="S98" s="100"/>
      <c r="T98" s="100"/>
      <c r="U98" s="975">
        <f>Q17</f>
        <v>2850000</v>
      </c>
    </row>
    <row r="99" spans="18:21">
      <c r="R99" s="100">
        <f>SUBTOTAL(9,R97:R98)</f>
        <v>3800000</v>
      </c>
      <c r="S99" s="100"/>
      <c r="T99" s="100"/>
      <c r="U99" s="975"/>
    </row>
    <row r="100" spans="18:21">
      <c r="R100" s="100">
        <f>R99*90/100</f>
        <v>3420000</v>
      </c>
      <c r="S100" s="100"/>
      <c r="T100" s="100"/>
      <c r="U100" s="975"/>
    </row>
  </sheetData>
  <autoFilter ref="A6:AE88" xr:uid="{1028D278-910A-4D41-890F-0D5DC76C3F25}"/>
  <pageMargins left="0.7" right="0.7" top="0.75" bottom="0.75" header="0.3" footer="0.3"/>
  <pageSetup scale="27" fitToHeight="0" orientation="landscape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57209-13F2-4610-AE81-8BA2D16B586D}">
  <sheetPr codeName="Sheet11">
    <pageSetUpPr fitToPage="1"/>
  </sheetPr>
  <dimension ref="A2:AE94"/>
  <sheetViews>
    <sheetView topLeftCell="A52" zoomScale="90" zoomScaleNormal="90" workbookViewId="0">
      <selection activeCell="F67" sqref="F67"/>
    </sheetView>
  </sheetViews>
  <sheetFormatPr defaultColWidth="9.1796875" defaultRowHeight="14.5"/>
  <cols>
    <col min="1" max="2" width="8.81640625" style="100" customWidth="1"/>
    <col min="3" max="3" width="8.81640625" style="100" bestFit="1" customWidth="1"/>
    <col min="4" max="4" width="27.26953125" style="100" customWidth="1"/>
    <col min="5" max="5" width="13.81640625" style="68" customWidth="1"/>
    <col min="6" max="6" width="10.81640625" style="100" bestFit="1" customWidth="1"/>
    <col min="7" max="7" width="10" style="100" customWidth="1"/>
    <col min="8" max="8" width="25.54296875" style="100" customWidth="1"/>
    <col min="9" max="9" width="11.26953125" style="59" customWidth="1"/>
    <col min="10" max="10" width="12" style="59" customWidth="1"/>
    <col min="11" max="11" width="9.26953125" style="68" customWidth="1"/>
    <col min="12" max="12" width="17.26953125" style="100" customWidth="1"/>
    <col min="13" max="13" width="10.26953125" style="100" customWidth="1"/>
    <col min="14" max="14" width="22.26953125" style="68" customWidth="1"/>
    <col min="15" max="15" width="12.54296875" style="100" customWidth="1"/>
    <col min="16" max="16" width="9.1796875" style="100" bestFit="1" customWidth="1"/>
    <col min="17" max="17" width="13.26953125" style="101" customWidth="1"/>
    <col min="18" max="18" width="11.26953125" style="100" bestFit="1" customWidth="1"/>
    <col min="19" max="20" width="9.1796875" style="100" bestFit="1" customWidth="1"/>
    <col min="21" max="21" width="16.54296875" style="100" customWidth="1"/>
    <col min="22" max="22" width="14.26953125" style="101" customWidth="1"/>
    <col min="23" max="23" width="10.26953125" style="100" bestFit="1" customWidth="1"/>
    <col min="24" max="24" width="14.54296875" style="100" customWidth="1"/>
    <col min="25" max="25" width="13.7265625" style="100" customWidth="1"/>
    <col min="26" max="29" width="9.1796875" style="100" customWidth="1"/>
    <col min="30" max="16384" width="9.1796875" style="100"/>
  </cols>
  <sheetData>
    <row r="2" spans="1:31" s="57" customFormat="1" ht="20.25" customHeight="1">
      <c r="A2" s="52" t="s">
        <v>0</v>
      </c>
      <c r="B2" s="52"/>
      <c r="C2" s="52"/>
      <c r="D2" s="52"/>
      <c r="E2" s="391"/>
      <c r="F2" s="52"/>
      <c r="G2" s="52"/>
      <c r="H2" s="52"/>
      <c r="I2" s="52"/>
      <c r="J2" s="389"/>
      <c r="K2" s="391"/>
      <c r="L2" s="52"/>
      <c r="M2" s="390"/>
      <c r="N2" s="391"/>
      <c r="O2" s="52"/>
      <c r="P2" s="52"/>
      <c r="Q2" s="52"/>
      <c r="R2" s="52"/>
      <c r="S2" s="52"/>
      <c r="T2" s="52"/>
      <c r="U2" s="52"/>
      <c r="V2" s="53"/>
      <c r="W2" s="54"/>
      <c r="X2" s="52"/>
      <c r="Y2" s="435"/>
      <c r="Z2" s="56"/>
      <c r="AD2" s="58"/>
      <c r="AE2" s="59" t="s">
        <v>1</v>
      </c>
    </row>
    <row r="3" spans="1:31" s="57" customFormat="1" ht="20.25" customHeight="1">
      <c r="A3" s="60" t="s">
        <v>2</v>
      </c>
      <c r="B3" s="60"/>
      <c r="C3" s="60"/>
      <c r="D3" s="60"/>
      <c r="E3" s="394"/>
      <c r="F3" s="60"/>
      <c r="G3" s="60"/>
      <c r="H3" s="60"/>
      <c r="I3" s="60"/>
      <c r="J3" s="392"/>
      <c r="K3" s="394"/>
      <c r="L3" s="60"/>
      <c r="M3" s="393"/>
      <c r="N3" s="394"/>
      <c r="O3" s="60"/>
      <c r="P3" s="60"/>
      <c r="Q3" s="60"/>
      <c r="R3" s="60"/>
      <c r="S3" s="60"/>
      <c r="T3" s="60"/>
      <c r="U3" s="60"/>
      <c r="V3" s="61"/>
      <c r="W3" s="62"/>
      <c r="X3" s="60"/>
      <c r="Y3" s="63"/>
      <c r="Z3" s="56"/>
      <c r="AD3" s="64"/>
      <c r="AE3" s="59" t="s">
        <v>3</v>
      </c>
    </row>
    <row r="4" spans="1:31" s="57" customFormat="1" ht="20.25" customHeight="1">
      <c r="A4" s="60" t="s">
        <v>1584</v>
      </c>
      <c r="B4" s="60"/>
      <c r="C4" s="60"/>
      <c r="D4" s="60"/>
      <c r="E4" s="394"/>
      <c r="F4" s="60"/>
      <c r="G4" s="60"/>
      <c r="H4" s="60"/>
      <c r="I4" s="60"/>
      <c r="J4" s="392"/>
      <c r="K4" s="394"/>
      <c r="L4" s="60"/>
      <c r="M4" s="393"/>
      <c r="N4" s="394"/>
      <c r="O4" s="60"/>
      <c r="P4" s="60"/>
      <c r="Q4" s="60"/>
      <c r="R4" s="60"/>
      <c r="S4" s="60"/>
      <c r="T4" s="60"/>
      <c r="U4" s="60"/>
      <c r="V4" s="61"/>
      <c r="W4" s="62"/>
      <c r="X4" s="60"/>
      <c r="Y4" s="63"/>
      <c r="Z4" s="56"/>
      <c r="AD4" s="65"/>
      <c r="AE4" s="59" t="s">
        <v>5</v>
      </c>
    </row>
    <row r="5" spans="1:31" s="57" customFormat="1" ht="6" customHeight="1">
      <c r="D5" s="66"/>
      <c r="E5" s="67"/>
      <c r="F5" s="67"/>
      <c r="G5" s="67"/>
      <c r="H5" s="66"/>
      <c r="I5" s="66"/>
      <c r="J5" s="66"/>
      <c r="K5" s="67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</row>
    <row r="6" spans="1:31" s="79" customFormat="1" ht="52">
      <c r="A6" s="377" t="s">
        <v>6</v>
      </c>
      <c r="B6" s="377" t="s">
        <v>6</v>
      </c>
      <c r="C6" s="744" t="s">
        <v>7</v>
      </c>
      <c r="D6" s="377" t="s">
        <v>8</v>
      </c>
      <c r="E6" s="319" t="s">
        <v>9</v>
      </c>
      <c r="F6" s="377" t="s">
        <v>10</v>
      </c>
      <c r="G6" s="134" t="s">
        <v>11</v>
      </c>
      <c r="H6" s="377" t="s">
        <v>12</v>
      </c>
      <c r="I6" s="745" t="s">
        <v>13</v>
      </c>
      <c r="J6" s="746" t="s">
        <v>14</v>
      </c>
      <c r="K6" s="134" t="s">
        <v>15</v>
      </c>
      <c r="L6" s="134" t="s">
        <v>16</v>
      </c>
      <c r="M6" s="134" t="s">
        <v>17</v>
      </c>
      <c r="N6" s="319" t="s">
        <v>18</v>
      </c>
      <c r="O6" s="320" t="s">
        <v>19</v>
      </c>
      <c r="P6" s="134" t="s">
        <v>20</v>
      </c>
      <c r="Q6" s="321" t="s">
        <v>21</v>
      </c>
      <c r="R6" s="74" t="s">
        <v>22</v>
      </c>
      <c r="S6" s="134" t="s">
        <v>23</v>
      </c>
      <c r="T6" s="134" t="s">
        <v>24</v>
      </c>
      <c r="U6" s="747" t="s">
        <v>25</v>
      </c>
      <c r="V6" s="134" t="s">
        <v>1146</v>
      </c>
      <c r="Z6" s="72" t="s">
        <v>27</v>
      </c>
      <c r="AA6" s="80" t="s">
        <v>28</v>
      </c>
      <c r="AB6" s="74" t="s">
        <v>29</v>
      </c>
      <c r="AC6" s="72" t="s">
        <v>30</v>
      </c>
    </row>
    <row r="7" spans="1:31" s="79" customFormat="1" ht="13">
      <c r="A7" s="81">
        <f t="shared" ref="A7:A9" si="0">ROW()-6</f>
        <v>1</v>
      </c>
      <c r="B7" s="81">
        <v>1</v>
      </c>
      <c r="C7" s="258">
        <v>4558</v>
      </c>
      <c r="D7" s="259" t="s">
        <v>43</v>
      </c>
      <c r="E7" s="691" t="s">
        <v>1585</v>
      </c>
      <c r="F7" s="692">
        <v>1300</v>
      </c>
      <c r="G7" s="693">
        <v>1430</v>
      </c>
      <c r="H7" s="261" t="s">
        <v>1366</v>
      </c>
      <c r="I7" s="358" t="s">
        <v>35</v>
      </c>
      <c r="J7" s="694" t="s">
        <v>36</v>
      </c>
      <c r="K7" s="797">
        <v>3</v>
      </c>
      <c r="L7" s="261" t="s">
        <v>255</v>
      </c>
      <c r="M7" s="693"/>
      <c r="N7" s="691" t="s">
        <v>1586</v>
      </c>
      <c r="O7" s="259" t="s">
        <v>40</v>
      </c>
      <c r="P7" s="693"/>
      <c r="Q7" s="695"/>
      <c r="R7" s="665">
        <v>500000</v>
      </c>
      <c r="S7" s="162">
        <f>(1450-F7)/100</f>
        <v>1.5</v>
      </c>
      <c r="T7" s="693"/>
      <c r="U7" s="665">
        <f t="shared" ref="U7:U9" si="1">S7*R7*(100-P7)/100</f>
        <v>750000</v>
      </c>
      <c r="V7" s="710">
        <f t="shared" ref="V7:V12" si="2">(Q7+((S7-0)*R7))*((100-P7)/100)</f>
        <v>750000</v>
      </c>
      <c r="Z7" s="689"/>
      <c r="AA7" s="690"/>
      <c r="AB7" s="688"/>
      <c r="AC7" s="689"/>
    </row>
    <row r="8" spans="1:31" s="79" customFormat="1" ht="13">
      <c r="A8" s="81">
        <f t="shared" si="0"/>
        <v>2</v>
      </c>
      <c r="B8" s="81">
        <v>2</v>
      </c>
      <c r="C8" s="258">
        <v>4557</v>
      </c>
      <c r="D8" s="259" t="s">
        <v>32</v>
      </c>
      <c r="E8" s="691" t="s">
        <v>1585</v>
      </c>
      <c r="F8" s="692">
        <v>1430</v>
      </c>
      <c r="G8" s="693">
        <v>1630</v>
      </c>
      <c r="H8" s="261" t="s">
        <v>1364</v>
      </c>
      <c r="I8" s="358" t="s">
        <v>35</v>
      </c>
      <c r="J8" s="694" t="s">
        <v>36</v>
      </c>
      <c r="K8" s="797">
        <v>12</v>
      </c>
      <c r="L8" s="261" t="s">
        <v>255</v>
      </c>
      <c r="M8" s="693"/>
      <c r="N8" s="691" t="s">
        <v>1587</v>
      </c>
      <c r="O8" s="259" t="s">
        <v>40</v>
      </c>
      <c r="P8" s="693"/>
      <c r="Q8" s="695"/>
      <c r="R8" s="665">
        <v>950000</v>
      </c>
      <c r="S8" s="162">
        <f t="shared" ref="S8" si="3">(G8-F8)/100</f>
        <v>2</v>
      </c>
      <c r="T8" s="693"/>
      <c r="U8" s="665">
        <f t="shared" si="1"/>
        <v>1900000</v>
      </c>
      <c r="V8" s="710">
        <f t="shared" si="2"/>
        <v>1900000</v>
      </c>
      <c r="Z8" s="689"/>
      <c r="AA8" s="690"/>
      <c r="AB8" s="688"/>
      <c r="AC8" s="689"/>
    </row>
    <row r="9" spans="1:31" s="79" customFormat="1" ht="13">
      <c r="A9" s="81">
        <f t="shared" si="0"/>
        <v>3</v>
      </c>
      <c r="B9" s="81">
        <v>3</v>
      </c>
      <c r="C9" s="258">
        <v>4556</v>
      </c>
      <c r="D9" s="259" t="s">
        <v>32</v>
      </c>
      <c r="E9" s="691" t="s">
        <v>1585</v>
      </c>
      <c r="F9" s="692">
        <v>1630</v>
      </c>
      <c r="G9" s="693">
        <v>1800</v>
      </c>
      <c r="H9" s="261" t="s">
        <v>1364</v>
      </c>
      <c r="I9" s="358" t="s">
        <v>35</v>
      </c>
      <c r="J9" s="694" t="s">
        <v>36</v>
      </c>
      <c r="K9" s="797">
        <v>12</v>
      </c>
      <c r="L9" s="261" t="s">
        <v>255</v>
      </c>
      <c r="M9" s="693"/>
      <c r="N9" s="691" t="s">
        <v>1588</v>
      </c>
      <c r="O9" s="259" t="s">
        <v>40</v>
      </c>
      <c r="P9" s="693"/>
      <c r="Q9" s="695"/>
      <c r="R9" s="665">
        <v>950000</v>
      </c>
      <c r="S9" s="162">
        <f>(G9-1650)/100</f>
        <v>1.5</v>
      </c>
      <c r="T9" s="693"/>
      <c r="U9" s="665">
        <f t="shared" si="1"/>
        <v>1425000</v>
      </c>
      <c r="V9" s="710">
        <f t="shared" si="2"/>
        <v>1425000</v>
      </c>
      <c r="Z9" s="689"/>
      <c r="AA9" s="690"/>
      <c r="AB9" s="688"/>
      <c r="AC9" s="689"/>
    </row>
    <row r="10" spans="1:31" s="82" customFormat="1" ht="13">
      <c r="A10" s="81">
        <f t="shared" ref="A10:A87" si="4">ROW()-6</f>
        <v>4</v>
      </c>
      <c r="B10" s="81">
        <v>1</v>
      </c>
      <c r="C10" s="258" t="s">
        <v>1589</v>
      </c>
      <c r="D10" s="259" t="s">
        <v>43</v>
      </c>
      <c r="E10" s="260" t="s">
        <v>1590</v>
      </c>
      <c r="F10" s="86">
        <v>1500</v>
      </c>
      <c r="G10" s="86">
        <v>1700</v>
      </c>
      <c r="H10" s="261" t="s">
        <v>1366</v>
      </c>
      <c r="I10" s="261" t="s">
        <v>35</v>
      </c>
      <c r="J10" s="261" t="s">
        <v>36</v>
      </c>
      <c r="K10" s="258" t="s">
        <v>76</v>
      </c>
      <c r="L10" s="261" t="s">
        <v>255</v>
      </c>
      <c r="M10" s="355"/>
      <c r="N10" s="269" t="s">
        <v>1591</v>
      </c>
      <c r="O10" s="259" t="s">
        <v>40</v>
      </c>
      <c r="P10" s="261"/>
      <c r="Q10" s="83"/>
      <c r="R10" s="665">
        <v>500000</v>
      </c>
      <c r="S10" s="162">
        <f>(G10-F10)/100</f>
        <v>2</v>
      </c>
      <c r="T10" s="259"/>
      <c r="U10" s="665">
        <f t="shared" ref="U10:U87" si="5">S10*R10*(100-P10)/100</f>
        <v>1000000</v>
      </c>
      <c r="V10" s="710">
        <f t="shared" si="2"/>
        <v>1000000</v>
      </c>
      <c r="W10" s="90"/>
      <c r="X10" s="91"/>
      <c r="Y10" s="90"/>
    </row>
    <row r="11" spans="1:31" s="82" customFormat="1" ht="13">
      <c r="A11" s="671">
        <f t="shared" si="4"/>
        <v>5</v>
      </c>
      <c r="B11" s="671">
        <v>2</v>
      </c>
      <c r="C11" s="670" t="s">
        <v>1592</v>
      </c>
      <c r="D11" s="669" t="s">
        <v>75</v>
      </c>
      <c r="E11" s="260" t="s">
        <v>1590</v>
      </c>
      <c r="F11" s="668">
        <v>1500</v>
      </c>
      <c r="G11" s="668">
        <v>1600</v>
      </c>
      <c r="H11" s="667" t="s">
        <v>1516</v>
      </c>
      <c r="I11" s="261" t="s">
        <v>35</v>
      </c>
      <c r="J11" s="261" t="s">
        <v>36</v>
      </c>
      <c r="K11" s="670" t="s">
        <v>76</v>
      </c>
      <c r="L11" s="667" t="s">
        <v>255</v>
      </c>
      <c r="M11" s="262"/>
      <c r="N11" s="260" t="s">
        <v>1593</v>
      </c>
      <c r="O11" s="669" t="s">
        <v>40</v>
      </c>
      <c r="P11" s="667"/>
      <c r="Q11" s="840"/>
      <c r="R11" s="665">
        <v>500000</v>
      </c>
      <c r="S11" s="162">
        <f t="shared" ref="S11:S74" si="6">(G11-F11)/100</f>
        <v>1</v>
      </c>
      <c r="T11" s="669"/>
      <c r="U11" s="976">
        <f t="shared" si="5"/>
        <v>500000</v>
      </c>
      <c r="V11" s="710">
        <f t="shared" si="2"/>
        <v>500000</v>
      </c>
      <c r="W11" s="90"/>
      <c r="X11" s="91"/>
      <c r="Y11" s="90"/>
    </row>
    <row r="12" spans="1:31" s="82" customFormat="1" ht="13">
      <c r="A12" s="671">
        <f t="shared" si="4"/>
        <v>6</v>
      </c>
      <c r="B12" s="671">
        <v>3</v>
      </c>
      <c r="C12" s="670" t="s">
        <v>1594</v>
      </c>
      <c r="D12" s="669" t="s">
        <v>43</v>
      </c>
      <c r="E12" s="260" t="s">
        <v>1590</v>
      </c>
      <c r="F12" s="673" t="s">
        <v>1485</v>
      </c>
      <c r="G12" s="673" t="s">
        <v>1595</v>
      </c>
      <c r="H12" s="262" t="s">
        <v>1508</v>
      </c>
      <c r="I12" s="262" t="s">
        <v>35</v>
      </c>
      <c r="J12" s="262" t="s">
        <v>36</v>
      </c>
      <c r="K12" s="670" t="s">
        <v>133</v>
      </c>
      <c r="L12" s="667" t="s">
        <v>255</v>
      </c>
      <c r="M12" s="669"/>
      <c r="N12" s="260" t="s">
        <v>1596</v>
      </c>
      <c r="O12" s="669" t="s">
        <v>40</v>
      </c>
      <c r="P12" s="667"/>
      <c r="Q12" s="977"/>
      <c r="R12" s="665">
        <v>500000</v>
      </c>
      <c r="S12" s="162">
        <f t="shared" si="6"/>
        <v>1</v>
      </c>
      <c r="T12" s="669"/>
      <c r="U12" s="976">
        <f t="shared" si="5"/>
        <v>500000</v>
      </c>
      <c r="V12" s="710">
        <f t="shared" si="2"/>
        <v>500000</v>
      </c>
      <c r="W12" s="90"/>
      <c r="X12" s="386">
        <f>(Q12+((S12-0)*R12))*((100-P12)/100)</f>
        <v>500000</v>
      </c>
      <c r="Y12" s="90"/>
    </row>
    <row r="13" spans="1:31" s="82" customFormat="1" ht="13">
      <c r="A13" s="765">
        <f t="shared" si="4"/>
        <v>7</v>
      </c>
      <c r="B13" s="765">
        <v>4</v>
      </c>
      <c r="C13" s="766">
        <v>4551</v>
      </c>
      <c r="D13" s="734" t="s">
        <v>32</v>
      </c>
      <c r="E13" s="767" t="s">
        <v>1590</v>
      </c>
      <c r="F13" s="768">
        <v>1000</v>
      </c>
      <c r="G13" s="768">
        <v>1030</v>
      </c>
      <c r="H13" s="766" t="s">
        <v>1406</v>
      </c>
      <c r="I13" s="875" t="s">
        <v>35</v>
      </c>
      <c r="J13" s="875" t="s">
        <v>36</v>
      </c>
      <c r="K13" s="769">
        <v>12</v>
      </c>
      <c r="L13" s="742" t="s">
        <v>89</v>
      </c>
      <c r="M13" s="293"/>
      <c r="N13" s="770" t="s">
        <v>1597</v>
      </c>
      <c r="O13" s="771" t="s">
        <v>40</v>
      </c>
      <c r="P13" s="766"/>
      <c r="Q13" s="978"/>
      <c r="R13" s="532">
        <v>950000</v>
      </c>
      <c r="S13" s="531">
        <f>(1050-F13)/100</f>
        <v>0.5</v>
      </c>
      <c r="T13" s="766"/>
      <c r="U13" s="979">
        <f t="shared" si="5"/>
        <v>475000</v>
      </c>
      <c r="V13" s="626">
        <f t="shared" ref="V13:V22" si="7">(Q13+((S13-0)*R13))*((100-P13)/100)</f>
        <v>475000</v>
      </c>
      <c r="W13" s="83"/>
      <c r="X13" s="386">
        <f>(Q13+((S13-0)*R13))*((100-P13)/100)</f>
        <v>475000</v>
      </c>
    </row>
    <row r="14" spans="1:31" s="82" customFormat="1" ht="17.5" customHeight="1">
      <c r="A14" s="712">
        <f t="shared" si="4"/>
        <v>8</v>
      </c>
      <c r="B14" s="712">
        <v>5</v>
      </c>
      <c r="C14" s="896" t="s">
        <v>1598</v>
      </c>
      <c r="D14" s="702" t="s">
        <v>75</v>
      </c>
      <c r="E14" s="896" t="s">
        <v>1590</v>
      </c>
      <c r="F14" s="720">
        <v>1000</v>
      </c>
      <c r="G14" s="720">
        <v>1100</v>
      </c>
      <c r="H14" s="422" t="s">
        <v>1599</v>
      </c>
      <c r="I14" s="422" t="s">
        <v>259</v>
      </c>
      <c r="J14" s="422" t="s">
        <v>36</v>
      </c>
      <c r="K14" s="897" t="s">
        <v>366</v>
      </c>
      <c r="L14" s="980" t="s">
        <v>1600</v>
      </c>
      <c r="M14" s="427" t="s">
        <v>1601</v>
      </c>
      <c r="N14" s="898" t="s">
        <v>1602</v>
      </c>
      <c r="O14" s="899" t="s">
        <v>40</v>
      </c>
      <c r="P14" s="422"/>
      <c r="Q14" s="713"/>
      <c r="R14" s="538">
        <v>500000</v>
      </c>
      <c r="S14" s="701">
        <f t="shared" si="6"/>
        <v>1</v>
      </c>
      <c r="T14" s="702"/>
      <c r="U14" s="703">
        <f t="shared" si="5"/>
        <v>500000</v>
      </c>
      <c r="V14" s="704">
        <f t="shared" si="7"/>
        <v>500000</v>
      </c>
      <c r="W14" s="90"/>
      <c r="X14" s="386">
        <f>(Q14+((S14-0)*R14))*((100-P14)/100)</f>
        <v>500000</v>
      </c>
      <c r="Y14" s="90"/>
    </row>
    <row r="15" spans="1:31" s="82" customFormat="1" ht="13">
      <c r="A15" s="81">
        <f t="shared" si="4"/>
        <v>9</v>
      </c>
      <c r="B15" s="81">
        <v>6</v>
      </c>
      <c r="C15" s="94">
        <v>4549</v>
      </c>
      <c r="D15" s="259" t="s">
        <v>43</v>
      </c>
      <c r="E15" s="258" t="s">
        <v>1603</v>
      </c>
      <c r="F15" s="86">
        <v>1300</v>
      </c>
      <c r="G15" s="86">
        <v>1400</v>
      </c>
      <c r="H15" s="94" t="s">
        <v>1604</v>
      </c>
      <c r="I15" s="140" t="s">
        <v>35</v>
      </c>
      <c r="J15" s="140" t="s">
        <v>36</v>
      </c>
      <c r="K15" s="258" t="s">
        <v>76</v>
      </c>
      <c r="L15" s="261" t="s">
        <v>255</v>
      </c>
      <c r="M15" s="355"/>
      <c r="N15" s="119" t="s">
        <v>1605</v>
      </c>
      <c r="O15" s="259" t="s">
        <v>40</v>
      </c>
      <c r="P15" s="261"/>
      <c r="Q15" s="83"/>
      <c r="R15" s="665">
        <v>500000</v>
      </c>
      <c r="S15" s="162">
        <f t="shared" si="6"/>
        <v>1</v>
      </c>
      <c r="T15" s="94"/>
      <c r="U15" s="665">
        <f t="shared" si="5"/>
        <v>500000</v>
      </c>
      <c r="V15" s="710">
        <f t="shared" si="7"/>
        <v>500000</v>
      </c>
    </row>
    <row r="16" spans="1:31" s="82" customFormat="1">
      <c r="A16" s="81">
        <f t="shared" si="4"/>
        <v>10</v>
      </c>
      <c r="B16" s="81">
        <v>7</v>
      </c>
      <c r="C16" s="258" t="s">
        <v>1606</v>
      </c>
      <c r="D16" s="259" t="s">
        <v>43</v>
      </c>
      <c r="E16" s="258" t="s">
        <v>1607</v>
      </c>
      <c r="F16" s="86">
        <v>1730</v>
      </c>
      <c r="G16" s="86">
        <v>1800</v>
      </c>
      <c r="H16" s="261" t="s">
        <v>1608</v>
      </c>
      <c r="I16" s="140" t="s">
        <v>259</v>
      </c>
      <c r="J16" s="140" t="s">
        <v>36</v>
      </c>
      <c r="K16" s="258" t="s">
        <v>76</v>
      </c>
      <c r="L16" s="261" t="s">
        <v>255</v>
      </c>
      <c r="M16" s="94" t="s">
        <v>255</v>
      </c>
      <c r="N16" s="981" t="s">
        <v>1609</v>
      </c>
      <c r="O16" s="259" t="s">
        <v>40</v>
      </c>
      <c r="P16" s="442"/>
      <c r="Q16" s="83"/>
      <c r="R16" s="665">
        <v>500000</v>
      </c>
      <c r="S16" s="162">
        <f>(G16-1750)/100</f>
        <v>0.5</v>
      </c>
      <c r="T16" s="259"/>
      <c r="U16" s="738">
        <f t="shared" si="5"/>
        <v>250000</v>
      </c>
      <c r="V16" s="710">
        <f t="shared" si="7"/>
        <v>250000</v>
      </c>
      <c r="W16" s="90"/>
      <c r="X16" s="386">
        <f>(Q16+((S16-0)*R16))*((100-P16)/100)</f>
        <v>250000</v>
      </c>
      <c r="Y16" s="90"/>
    </row>
    <row r="17" spans="1:25" s="82" customFormat="1" ht="14">
      <c r="A17" s="81">
        <f t="shared" si="4"/>
        <v>11</v>
      </c>
      <c r="B17" s="263">
        <v>8</v>
      </c>
      <c r="C17" s="264" t="s">
        <v>1610</v>
      </c>
      <c r="D17" s="259" t="s">
        <v>43</v>
      </c>
      <c r="E17" s="264" t="s">
        <v>1603</v>
      </c>
      <c r="F17" s="266">
        <v>1500</v>
      </c>
      <c r="G17" s="266">
        <v>1700</v>
      </c>
      <c r="H17" s="267" t="s">
        <v>1611</v>
      </c>
      <c r="I17" s="268" t="s">
        <v>259</v>
      </c>
      <c r="J17" s="268" t="s">
        <v>36</v>
      </c>
      <c r="K17" s="264" t="s">
        <v>76</v>
      </c>
      <c r="L17" s="261" t="s">
        <v>255</v>
      </c>
      <c r="M17" s="428" t="s">
        <v>255</v>
      </c>
      <c r="N17" s="982" t="s">
        <v>1612</v>
      </c>
      <c r="O17" s="265" t="s">
        <v>40</v>
      </c>
      <c r="P17" s="798"/>
      <c r="Q17" s="799"/>
      <c r="R17" s="665">
        <v>500000</v>
      </c>
      <c r="S17" s="162">
        <f t="shared" si="6"/>
        <v>2</v>
      </c>
      <c r="T17" s="265"/>
      <c r="U17" s="738">
        <f t="shared" si="5"/>
        <v>1000000</v>
      </c>
      <c r="V17" s="710">
        <f t="shared" si="7"/>
        <v>1000000</v>
      </c>
      <c r="W17" s="90"/>
      <c r="X17" s="91"/>
      <c r="Y17" s="90"/>
    </row>
    <row r="18" spans="1:25" s="82" customFormat="1">
      <c r="A18" s="765">
        <f t="shared" si="4"/>
        <v>12</v>
      </c>
      <c r="B18" s="765">
        <v>9</v>
      </c>
      <c r="C18" s="767" t="s">
        <v>1613</v>
      </c>
      <c r="D18" s="734" t="s">
        <v>75</v>
      </c>
      <c r="E18" s="767" t="s">
        <v>1603</v>
      </c>
      <c r="F18" s="768">
        <v>1630</v>
      </c>
      <c r="G18" s="768">
        <v>1730</v>
      </c>
      <c r="H18" s="735" t="s">
        <v>1614</v>
      </c>
      <c r="I18" s="875" t="s">
        <v>259</v>
      </c>
      <c r="J18" s="875" t="s">
        <v>36</v>
      </c>
      <c r="K18" s="772" t="s">
        <v>366</v>
      </c>
      <c r="L18" s="742" t="s">
        <v>1600</v>
      </c>
      <c r="M18" s="766" t="s">
        <v>1615</v>
      </c>
      <c r="N18" s="773" t="s">
        <v>1616</v>
      </c>
      <c r="O18" s="771" t="s">
        <v>174</v>
      </c>
      <c r="P18" s="774"/>
      <c r="Q18" s="978"/>
      <c r="R18" s="983"/>
      <c r="S18" s="531">
        <f t="shared" si="6"/>
        <v>1</v>
      </c>
      <c r="T18" s="734"/>
      <c r="U18" s="979">
        <f t="shared" si="5"/>
        <v>0</v>
      </c>
      <c r="V18" s="626">
        <f t="shared" si="7"/>
        <v>0</v>
      </c>
      <c r="W18" s="90"/>
      <c r="X18" s="91"/>
      <c r="Y18" s="90"/>
    </row>
    <row r="19" spans="1:25" s="82" customFormat="1">
      <c r="A19" s="748">
        <f t="shared" si="4"/>
        <v>13</v>
      </c>
      <c r="B19" s="748">
        <v>10</v>
      </c>
      <c r="C19" s="749" t="s">
        <v>1617</v>
      </c>
      <c r="D19" s="714" t="s">
        <v>75</v>
      </c>
      <c r="E19" s="749" t="s">
        <v>1603</v>
      </c>
      <c r="F19" s="750">
        <v>1600</v>
      </c>
      <c r="G19" s="750">
        <v>1700</v>
      </c>
      <c r="H19" s="674" t="s">
        <v>1618</v>
      </c>
      <c r="I19" s="721" t="s">
        <v>259</v>
      </c>
      <c r="J19" s="721" t="s">
        <v>36</v>
      </c>
      <c r="K19" s="751" t="s">
        <v>366</v>
      </c>
      <c r="L19" s="676" t="s">
        <v>1600</v>
      </c>
      <c r="M19" s="672" t="s">
        <v>1619</v>
      </c>
      <c r="N19" s="752" t="s">
        <v>1620</v>
      </c>
      <c r="O19" s="753" t="s">
        <v>174</v>
      </c>
      <c r="P19" s="754"/>
      <c r="Q19" s="755"/>
      <c r="R19" s="984"/>
      <c r="S19" s="701">
        <f t="shared" si="6"/>
        <v>1</v>
      </c>
      <c r="T19" s="714"/>
      <c r="U19" s="985">
        <f t="shared" si="5"/>
        <v>0</v>
      </c>
      <c r="V19" s="625">
        <f t="shared" si="7"/>
        <v>0</v>
      </c>
      <c r="W19" s="90"/>
      <c r="X19" s="91"/>
      <c r="Y19" s="90"/>
    </row>
    <row r="20" spans="1:25" s="82" customFormat="1">
      <c r="A20" s="81">
        <f t="shared" si="4"/>
        <v>14</v>
      </c>
      <c r="B20" s="81">
        <v>11</v>
      </c>
      <c r="C20" s="258" t="s">
        <v>1621</v>
      </c>
      <c r="D20" s="259" t="s">
        <v>75</v>
      </c>
      <c r="E20" s="258" t="s">
        <v>1607</v>
      </c>
      <c r="F20" s="86">
        <v>1600</v>
      </c>
      <c r="G20" s="86">
        <v>1700</v>
      </c>
      <c r="H20" s="261" t="s">
        <v>1622</v>
      </c>
      <c r="I20" s="140" t="s">
        <v>259</v>
      </c>
      <c r="J20" s="140" t="s">
        <v>36</v>
      </c>
      <c r="K20" s="258" t="s">
        <v>76</v>
      </c>
      <c r="L20" s="261" t="s">
        <v>255</v>
      </c>
      <c r="M20" s="355" t="s">
        <v>255</v>
      </c>
      <c r="N20" s="981" t="s">
        <v>1623</v>
      </c>
      <c r="O20" s="259" t="s">
        <v>40</v>
      </c>
      <c r="P20" s="261"/>
      <c r="Q20" s="738"/>
      <c r="R20" s="665">
        <v>500000</v>
      </c>
      <c r="S20" s="162">
        <f t="shared" si="6"/>
        <v>1</v>
      </c>
      <c r="T20" s="94"/>
      <c r="U20" s="665">
        <f t="shared" si="5"/>
        <v>500000</v>
      </c>
      <c r="V20" s="710">
        <f t="shared" si="7"/>
        <v>500000</v>
      </c>
      <c r="X20" s="386">
        <f>(Q20+((S20-0)*R20))*((100-P20)/100)</f>
        <v>500000</v>
      </c>
    </row>
    <row r="21" spans="1:25" s="82" customFormat="1">
      <c r="A21" s="81">
        <f t="shared" si="4"/>
        <v>15</v>
      </c>
      <c r="B21" s="81">
        <v>12</v>
      </c>
      <c r="C21" s="258" t="s">
        <v>1624</v>
      </c>
      <c r="D21" s="259" t="s">
        <v>43</v>
      </c>
      <c r="E21" s="258" t="s">
        <v>1607</v>
      </c>
      <c r="F21" s="86">
        <v>1400</v>
      </c>
      <c r="G21" s="86">
        <v>1600</v>
      </c>
      <c r="H21" s="261" t="s">
        <v>1625</v>
      </c>
      <c r="I21" s="140" t="s">
        <v>259</v>
      </c>
      <c r="J21" s="140" t="s">
        <v>36</v>
      </c>
      <c r="K21" s="258" t="s">
        <v>76</v>
      </c>
      <c r="L21" s="261" t="s">
        <v>255</v>
      </c>
      <c r="M21" s="355"/>
      <c r="N21" s="981" t="s">
        <v>1626</v>
      </c>
      <c r="O21" s="259" t="s">
        <v>40</v>
      </c>
      <c r="P21" s="261"/>
      <c r="Q21" s="83"/>
      <c r="R21" s="665">
        <v>500000</v>
      </c>
      <c r="S21" s="162">
        <f t="shared" si="6"/>
        <v>2</v>
      </c>
      <c r="T21" s="259"/>
      <c r="U21" s="665">
        <f t="shared" si="5"/>
        <v>1000000</v>
      </c>
      <c r="V21" s="710">
        <f t="shared" si="7"/>
        <v>1000000</v>
      </c>
      <c r="W21" s="90"/>
      <c r="X21" s="91"/>
      <c r="Y21" s="90"/>
    </row>
    <row r="22" spans="1:25" s="82" customFormat="1">
      <c r="A22" s="671">
        <f t="shared" si="4"/>
        <v>16</v>
      </c>
      <c r="B22" s="671">
        <v>13</v>
      </c>
      <c r="C22" s="670" t="s">
        <v>1627</v>
      </c>
      <c r="D22" s="669" t="s">
        <v>43</v>
      </c>
      <c r="E22" s="670" t="s">
        <v>1607</v>
      </c>
      <c r="F22" s="668">
        <v>1000</v>
      </c>
      <c r="G22" s="668">
        <v>1100</v>
      </c>
      <c r="H22" s="667" t="s">
        <v>1625</v>
      </c>
      <c r="I22" s="140" t="s">
        <v>259</v>
      </c>
      <c r="J22" s="140" t="s">
        <v>36</v>
      </c>
      <c r="K22" s="670" t="s">
        <v>76</v>
      </c>
      <c r="L22" s="667" t="s">
        <v>255</v>
      </c>
      <c r="M22" s="666" t="s">
        <v>1628</v>
      </c>
      <c r="N22" s="800" t="s">
        <v>1629</v>
      </c>
      <c r="O22" s="669" t="s">
        <v>40</v>
      </c>
      <c r="P22" s="675"/>
      <c r="Q22" s="977"/>
      <c r="R22" s="665">
        <v>500000</v>
      </c>
      <c r="S22" s="162">
        <f t="shared" si="6"/>
        <v>1</v>
      </c>
      <c r="T22" s="669"/>
      <c r="U22" s="976">
        <f t="shared" si="5"/>
        <v>500000</v>
      </c>
      <c r="V22" s="710">
        <f t="shared" si="7"/>
        <v>500000</v>
      </c>
      <c r="W22" s="90"/>
      <c r="X22" s="91"/>
      <c r="Y22" s="90"/>
    </row>
    <row r="23" spans="1:25" s="82" customFormat="1">
      <c r="A23" s="728">
        <f t="shared" si="4"/>
        <v>17</v>
      </c>
      <c r="B23" s="728">
        <v>14</v>
      </c>
      <c r="C23" s="876" t="s">
        <v>1630</v>
      </c>
      <c r="D23" s="706" t="s">
        <v>43</v>
      </c>
      <c r="E23" s="876" t="s">
        <v>1607</v>
      </c>
      <c r="F23" s="911">
        <v>930</v>
      </c>
      <c r="G23" s="911">
        <v>1030</v>
      </c>
      <c r="H23" s="737" t="s">
        <v>1631</v>
      </c>
      <c r="I23" s="875" t="s">
        <v>259</v>
      </c>
      <c r="J23" s="875" t="s">
        <v>36</v>
      </c>
      <c r="K23" s="915" t="s">
        <v>76</v>
      </c>
      <c r="L23" s="414"/>
      <c r="M23" s="354" t="s">
        <v>1632</v>
      </c>
      <c r="N23" s="986" t="s">
        <v>1633</v>
      </c>
      <c r="O23" s="874" t="s">
        <v>174</v>
      </c>
      <c r="P23" s="775"/>
      <c r="Q23" s="603"/>
      <c r="R23" s="530"/>
      <c r="S23" s="531">
        <f t="shared" si="6"/>
        <v>1</v>
      </c>
      <c r="T23" s="706"/>
      <c r="U23" s="532">
        <f t="shared" si="5"/>
        <v>0</v>
      </c>
      <c r="V23" s="533">
        <f t="shared" ref="V23:V52" si="8">(Q23+((S23-0)*R23))*((100-P23)/100)</f>
        <v>0</v>
      </c>
      <c r="W23" s="90"/>
      <c r="X23" s="91"/>
      <c r="Y23" s="90"/>
    </row>
    <row r="24" spans="1:25" s="82" customFormat="1" ht="26">
      <c r="A24" s="712">
        <f t="shared" si="4"/>
        <v>18</v>
      </c>
      <c r="B24" s="712">
        <v>15</v>
      </c>
      <c r="C24" s="896" t="s">
        <v>1634</v>
      </c>
      <c r="D24" s="702" t="s">
        <v>32</v>
      </c>
      <c r="E24" s="896" t="s">
        <v>1635</v>
      </c>
      <c r="F24" s="720">
        <v>1430</v>
      </c>
      <c r="G24" s="720">
        <v>1515</v>
      </c>
      <c r="H24" s="422" t="s">
        <v>1636</v>
      </c>
      <c r="I24" s="721" t="s">
        <v>35</v>
      </c>
      <c r="J24" s="721" t="s">
        <v>36</v>
      </c>
      <c r="K24" s="897" t="s">
        <v>76</v>
      </c>
      <c r="L24" s="413" t="s">
        <v>72</v>
      </c>
      <c r="M24" s="417"/>
      <c r="N24" s="987" t="s">
        <v>1637</v>
      </c>
      <c r="O24" s="899" t="s">
        <v>40</v>
      </c>
      <c r="P24" s="450">
        <v>100</v>
      </c>
      <c r="Q24" s="713"/>
      <c r="R24" s="538">
        <v>950000</v>
      </c>
      <c r="S24" s="701">
        <f>(1525-1450)/100</f>
        <v>0.75</v>
      </c>
      <c r="T24" s="188"/>
      <c r="U24" s="703">
        <f t="shared" si="5"/>
        <v>0</v>
      </c>
      <c r="V24" s="704">
        <f t="shared" si="8"/>
        <v>0</v>
      </c>
    </row>
    <row r="25" spans="1:25" s="82" customFormat="1" ht="26">
      <c r="A25" s="712">
        <f t="shared" si="4"/>
        <v>19</v>
      </c>
      <c r="B25" s="712">
        <v>16</v>
      </c>
      <c r="C25" s="896" t="s">
        <v>1638</v>
      </c>
      <c r="D25" s="702" t="s">
        <v>75</v>
      </c>
      <c r="E25" s="896" t="s">
        <v>1635</v>
      </c>
      <c r="F25" s="720">
        <v>1630</v>
      </c>
      <c r="G25" s="720">
        <v>1730</v>
      </c>
      <c r="H25" s="422" t="s">
        <v>1639</v>
      </c>
      <c r="I25" s="721" t="s">
        <v>35</v>
      </c>
      <c r="J25" s="721" t="s">
        <v>36</v>
      </c>
      <c r="K25" s="896" t="s">
        <v>76</v>
      </c>
      <c r="L25" s="422" t="s">
        <v>47</v>
      </c>
      <c r="M25" s="188"/>
      <c r="N25" s="988" t="s">
        <v>1640</v>
      </c>
      <c r="O25" s="702" t="s">
        <v>40</v>
      </c>
      <c r="P25" s="424"/>
      <c r="Q25" s="425"/>
      <c r="R25" s="756">
        <v>500000</v>
      </c>
      <c r="S25" s="701">
        <f t="shared" si="6"/>
        <v>1</v>
      </c>
      <c r="T25" s="702"/>
      <c r="U25" s="756">
        <f t="shared" si="5"/>
        <v>500000</v>
      </c>
      <c r="V25" s="757">
        <f t="shared" si="8"/>
        <v>500000</v>
      </c>
      <c r="W25" s="90"/>
      <c r="X25" s="91"/>
      <c r="Y25" s="90"/>
    </row>
    <row r="26" spans="1:25" s="82" customFormat="1">
      <c r="A26" s="81">
        <f t="shared" si="4"/>
        <v>20</v>
      </c>
      <c r="B26" s="81">
        <v>17</v>
      </c>
      <c r="C26" s="258" t="s">
        <v>1641</v>
      </c>
      <c r="D26" s="259" t="s">
        <v>43</v>
      </c>
      <c r="E26" s="258" t="s">
        <v>1635</v>
      </c>
      <c r="F26" s="86">
        <v>1530</v>
      </c>
      <c r="G26" s="86">
        <v>1730</v>
      </c>
      <c r="H26" s="261" t="s">
        <v>1364</v>
      </c>
      <c r="I26" s="140" t="s">
        <v>35</v>
      </c>
      <c r="J26" s="140" t="s">
        <v>36</v>
      </c>
      <c r="K26" s="258" t="s">
        <v>76</v>
      </c>
      <c r="L26" s="261" t="s">
        <v>255</v>
      </c>
      <c r="M26" s="94"/>
      <c r="N26" s="981" t="s">
        <v>1642</v>
      </c>
      <c r="O26" s="259" t="s">
        <v>40</v>
      </c>
      <c r="P26" s="408"/>
      <c r="Q26" s="801"/>
      <c r="R26" s="665">
        <v>500000</v>
      </c>
      <c r="S26" s="162">
        <f t="shared" si="6"/>
        <v>2</v>
      </c>
      <c r="T26" s="259"/>
      <c r="U26" s="665">
        <f t="shared" si="5"/>
        <v>1000000</v>
      </c>
      <c r="V26" s="710">
        <f t="shared" si="8"/>
        <v>1000000</v>
      </c>
      <c r="W26" s="90"/>
      <c r="X26" s="91"/>
      <c r="Y26" s="90"/>
    </row>
    <row r="27" spans="1:25" s="605" customFormat="1" ht="26">
      <c r="A27" s="728">
        <f t="shared" si="4"/>
        <v>21</v>
      </c>
      <c r="B27" s="728">
        <v>18</v>
      </c>
      <c r="C27" s="876" t="s">
        <v>1643</v>
      </c>
      <c r="D27" s="706" t="s">
        <v>75</v>
      </c>
      <c r="E27" s="876" t="s">
        <v>1635</v>
      </c>
      <c r="F27" s="911">
        <v>930</v>
      </c>
      <c r="G27" s="911">
        <v>1130</v>
      </c>
      <c r="H27" s="737" t="s">
        <v>1644</v>
      </c>
      <c r="I27" s="875" t="s">
        <v>35</v>
      </c>
      <c r="J27" s="875" t="s">
        <v>36</v>
      </c>
      <c r="K27" s="876" t="s">
        <v>76</v>
      </c>
      <c r="L27" s="737" t="s">
        <v>47</v>
      </c>
      <c r="M27" s="401"/>
      <c r="N27" s="989" t="s">
        <v>1645</v>
      </c>
      <c r="O27" s="706" t="s">
        <v>40</v>
      </c>
      <c r="P27" s="913"/>
      <c r="Q27" s="731"/>
      <c r="R27" s="732">
        <v>500000</v>
      </c>
      <c r="S27" s="531">
        <f t="shared" si="6"/>
        <v>2</v>
      </c>
      <c r="T27" s="733"/>
      <c r="U27" s="732">
        <f t="shared" si="5"/>
        <v>1000000</v>
      </c>
      <c r="V27" s="709">
        <f t="shared" si="8"/>
        <v>1000000</v>
      </c>
      <c r="X27" s="386">
        <f>(Q27+((S27-0)*R27))*((100-P27)/100)</f>
        <v>1000000</v>
      </c>
    </row>
    <row r="28" spans="1:25" s="605" customFormat="1" ht="26">
      <c r="A28" s="81">
        <f t="shared" si="4"/>
        <v>22</v>
      </c>
      <c r="B28" s="81">
        <v>19</v>
      </c>
      <c r="C28" s="258" t="s">
        <v>1646</v>
      </c>
      <c r="D28" s="259" t="s">
        <v>75</v>
      </c>
      <c r="E28" s="258" t="s">
        <v>1647</v>
      </c>
      <c r="F28" s="86">
        <v>1330</v>
      </c>
      <c r="G28" s="86">
        <v>1500</v>
      </c>
      <c r="H28" s="261" t="s">
        <v>1644</v>
      </c>
      <c r="I28" s="140" t="s">
        <v>35</v>
      </c>
      <c r="J28" s="140" t="s">
        <v>36</v>
      </c>
      <c r="K28" s="258" t="s">
        <v>76</v>
      </c>
      <c r="L28" s="261" t="s">
        <v>47</v>
      </c>
      <c r="M28" s="362"/>
      <c r="N28" s="990" t="s">
        <v>1648</v>
      </c>
      <c r="O28" s="259" t="s">
        <v>40</v>
      </c>
      <c r="P28" s="442"/>
      <c r="Q28" s="738"/>
      <c r="R28" s="665">
        <v>500000</v>
      </c>
      <c r="S28" s="162">
        <f>(G28-1350)/100</f>
        <v>1.5</v>
      </c>
      <c r="T28" s="259"/>
      <c r="U28" s="665">
        <f t="shared" si="5"/>
        <v>750000</v>
      </c>
      <c r="V28" s="707">
        <f t="shared" si="8"/>
        <v>750000</v>
      </c>
      <c r="W28" s="90"/>
      <c r="X28" s="91"/>
      <c r="Y28" s="90"/>
    </row>
    <row r="29" spans="1:25" s="605" customFormat="1">
      <c r="A29" s="729">
        <f t="shared" si="4"/>
        <v>23</v>
      </c>
      <c r="B29" s="729">
        <v>20</v>
      </c>
      <c r="C29" s="922" t="s">
        <v>1649</v>
      </c>
      <c r="D29" s="730" t="s">
        <v>75</v>
      </c>
      <c r="E29" s="922" t="s">
        <v>1650</v>
      </c>
      <c r="F29" s="923">
        <v>1645</v>
      </c>
      <c r="G29" s="923">
        <v>1715</v>
      </c>
      <c r="H29" s="743" t="s">
        <v>1651</v>
      </c>
      <c r="I29" s="924" t="s">
        <v>35</v>
      </c>
      <c r="J29" s="924" t="s">
        <v>36</v>
      </c>
      <c r="K29" s="925" t="s">
        <v>76</v>
      </c>
      <c r="L29" s="926" t="s">
        <v>266</v>
      </c>
      <c r="M29" s="886"/>
      <c r="N29" s="927" t="s">
        <v>1652</v>
      </c>
      <c r="O29" s="928" t="s">
        <v>40</v>
      </c>
      <c r="P29" s="929"/>
      <c r="Q29" s="758"/>
      <c r="R29" s="759">
        <v>500000</v>
      </c>
      <c r="S29" s="536">
        <f>(1725-1675)/100</f>
        <v>0.5</v>
      </c>
      <c r="T29" s="760"/>
      <c r="U29" s="759">
        <f t="shared" si="5"/>
        <v>250000</v>
      </c>
      <c r="V29" s="761">
        <f t="shared" si="8"/>
        <v>250000</v>
      </c>
    </row>
    <row r="30" spans="1:25" s="82" customFormat="1">
      <c r="A30" s="81">
        <f t="shared" si="4"/>
        <v>24</v>
      </c>
      <c r="B30" s="81">
        <v>21</v>
      </c>
      <c r="C30" s="258" t="s">
        <v>1653</v>
      </c>
      <c r="D30" s="259" t="s">
        <v>65</v>
      </c>
      <c r="E30" s="258" t="s">
        <v>1650</v>
      </c>
      <c r="F30" s="86">
        <v>1400</v>
      </c>
      <c r="G30" s="86">
        <v>1530</v>
      </c>
      <c r="H30" s="261" t="s">
        <v>1366</v>
      </c>
      <c r="I30" s="140" t="s">
        <v>35</v>
      </c>
      <c r="J30" s="140" t="s">
        <v>36</v>
      </c>
      <c r="K30" s="258" t="s">
        <v>61</v>
      </c>
      <c r="L30" s="261" t="s">
        <v>255</v>
      </c>
      <c r="M30" s="94"/>
      <c r="N30" s="903" t="s">
        <v>1654</v>
      </c>
      <c r="O30" s="259" t="s">
        <v>40</v>
      </c>
      <c r="P30" s="408"/>
      <c r="Q30" s="83"/>
      <c r="R30" s="738">
        <v>180000</v>
      </c>
      <c r="S30" s="162">
        <f>(1550-F30)/100</f>
        <v>1.5</v>
      </c>
      <c r="T30" s="259"/>
      <c r="U30" s="665">
        <f t="shared" si="5"/>
        <v>270000</v>
      </c>
      <c r="V30" s="710">
        <f t="shared" si="8"/>
        <v>270000</v>
      </c>
      <c r="W30" s="90"/>
      <c r="X30" s="91"/>
      <c r="Y30" s="90"/>
    </row>
    <row r="31" spans="1:25" s="82" customFormat="1">
      <c r="A31" s="81">
        <f t="shared" si="4"/>
        <v>25</v>
      </c>
      <c r="B31" s="81">
        <v>22</v>
      </c>
      <c r="C31" s="258" t="s">
        <v>1655</v>
      </c>
      <c r="D31" s="259" t="s">
        <v>43</v>
      </c>
      <c r="E31" s="258" t="s">
        <v>1650</v>
      </c>
      <c r="F31" s="86">
        <v>1600</v>
      </c>
      <c r="G31" s="86">
        <v>1700</v>
      </c>
      <c r="H31" s="261" t="s">
        <v>1364</v>
      </c>
      <c r="I31" s="140" t="s">
        <v>35</v>
      </c>
      <c r="J31" s="140" t="s">
        <v>36</v>
      </c>
      <c r="K31" s="258" t="s">
        <v>76</v>
      </c>
      <c r="L31" s="261" t="s">
        <v>255</v>
      </c>
      <c r="M31" s="94"/>
      <c r="N31" s="903" t="s">
        <v>1656</v>
      </c>
      <c r="O31" s="259" t="s">
        <v>40</v>
      </c>
      <c r="P31" s="442"/>
      <c r="Q31" s="137"/>
      <c r="R31" s="665">
        <v>500000</v>
      </c>
      <c r="S31" s="162">
        <f t="shared" si="6"/>
        <v>1</v>
      </c>
      <c r="T31" s="94"/>
      <c r="U31" s="665">
        <f t="shared" si="5"/>
        <v>500000</v>
      </c>
      <c r="V31" s="710">
        <f t="shared" si="8"/>
        <v>500000</v>
      </c>
      <c r="X31" s="426">
        <f>V31*((100-P31)/100)</f>
        <v>500000</v>
      </c>
    </row>
    <row r="32" spans="1:25" s="82" customFormat="1" ht="13">
      <c r="A32" s="729">
        <f t="shared" si="4"/>
        <v>26</v>
      </c>
      <c r="B32" s="729">
        <v>23</v>
      </c>
      <c r="C32" s="922" t="s">
        <v>1657</v>
      </c>
      <c r="D32" s="730" t="s">
        <v>375</v>
      </c>
      <c r="E32" s="922" t="s">
        <v>1650</v>
      </c>
      <c r="F32" s="923">
        <v>1000</v>
      </c>
      <c r="G32" s="923">
        <v>1100</v>
      </c>
      <c r="H32" s="743" t="s">
        <v>1658</v>
      </c>
      <c r="I32" s="924" t="s">
        <v>35</v>
      </c>
      <c r="J32" s="924" t="s">
        <v>36</v>
      </c>
      <c r="K32" s="925" t="s">
        <v>37</v>
      </c>
      <c r="L32" s="926" t="s">
        <v>47</v>
      </c>
      <c r="M32" s="431"/>
      <c r="N32" s="931" t="s">
        <v>1659</v>
      </c>
      <c r="O32" s="928" t="s">
        <v>174</v>
      </c>
      <c r="P32" s="929"/>
      <c r="Q32" s="776"/>
      <c r="R32" s="535"/>
      <c r="S32" s="536">
        <f t="shared" si="6"/>
        <v>1</v>
      </c>
      <c r="T32" s="730"/>
      <c r="U32" s="538">
        <f t="shared" si="5"/>
        <v>0</v>
      </c>
      <c r="V32" s="539">
        <f t="shared" si="8"/>
        <v>0</v>
      </c>
      <c r="W32" s="90"/>
      <c r="X32" s="426">
        <f>V32*((100-P32)/100)</f>
        <v>0</v>
      </c>
      <c r="Y32" s="90"/>
    </row>
    <row r="33" spans="1:25" s="82" customFormat="1" ht="13">
      <c r="A33" s="81">
        <f t="shared" si="4"/>
        <v>27</v>
      </c>
      <c r="B33" s="81">
        <v>24</v>
      </c>
      <c r="C33" s="258" t="s">
        <v>1660</v>
      </c>
      <c r="D33" s="259" t="s">
        <v>43</v>
      </c>
      <c r="E33" s="258" t="s">
        <v>1650</v>
      </c>
      <c r="F33" s="86">
        <v>1000</v>
      </c>
      <c r="G33" s="86">
        <v>1200</v>
      </c>
      <c r="H33" s="261" t="s">
        <v>1364</v>
      </c>
      <c r="I33" s="140" t="s">
        <v>35</v>
      </c>
      <c r="J33" s="140" t="s">
        <v>36</v>
      </c>
      <c r="K33" s="258" t="s">
        <v>76</v>
      </c>
      <c r="L33" s="261" t="s">
        <v>255</v>
      </c>
      <c r="M33" s="355"/>
      <c r="N33" s="933" t="s">
        <v>1661</v>
      </c>
      <c r="O33" s="259" t="s">
        <v>40</v>
      </c>
      <c r="P33" s="442"/>
      <c r="Q33" s="802"/>
      <c r="R33" s="665">
        <v>500000</v>
      </c>
      <c r="S33" s="162">
        <f t="shared" si="6"/>
        <v>2</v>
      </c>
      <c r="T33" s="259"/>
      <c r="U33" s="665">
        <f t="shared" si="5"/>
        <v>1000000</v>
      </c>
      <c r="V33" s="710">
        <f t="shared" si="8"/>
        <v>1000000</v>
      </c>
      <c r="W33" s="90"/>
      <c r="X33" s="426">
        <f>V33*((100-P33)/100)</f>
        <v>1000000</v>
      </c>
      <c r="Y33" s="90"/>
    </row>
    <row r="34" spans="1:25" s="82" customFormat="1">
      <c r="A34" s="81">
        <f t="shared" si="4"/>
        <v>28</v>
      </c>
      <c r="B34" s="81">
        <v>25</v>
      </c>
      <c r="C34" s="258" t="s">
        <v>1662</v>
      </c>
      <c r="D34" s="259" t="s">
        <v>43</v>
      </c>
      <c r="E34" s="258" t="s">
        <v>1647</v>
      </c>
      <c r="F34" s="86">
        <v>1000</v>
      </c>
      <c r="G34" s="86">
        <v>1130</v>
      </c>
      <c r="H34" s="261" t="s">
        <v>1364</v>
      </c>
      <c r="I34" s="140" t="s">
        <v>35</v>
      </c>
      <c r="J34" s="140" t="s">
        <v>36</v>
      </c>
      <c r="K34" s="258" t="s">
        <v>76</v>
      </c>
      <c r="L34" s="261" t="s">
        <v>255</v>
      </c>
      <c r="M34" s="94"/>
      <c r="N34" s="903" t="s">
        <v>1663</v>
      </c>
      <c r="O34" s="259" t="s">
        <v>40</v>
      </c>
      <c r="P34" s="408"/>
      <c r="Q34" s="83"/>
      <c r="R34" s="665">
        <v>500000</v>
      </c>
      <c r="S34" s="162">
        <f>(1150-F34)/100</f>
        <v>1.5</v>
      </c>
      <c r="T34" s="259"/>
      <c r="U34" s="665">
        <f t="shared" si="5"/>
        <v>750000</v>
      </c>
      <c r="V34" s="710">
        <f t="shared" si="8"/>
        <v>750000</v>
      </c>
      <c r="W34" s="90"/>
      <c r="X34" s="91"/>
      <c r="Y34" s="90"/>
    </row>
    <row r="35" spans="1:25" s="82" customFormat="1" ht="14">
      <c r="A35" s="81">
        <f t="shared" si="4"/>
        <v>29</v>
      </c>
      <c r="B35" s="81">
        <v>26</v>
      </c>
      <c r="C35" s="258" t="s">
        <v>1664</v>
      </c>
      <c r="D35" s="259" t="s">
        <v>43</v>
      </c>
      <c r="E35" s="258" t="s">
        <v>1635</v>
      </c>
      <c r="F35" s="86">
        <v>1400</v>
      </c>
      <c r="G35" s="86">
        <v>1530</v>
      </c>
      <c r="H35" s="261" t="s">
        <v>1364</v>
      </c>
      <c r="I35" s="140" t="s">
        <v>35</v>
      </c>
      <c r="J35" s="140" t="s">
        <v>36</v>
      </c>
      <c r="K35" s="258" t="s">
        <v>76</v>
      </c>
      <c r="L35" s="261" t="s">
        <v>255</v>
      </c>
      <c r="M35" s="94"/>
      <c r="N35" s="933" t="s">
        <v>1665</v>
      </c>
      <c r="O35" s="259" t="s">
        <v>40</v>
      </c>
      <c r="P35" s="408"/>
      <c r="Q35" s="83"/>
      <c r="R35" s="665">
        <v>500000</v>
      </c>
      <c r="S35" s="162">
        <f>(1550-F35)/100</f>
        <v>1.5</v>
      </c>
      <c r="T35" s="259"/>
      <c r="U35" s="665">
        <f t="shared" si="5"/>
        <v>750000</v>
      </c>
      <c r="V35" s="710">
        <f t="shared" si="8"/>
        <v>750000</v>
      </c>
      <c r="W35" s="90"/>
      <c r="X35" s="91"/>
      <c r="Y35" s="90"/>
    </row>
    <row r="36" spans="1:25" s="82" customFormat="1" ht="13">
      <c r="A36" s="81">
        <f t="shared" si="4"/>
        <v>30</v>
      </c>
      <c r="B36" s="81">
        <v>27</v>
      </c>
      <c r="C36" s="258" t="s">
        <v>1666</v>
      </c>
      <c r="D36" s="259" t="s">
        <v>43</v>
      </c>
      <c r="E36" s="258" t="s">
        <v>1635</v>
      </c>
      <c r="F36" s="86">
        <v>1000</v>
      </c>
      <c r="G36" s="86">
        <v>1130</v>
      </c>
      <c r="H36" s="261" t="s">
        <v>1364</v>
      </c>
      <c r="I36" s="140" t="s">
        <v>35</v>
      </c>
      <c r="J36" s="140" t="s">
        <v>36</v>
      </c>
      <c r="K36" s="258" t="s">
        <v>76</v>
      </c>
      <c r="L36" s="261" t="s">
        <v>255</v>
      </c>
      <c r="M36" s="94"/>
      <c r="N36" s="933" t="s">
        <v>1667</v>
      </c>
      <c r="O36" s="259" t="s">
        <v>40</v>
      </c>
      <c r="P36" s="261"/>
      <c r="Q36" s="83"/>
      <c r="R36" s="665">
        <v>500000</v>
      </c>
      <c r="S36" s="162">
        <f>(1130-F36)/100</f>
        <v>1.3</v>
      </c>
      <c r="T36" s="259"/>
      <c r="U36" s="665">
        <f t="shared" si="5"/>
        <v>650000</v>
      </c>
      <c r="V36" s="710">
        <f t="shared" si="8"/>
        <v>650000</v>
      </c>
      <c r="W36" s="90"/>
      <c r="X36" s="91"/>
      <c r="Y36" s="90"/>
    </row>
    <row r="37" spans="1:25" s="82" customFormat="1" ht="13">
      <c r="A37" s="671">
        <f t="shared" si="4"/>
        <v>31</v>
      </c>
      <c r="B37" s="671">
        <v>28</v>
      </c>
      <c r="C37" s="670" t="s">
        <v>1668</v>
      </c>
      <c r="D37" s="669" t="s">
        <v>43</v>
      </c>
      <c r="E37" s="670" t="s">
        <v>1647</v>
      </c>
      <c r="F37" s="668">
        <v>1400</v>
      </c>
      <c r="G37" s="668">
        <v>1530</v>
      </c>
      <c r="H37" s="667" t="s">
        <v>1364</v>
      </c>
      <c r="I37" s="140" t="s">
        <v>35</v>
      </c>
      <c r="J37" s="140" t="s">
        <v>36</v>
      </c>
      <c r="K37" s="670" t="s">
        <v>76</v>
      </c>
      <c r="L37" s="261" t="s">
        <v>255</v>
      </c>
      <c r="M37" s="666"/>
      <c r="N37" s="803" t="s">
        <v>1669</v>
      </c>
      <c r="O37" s="669" t="s">
        <v>40</v>
      </c>
      <c r="P37" s="667"/>
      <c r="Q37" s="977"/>
      <c r="R37" s="665">
        <v>500000</v>
      </c>
      <c r="S37" s="162">
        <f>(1550-F37)/100</f>
        <v>1.5</v>
      </c>
      <c r="T37" s="669"/>
      <c r="U37" s="976">
        <f t="shared" si="5"/>
        <v>750000</v>
      </c>
      <c r="V37" s="710">
        <f t="shared" si="8"/>
        <v>750000</v>
      </c>
      <c r="W37" s="90"/>
      <c r="X37" s="91"/>
      <c r="Y37" s="90"/>
    </row>
    <row r="38" spans="1:25" s="82" customFormat="1">
      <c r="A38" s="777">
        <f t="shared" si="4"/>
        <v>32</v>
      </c>
      <c r="B38" s="777">
        <v>29</v>
      </c>
      <c r="C38" s="778" t="s">
        <v>1670</v>
      </c>
      <c r="D38" s="762" t="s">
        <v>43</v>
      </c>
      <c r="E38" s="779" t="s">
        <v>1647</v>
      </c>
      <c r="F38" s="780">
        <v>1030</v>
      </c>
      <c r="G38" s="780">
        <v>1145</v>
      </c>
      <c r="H38" s="763" t="s">
        <v>1364</v>
      </c>
      <c r="I38" s="924" t="s">
        <v>35</v>
      </c>
      <c r="J38" s="924" t="s">
        <v>36</v>
      </c>
      <c r="K38" s="781" t="s">
        <v>76</v>
      </c>
      <c r="L38" s="926" t="s">
        <v>255</v>
      </c>
      <c r="M38" s="672"/>
      <c r="N38" s="782" t="s">
        <v>1671</v>
      </c>
      <c r="O38" s="783" t="s">
        <v>174</v>
      </c>
      <c r="P38" s="763"/>
      <c r="Q38" s="991"/>
      <c r="R38" s="992"/>
      <c r="S38" s="536">
        <f>(1175-1050)/100</f>
        <v>1.25</v>
      </c>
      <c r="T38" s="762"/>
      <c r="U38" s="993">
        <f t="shared" si="5"/>
        <v>0</v>
      </c>
      <c r="V38" s="784">
        <f t="shared" si="8"/>
        <v>0</v>
      </c>
      <c r="W38" s="90"/>
      <c r="X38" s="91"/>
      <c r="Y38" s="90"/>
    </row>
    <row r="39" spans="1:25" s="82" customFormat="1">
      <c r="A39" s="81">
        <f t="shared" si="4"/>
        <v>33</v>
      </c>
      <c r="B39" s="81">
        <v>30</v>
      </c>
      <c r="C39" s="258" t="s">
        <v>1672</v>
      </c>
      <c r="D39" s="259" t="s">
        <v>32</v>
      </c>
      <c r="E39" s="258" t="s">
        <v>1673</v>
      </c>
      <c r="F39" s="86">
        <v>1400</v>
      </c>
      <c r="G39" s="86">
        <v>1600</v>
      </c>
      <c r="H39" s="261" t="s">
        <v>1364</v>
      </c>
      <c r="I39" s="140" t="s">
        <v>35</v>
      </c>
      <c r="J39" s="140" t="s">
        <v>36</v>
      </c>
      <c r="K39" s="258" t="s">
        <v>37</v>
      </c>
      <c r="L39" s="261" t="s">
        <v>255</v>
      </c>
      <c r="M39" s="355"/>
      <c r="N39" s="903" t="s">
        <v>1674</v>
      </c>
      <c r="O39" s="259" t="s">
        <v>40</v>
      </c>
      <c r="P39" s="261"/>
      <c r="Q39" s="83"/>
      <c r="R39" s="665">
        <v>950000</v>
      </c>
      <c r="S39" s="162">
        <f t="shared" si="6"/>
        <v>2</v>
      </c>
      <c r="T39" s="259"/>
      <c r="U39" s="665">
        <f t="shared" si="5"/>
        <v>1900000</v>
      </c>
      <c r="V39" s="710">
        <f t="shared" si="8"/>
        <v>1900000</v>
      </c>
      <c r="W39" s="90"/>
      <c r="X39" s="91"/>
      <c r="Y39" s="90"/>
    </row>
    <row r="40" spans="1:25" s="82" customFormat="1" ht="26">
      <c r="A40" s="729">
        <f t="shared" si="4"/>
        <v>34</v>
      </c>
      <c r="B40" s="729">
        <v>31</v>
      </c>
      <c r="C40" s="922">
        <v>4507</v>
      </c>
      <c r="D40" s="762" t="s">
        <v>43</v>
      </c>
      <c r="E40" s="922" t="s">
        <v>1675</v>
      </c>
      <c r="F40" s="923">
        <v>1500</v>
      </c>
      <c r="G40" s="923">
        <v>1700</v>
      </c>
      <c r="H40" s="743" t="s">
        <v>1676</v>
      </c>
      <c r="I40" s="924" t="s">
        <v>35</v>
      </c>
      <c r="J40" s="924" t="s">
        <v>36</v>
      </c>
      <c r="K40" s="925">
        <v>2</v>
      </c>
      <c r="L40" s="743" t="s">
        <v>284</v>
      </c>
      <c r="M40" s="785"/>
      <c r="N40" s="944" t="s">
        <v>1677</v>
      </c>
      <c r="O40" s="928" t="s">
        <v>40</v>
      </c>
      <c r="P40" s="743"/>
      <c r="Q40" s="786"/>
      <c r="R40" s="538">
        <v>500000</v>
      </c>
      <c r="S40" s="536">
        <f t="shared" si="6"/>
        <v>2</v>
      </c>
      <c r="T40" s="730"/>
      <c r="U40" s="538">
        <f t="shared" si="5"/>
        <v>1000000</v>
      </c>
      <c r="V40" s="539">
        <f t="shared" si="8"/>
        <v>1000000</v>
      </c>
      <c r="W40" s="90"/>
      <c r="X40" s="91"/>
      <c r="Y40" s="90"/>
    </row>
    <row r="41" spans="1:25" s="82" customFormat="1">
      <c r="A41" s="81">
        <f t="shared" si="4"/>
        <v>35</v>
      </c>
      <c r="B41" s="81">
        <v>32</v>
      </c>
      <c r="C41" s="258">
        <v>4506</v>
      </c>
      <c r="D41" s="669" t="s">
        <v>32</v>
      </c>
      <c r="E41" s="258" t="s">
        <v>1675</v>
      </c>
      <c r="F41" s="86">
        <v>1400</v>
      </c>
      <c r="G41" s="86">
        <v>1600</v>
      </c>
      <c r="H41" s="261" t="s">
        <v>1516</v>
      </c>
      <c r="I41" s="140" t="s">
        <v>35</v>
      </c>
      <c r="J41" s="140" t="s">
        <v>36</v>
      </c>
      <c r="K41" s="258">
        <v>12</v>
      </c>
      <c r="L41" s="261" t="s">
        <v>255</v>
      </c>
      <c r="M41" s="405"/>
      <c r="N41" s="903" t="s">
        <v>1678</v>
      </c>
      <c r="O41" s="259" t="s">
        <v>40</v>
      </c>
      <c r="P41" s="261"/>
      <c r="Q41" s="83"/>
      <c r="R41" s="665">
        <v>950000</v>
      </c>
      <c r="S41" s="162">
        <f t="shared" si="6"/>
        <v>2</v>
      </c>
      <c r="T41" s="259"/>
      <c r="U41" s="665">
        <f t="shared" si="5"/>
        <v>1900000</v>
      </c>
      <c r="V41" s="710">
        <f t="shared" si="8"/>
        <v>1900000</v>
      </c>
      <c r="W41" s="90"/>
      <c r="X41" s="386">
        <f>(Q41+((S41-4)*R41))*((100-P41)/100)</f>
        <v>-1900000</v>
      </c>
      <c r="Y41" s="90"/>
    </row>
    <row r="42" spans="1:25" s="82" customFormat="1">
      <c r="A42" s="728">
        <f t="shared" si="4"/>
        <v>36</v>
      </c>
      <c r="B42" s="728">
        <v>33</v>
      </c>
      <c r="C42" s="876">
        <v>4505</v>
      </c>
      <c r="D42" s="734" t="s">
        <v>65</v>
      </c>
      <c r="E42" s="876" t="s">
        <v>1675</v>
      </c>
      <c r="F42" s="911">
        <v>1300</v>
      </c>
      <c r="G42" s="911">
        <v>1430</v>
      </c>
      <c r="H42" s="737" t="s">
        <v>1366</v>
      </c>
      <c r="I42" s="875" t="s">
        <v>35</v>
      </c>
      <c r="J42" s="875" t="s">
        <v>36</v>
      </c>
      <c r="K42" s="915">
        <v>1</v>
      </c>
      <c r="L42" s="700" t="s">
        <v>255</v>
      </c>
      <c r="M42" s="787"/>
      <c r="N42" s="916" t="s">
        <v>1679</v>
      </c>
      <c r="O42" s="874" t="s">
        <v>174</v>
      </c>
      <c r="P42" s="737"/>
      <c r="Q42" s="603"/>
      <c r="R42" s="705"/>
      <c r="S42" s="531">
        <f t="shared" si="6"/>
        <v>1.3</v>
      </c>
      <c r="T42" s="282"/>
      <c r="U42" s="532">
        <f t="shared" si="5"/>
        <v>0</v>
      </c>
      <c r="V42" s="533">
        <f t="shared" si="8"/>
        <v>0</v>
      </c>
    </row>
    <row r="43" spans="1:25" s="82" customFormat="1">
      <c r="A43" s="748">
        <f t="shared" si="4"/>
        <v>37</v>
      </c>
      <c r="B43" s="712">
        <v>34</v>
      </c>
      <c r="C43" s="896">
        <v>4504</v>
      </c>
      <c r="D43" s="714" t="s">
        <v>32</v>
      </c>
      <c r="E43" s="896" t="s">
        <v>1675</v>
      </c>
      <c r="F43" s="720">
        <v>1100</v>
      </c>
      <c r="G43" s="720">
        <v>1200</v>
      </c>
      <c r="H43" s="422" t="s">
        <v>127</v>
      </c>
      <c r="I43" s="721" t="s">
        <v>35</v>
      </c>
      <c r="J43" s="721" t="s">
        <v>36</v>
      </c>
      <c r="K43" s="897">
        <v>12</v>
      </c>
      <c r="L43" s="699" t="s">
        <v>89</v>
      </c>
      <c r="M43" s="715"/>
      <c r="N43" s="453" t="s">
        <v>1680</v>
      </c>
      <c r="O43" s="899" t="s">
        <v>40</v>
      </c>
      <c r="P43" s="674"/>
      <c r="Q43" s="994"/>
      <c r="R43" s="538">
        <v>950000</v>
      </c>
      <c r="S43" s="701">
        <f t="shared" si="6"/>
        <v>1</v>
      </c>
      <c r="T43" s="847"/>
      <c r="U43" s="985">
        <f t="shared" si="5"/>
        <v>950000</v>
      </c>
      <c r="V43" s="625">
        <f t="shared" si="8"/>
        <v>950000</v>
      </c>
    </row>
    <row r="44" spans="1:25" s="82" customFormat="1" ht="26">
      <c r="A44" s="81">
        <f t="shared" si="4"/>
        <v>38</v>
      </c>
      <c r="B44" s="81">
        <v>35</v>
      </c>
      <c r="C44" s="258">
        <v>4502</v>
      </c>
      <c r="D44" s="669" t="s">
        <v>43</v>
      </c>
      <c r="E44" s="258" t="s">
        <v>1673</v>
      </c>
      <c r="F44" s="86">
        <v>1600</v>
      </c>
      <c r="G44" s="86">
        <v>1700</v>
      </c>
      <c r="H44" s="261" t="s">
        <v>1681</v>
      </c>
      <c r="I44" s="140" t="s">
        <v>35</v>
      </c>
      <c r="J44" s="140" t="s">
        <v>36</v>
      </c>
      <c r="K44" s="258">
        <v>6</v>
      </c>
      <c r="L44" s="261" t="s">
        <v>47</v>
      </c>
      <c r="M44" s="405"/>
      <c r="N44" s="903" t="s">
        <v>1682</v>
      </c>
      <c r="O44" s="259" t="s">
        <v>40</v>
      </c>
      <c r="P44" s="261"/>
      <c r="Q44" s="83"/>
      <c r="R44" s="665">
        <v>500000</v>
      </c>
      <c r="S44" s="162">
        <f t="shared" si="6"/>
        <v>1</v>
      </c>
      <c r="T44" s="94"/>
      <c r="U44" s="665">
        <f t="shared" si="5"/>
        <v>500000</v>
      </c>
      <c r="V44" s="707">
        <f t="shared" si="8"/>
        <v>500000</v>
      </c>
    </row>
    <row r="45" spans="1:25" s="82" customFormat="1" ht="26">
      <c r="A45" s="712">
        <f t="shared" si="4"/>
        <v>39</v>
      </c>
      <c r="B45" s="712">
        <v>36</v>
      </c>
      <c r="C45" s="896">
        <v>4501</v>
      </c>
      <c r="D45" s="714" t="s">
        <v>43</v>
      </c>
      <c r="E45" s="896" t="s">
        <v>1675</v>
      </c>
      <c r="F45" s="720">
        <v>1300</v>
      </c>
      <c r="G45" s="720">
        <v>1400</v>
      </c>
      <c r="H45" s="422" t="s">
        <v>1683</v>
      </c>
      <c r="I45" s="721" t="s">
        <v>35</v>
      </c>
      <c r="J45" s="721" t="s">
        <v>36</v>
      </c>
      <c r="K45" s="896">
        <v>6</v>
      </c>
      <c r="L45" s="422" t="s">
        <v>47</v>
      </c>
      <c r="M45" s="721"/>
      <c r="N45" s="939" t="s">
        <v>1684</v>
      </c>
      <c r="O45" s="702" t="s">
        <v>40</v>
      </c>
      <c r="P45" s="422"/>
      <c r="Q45" s="425"/>
      <c r="R45" s="756">
        <v>500000</v>
      </c>
      <c r="S45" s="701">
        <f t="shared" si="6"/>
        <v>1</v>
      </c>
      <c r="T45" s="804"/>
      <c r="U45" s="756">
        <f t="shared" si="5"/>
        <v>500000</v>
      </c>
      <c r="V45" s="757">
        <f t="shared" si="8"/>
        <v>500000</v>
      </c>
    </row>
    <row r="46" spans="1:25" s="631" customFormat="1" ht="26">
      <c r="A46" s="671">
        <f t="shared" si="4"/>
        <v>40</v>
      </c>
      <c r="B46" s="81">
        <v>37</v>
      </c>
      <c r="C46" s="258">
        <v>4496</v>
      </c>
      <c r="D46" s="669" t="s">
        <v>32</v>
      </c>
      <c r="E46" s="258" t="s">
        <v>1685</v>
      </c>
      <c r="F46" s="86">
        <v>1400</v>
      </c>
      <c r="G46" s="86">
        <v>1800</v>
      </c>
      <c r="H46" s="261" t="s">
        <v>1132</v>
      </c>
      <c r="I46" s="140" t="s">
        <v>35</v>
      </c>
      <c r="J46" s="140" t="s">
        <v>36</v>
      </c>
      <c r="K46" s="258">
        <v>14</v>
      </c>
      <c r="L46" s="261" t="s">
        <v>172</v>
      </c>
      <c r="M46" s="140" t="s">
        <v>1562</v>
      </c>
      <c r="N46" s="903" t="s">
        <v>1686</v>
      </c>
      <c r="O46" s="259" t="s">
        <v>40</v>
      </c>
      <c r="P46" s="667"/>
      <c r="Q46" s="977">
        <f>R46*3</f>
        <v>2850000</v>
      </c>
      <c r="R46" s="665">
        <v>950000</v>
      </c>
      <c r="S46" s="162">
        <f t="shared" si="6"/>
        <v>4</v>
      </c>
      <c r="T46" s="669"/>
      <c r="U46" s="976">
        <f t="shared" si="5"/>
        <v>3800000</v>
      </c>
      <c r="V46" s="888">
        <f>(Q46+((S46-4)*R46))*((100-P46)/100)</f>
        <v>2850000</v>
      </c>
      <c r="W46" s="995"/>
      <c r="X46" s="849"/>
      <c r="Y46" s="995"/>
    </row>
    <row r="47" spans="1:25" s="82" customFormat="1">
      <c r="A47" s="765">
        <f t="shared" si="4"/>
        <v>41</v>
      </c>
      <c r="B47" s="728">
        <v>38</v>
      </c>
      <c r="C47" s="876">
        <v>4495</v>
      </c>
      <c r="D47" s="734" t="s">
        <v>43</v>
      </c>
      <c r="E47" s="876" t="s">
        <v>1687</v>
      </c>
      <c r="F47" s="911">
        <v>1500</v>
      </c>
      <c r="G47" s="911">
        <v>1700</v>
      </c>
      <c r="H47" s="737" t="s">
        <v>1366</v>
      </c>
      <c r="I47" s="875" t="s">
        <v>35</v>
      </c>
      <c r="J47" s="875" t="s">
        <v>36</v>
      </c>
      <c r="K47" s="876">
        <v>6</v>
      </c>
      <c r="L47" s="737" t="s">
        <v>255</v>
      </c>
      <c r="M47" s="875"/>
      <c r="N47" s="912" t="s">
        <v>1688</v>
      </c>
      <c r="O47" s="706" t="s">
        <v>40</v>
      </c>
      <c r="P47" s="735"/>
      <c r="Q47" s="996"/>
      <c r="R47" s="732">
        <v>500000</v>
      </c>
      <c r="S47" s="531">
        <f t="shared" si="6"/>
        <v>2</v>
      </c>
      <c r="T47" s="734"/>
      <c r="U47" s="997">
        <f t="shared" si="5"/>
        <v>1000000</v>
      </c>
      <c r="V47" s="809">
        <f t="shared" ref="V47" si="9">(Q47+((S47-0)*R47))*((100-P47)/100)</f>
        <v>1000000</v>
      </c>
      <c r="W47" s="90"/>
      <c r="X47" s="91"/>
      <c r="Y47" s="90"/>
    </row>
    <row r="48" spans="1:25" s="82" customFormat="1">
      <c r="A48" s="765">
        <f t="shared" si="4"/>
        <v>42</v>
      </c>
      <c r="B48" s="728">
        <v>39</v>
      </c>
      <c r="C48" s="876">
        <v>4494</v>
      </c>
      <c r="D48" s="734" t="s">
        <v>32</v>
      </c>
      <c r="E48" s="876" t="s">
        <v>1687</v>
      </c>
      <c r="F48" s="911">
        <v>930</v>
      </c>
      <c r="G48" s="911">
        <v>1030</v>
      </c>
      <c r="H48" s="737" t="s">
        <v>1689</v>
      </c>
      <c r="I48" s="875" t="s">
        <v>35</v>
      </c>
      <c r="J48" s="875" t="s">
        <v>36</v>
      </c>
      <c r="K48" s="915">
        <v>12</v>
      </c>
      <c r="L48" s="700" t="s">
        <v>484</v>
      </c>
      <c r="M48" s="875"/>
      <c r="N48" s="916" t="s">
        <v>1690</v>
      </c>
      <c r="O48" s="874" t="s">
        <v>40</v>
      </c>
      <c r="P48" s="735" t="s">
        <v>41</v>
      </c>
      <c r="Q48" s="788"/>
      <c r="R48" s="532">
        <v>950000</v>
      </c>
      <c r="S48" s="531">
        <f t="shared" si="6"/>
        <v>1</v>
      </c>
      <c r="T48" s="789"/>
      <c r="U48" s="993">
        <f t="shared" si="5"/>
        <v>0</v>
      </c>
      <c r="V48" s="784">
        <f t="shared" si="8"/>
        <v>0</v>
      </c>
    </row>
    <row r="49" spans="1:25" s="82" customFormat="1">
      <c r="A49" s="712">
        <f t="shared" si="4"/>
        <v>43</v>
      </c>
      <c r="B49" s="712">
        <v>40</v>
      </c>
      <c r="C49" s="896">
        <v>4493</v>
      </c>
      <c r="D49" s="714" t="s">
        <v>32</v>
      </c>
      <c r="E49" s="896" t="s">
        <v>1675</v>
      </c>
      <c r="F49" s="720">
        <v>900</v>
      </c>
      <c r="G49" s="720">
        <v>1100</v>
      </c>
      <c r="H49" s="422" t="s">
        <v>127</v>
      </c>
      <c r="I49" s="721" t="s">
        <v>36</v>
      </c>
      <c r="J49" s="721" t="s">
        <v>36</v>
      </c>
      <c r="K49" s="897">
        <v>12</v>
      </c>
      <c r="L49" s="699" t="s">
        <v>89</v>
      </c>
      <c r="M49" s="721"/>
      <c r="N49" s="453">
        <v>45210.455787037034</v>
      </c>
      <c r="O49" s="899" t="s">
        <v>40</v>
      </c>
      <c r="P49" s="422"/>
      <c r="Q49" s="764"/>
      <c r="R49" s="538">
        <v>950000</v>
      </c>
      <c r="S49" s="701">
        <f t="shared" si="6"/>
        <v>2</v>
      </c>
      <c r="T49" s="417"/>
      <c r="U49" s="716">
        <f t="shared" si="5"/>
        <v>1900000</v>
      </c>
      <c r="V49" s="704">
        <f t="shared" si="8"/>
        <v>1900000</v>
      </c>
      <c r="X49" s="386">
        <f>(Q49+((S49-0)*R49))*((100-P49)/100)</f>
        <v>1900000</v>
      </c>
    </row>
    <row r="50" spans="1:25" s="82" customFormat="1">
      <c r="A50" s="81">
        <f t="shared" si="4"/>
        <v>44</v>
      </c>
      <c r="B50" s="81">
        <v>41</v>
      </c>
      <c r="C50" s="258">
        <v>4492</v>
      </c>
      <c r="D50" s="669" t="s">
        <v>43</v>
      </c>
      <c r="E50" s="258" t="s">
        <v>1691</v>
      </c>
      <c r="F50" s="86">
        <v>1500</v>
      </c>
      <c r="G50" s="86">
        <v>1700</v>
      </c>
      <c r="H50" s="261" t="s">
        <v>1366</v>
      </c>
      <c r="I50" s="140" t="s">
        <v>35</v>
      </c>
      <c r="J50" s="140" t="s">
        <v>36</v>
      </c>
      <c r="K50" s="258">
        <v>6</v>
      </c>
      <c r="L50" s="261" t="s">
        <v>255</v>
      </c>
      <c r="M50" s="140"/>
      <c r="N50" s="903">
        <v>45180.649675925924</v>
      </c>
      <c r="O50" s="259" t="s">
        <v>40</v>
      </c>
      <c r="P50" s="261"/>
      <c r="Q50" s="83"/>
      <c r="R50" s="665">
        <v>500000</v>
      </c>
      <c r="S50" s="162">
        <f t="shared" si="6"/>
        <v>2</v>
      </c>
      <c r="T50" s="259"/>
      <c r="U50" s="665">
        <f t="shared" si="5"/>
        <v>1000000</v>
      </c>
      <c r="V50" s="710">
        <f t="shared" si="8"/>
        <v>1000000</v>
      </c>
      <c r="W50" s="90"/>
      <c r="X50" s="91"/>
      <c r="Y50" s="90"/>
    </row>
    <row r="51" spans="1:25" s="82" customFormat="1" ht="26">
      <c r="A51" s="777">
        <f t="shared" si="4"/>
        <v>45</v>
      </c>
      <c r="B51" s="729">
        <v>42</v>
      </c>
      <c r="C51" s="922">
        <v>4491</v>
      </c>
      <c r="D51" s="762" t="s">
        <v>43</v>
      </c>
      <c r="E51" s="922" t="s">
        <v>1673</v>
      </c>
      <c r="F51" s="923">
        <v>1400</v>
      </c>
      <c r="G51" s="923">
        <v>1600</v>
      </c>
      <c r="H51" s="743" t="s">
        <v>1692</v>
      </c>
      <c r="I51" s="924" t="s">
        <v>35</v>
      </c>
      <c r="J51" s="924" t="s">
        <v>36</v>
      </c>
      <c r="K51" s="922">
        <v>7</v>
      </c>
      <c r="L51" s="743" t="s">
        <v>47</v>
      </c>
      <c r="M51" s="924"/>
      <c r="N51" s="947">
        <v>45180.631886574076</v>
      </c>
      <c r="O51" s="730" t="s">
        <v>40</v>
      </c>
      <c r="P51" s="763"/>
      <c r="Q51" s="998"/>
      <c r="R51" s="759">
        <v>500000</v>
      </c>
      <c r="S51" s="536">
        <f t="shared" si="6"/>
        <v>2</v>
      </c>
      <c r="T51" s="762"/>
      <c r="U51" s="999">
        <f t="shared" si="5"/>
        <v>1000000</v>
      </c>
      <c r="V51" s="761">
        <f t="shared" si="8"/>
        <v>1000000</v>
      </c>
      <c r="W51" s="90"/>
      <c r="X51" s="91"/>
      <c r="Y51" s="90"/>
    </row>
    <row r="52" spans="1:25" s="82" customFormat="1">
      <c r="A52" s="748">
        <f t="shared" si="4"/>
        <v>46</v>
      </c>
      <c r="B52" s="712">
        <v>43</v>
      </c>
      <c r="C52" s="896">
        <v>4490</v>
      </c>
      <c r="D52" s="714" t="s">
        <v>43</v>
      </c>
      <c r="E52" s="896" t="s">
        <v>1691</v>
      </c>
      <c r="F52" s="720">
        <v>1030</v>
      </c>
      <c r="G52" s="720">
        <v>1100</v>
      </c>
      <c r="H52" s="422" t="s">
        <v>1366</v>
      </c>
      <c r="I52" s="721" t="s">
        <v>35</v>
      </c>
      <c r="J52" s="721" t="s">
        <v>36</v>
      </c>
      <c r="K52" s="896">
        <v>6</v>
      </c>
      <c r="L52" s="422" t="s">
        <v>255</v>
      </c>
      <c r="M52" s="721"/>
      <c r="N52" s="939">
        <v>45180.479502314818</v>
      </c>
      <c r="O52" s="702" t="s">
        <v>40</v>
      </c>
      <c r="P52" s="674"/>
      <c r="Q52" s="884"/>
      <c r="R52" s="756">
        <v>500000</v>
      </c>
      <c r="S52" s="701">
        <f>(G52-1050)/100</f>
        <v>0.5</v>
      </c>
      <c r="T52" s="847"/>
      <c r="U52" s="885">
        <f t="shared" si="5"/>
        <v>250000</v>
      </c>
      <c r="V52" s="805">
        <f t="shared" si="8"/>
        <v>250000</v>
      </c>
    </row>
    <row r="53" spans="1:25" s="82" customFormat="1" ht="26">
      <c r="A53" s="815">
        <f t="shared" si="4"/>
        <v>47</v>
      </c>
      <c r="B53" s="81">
        <v>44</v>
      </c>
      <c r="C53" s="258">
        <v>4489</v>
      </c>
      <c r="D53" s="669" t="s">
        <v>43</v>
      </c>
      <c r="E53" s="258" t="s">
        <v>1693</v>
      </c>
      <c r="F53" s="86">
        <v>900</v>
      </c>
      <c r="G53" s="86">
        <v>1600</v>
      </c>
      <c r="H53" s="261" t="s">
        <v>1694</v>
      </c>
      <c r="I53" s="140" t="s">
        <v>35</v>
      </c>
      <c r="J53" s="140" t="s">
        <v>36</v>
      </c>
      <c r="K53" s="258">
        <v>6</v>
      </c>
      <c r="L53" s="261" t="s">
        <v>172</v>
      </c>
      <c r="M53" s="140"/>
      <c r="N53" s="903">
        <v>45088.510300925926</v>
      </c>
      <c r="O53" s="259" t="s">
        <v>40</v>
      </c>
      <c r="P53" s="816">
        <f>5/7*100</f>
        <v>71.428571428571431</v>
      </c>
      <c r="Q53" s="817"/>
      <c r="R53" s="665">
        <v>500000</v>
      </c>
      <c r="S53" s="162">
        <f t="shared" si="6"/>
        <v>7</v>
      </c>
      <c r="T53" s="818"/>
      <c r="U53" s="976">
        <f t="shared" ref="U53" si="10">S53*R53*(100-P53)/100</f>
        <v>1000000</v>
      </c>
      <c r="V53" s="888">
        <f>(Q53+((S53-0)*R53))*((100-P53)/100)</f>
        <v>1000000</v>
      </c>
    </row>
    <row r="54" spans="1:25" s="82" customFormat="1" ht="26">
      <c r="A54" s="810">
        <f t="shared" si="4"/>
        <v>48</v>
      </c>
      <c r="B54" s="729">
        <v>45</v>
      </c>
      <c r="C54" s="922">
        <v>4488</v>
      </c>
      <c r="D54" s="762" t="s">
        <v>32</v>
      </c>
      <c r="E54" s="922" t="s">
        <v>1693</v>
      </c>
      <c r="F54" s="923">
        <v>900</v>
      </c>
      <c r="G54" s="923">
        <v>1600</v>
      </c>
      <c r="H54" s="743" t="s">
        <v>1694</v>
      </c>
      <c r="I54" s="924" t="s">
        <v>35</v>
      </c>
      <c r="J54" s="924" t="s">
        <v>36</v>
      </c>
      <c r="K54" s="925">
        <v>14</v>
      </c>
      <c r="L54" s="708" t="s">
        <v>172</v>
      </c>
      <c r="M54" s="924"/>
      <c r="N54" s="944">
        <v>45088.500486111108</v>
      </c>
      <c r="O54" s="928" t="s">
        <v>174</v>
      </c>
      <c r="P54" s="949"/>
      <c r="Q54" s="811">
        <f>R54*6</f>
        <v>0</v>
      </c>
      <c r="R54" s="812"/>
      <c r="S54" s="536">
        <f t="shared" si="6"/>
        <v>7</v>
      </c>
      <c r="T54" s="813"/>
      <c r="U54" s="812">
        <f t="shared" si="5"/>
        <v>0</v>
      </c>
      <c r="V54" s="814">
        <f>Q54+((S54-8)*R54)</f>
        <v>0</v>
      </c>
    </row>
    <row r="55" spans="1:25" s="82" customFormat="1" ht="26">
      <c r="A55" s="81">
        <f t="shared" si="4"/>
        <v>49</v>
      </c>
      <c r="B55" s="81">
        <v>46</v>
      </c>
      <c r="C55" s="258">
        <v>4487</v>
      </c>
      <c r="D55" s="669" t="s">
        <v>43</v>
      </c>
      <c r="E55" s="269">
        <v>45149</v>
      </c>
      <c r="F55" s="86">
        <v>900</v>
      </c>
      <c r="G55" s="86">
        <v>1800</v>
      </c>
      <c r="H55" s="261" t="s">
        <v>1695</v>
      </c>
      <c r="I55" s="140" t="s">
        <v>35</v>
      </c>
      <c r="J55" s="140" t="s">
        <v>36</v>
      </c>
      <c r="K55" s="258">
        <v>6</v>
      </c>
      <c r="L55" s="261" t="s">
        <v>47</v>
      </c>
      <c r="M55" s="140"/>
      <c r="N55" s="903">
        <v>45088.432615740741</v>
      </c>
      <c r="O55" s="259" t="s">
        <v>40</v>
      </c>
      <c r="P55" s="261"/>
      <c r="Q55" s="83">
        <f>R55*6</f>
        <v>3000000</v>
      </c>
      <c r="R55" s="665">
        <v>500000</v>
      </c>
      <c r="S55" s="162">
        <f t="shared" si="6"/>
        <v>9</v>
      </c>
      <c r="T55" s="259"/>
      <c r="U55" s="665">
        <f t="shared" si="5"/>
        <v>4500000</v>
      </c>
      <c r="V55" s="707">
        <f>(Q55+((S55-8)*R55))*((100-P55)/100)</f>
        <v>3500000</v>
      </c>
      <c r="W55" s="388"/>
      <c r="X55" s="386">
        <f>(Q55+((S55-0)*R55))*((100-P55)/100)</f>
        <v>7500000</v>
      </c>
      <c r="Y55" s="90"/>
    </row>
    <row r="56" spans="1:25" s="605" customFormat="1" ht="26">
      <c r="A56" s="671">
        <f t="shared" si="4"/>
        <v>50</v>
      </c>
      <c r="B56" s="81">
        <v>47</v>
      </c>
      <c r="C56" s="258">
        <v>4486</v>
      </c>
      <c r="D56" s="669" t="s">
        <v>32</v>
      </c>
      <c r="E56" s="269">
        <v>45118</v>
      </c>
      <c r="F56" s="86">
        <v>1400</v>
      </c>
      <c r="G56" s="86">
        <v>1800</v>
      </c>
      <c r="H56" s="261" t="s">
        <v>1695</v>
      </c>
      <c r="I56" s="358" t="s">
        <v>35</v>
      </c>
      <c r="J56" s="358" t="s">
        <v>36</v>
      </c>
      <c r="K56" s="258">
        <v>12</v>
      </c>
      <c r="L56" s="261" t="s">
        <v>47</v>
      </c>
      <c r="M56" s="358"/>
      <c r="N56" s="921">
        <v>45088.432129629633</v>
      </c>
      <c r="O56" s="259" t="s">
        <v>40</v>
      </c>
      <c r="P56" s="667"/>
      <c r="Q56" s="739">
        <f>R56*3</f>
        <v>2850000</v>
      </c>
      <c r="R56" s="665">
        <v>950000</v>
      </c>
      <c r="S56" s="162">
        <f t="shared" si="6"/>
        <v>4</v>
      </c>
      <c r="T56" s="669"/>
      <c r="U56" s="976">
        <f t="shared" si="5"/>
        <v>3800000</v>
      </c>
      <c r="V56" s="707">
        <f>(Q56+((S56-4)*R56))*((100-P56)/100)</f>
        <v>2850000</v>
      </c>
      <c r="W56" s="90"/>
      <c r="X56" s="91"/>
      <c r="Y56" s="90"/>
    </row>
    <row r="57" spans="1:25" s="823" customFormat="1" ht="26">
      <c r="A57" s="1000">
        <f t="shared" si="4"/>
        <v>51</v>
      </c>
      <c r="B57" s="1001">
        <v>48</v>
      </c>
      <c r="C57" s="1002">
        <v>4485</v>
      </c>
      <c r="D57" s="819" t="s">
        <v>32</v>
      </c>
      <c r="E57" s="1003">
        <v>45118</v>
      </c>
      <c r="F57" s="1004">
        <v>930</v>
      </c>
      <c r="G57" s="1004">
        <v>1230</v>
      </c>
      <c r="H57" s="1005" t="s">
        <v>1695</v>
      </c>
      <c r="I57" s="953" t="s">
        <v>35</v>
      </c>
      <c r="J57" s="953" t="s">
        <v>36</v>
      </c>
      <c r="K57" s="1002">
        <v>12</v>
      </c>
      <c r="L57" s="506" t="s">
        <v>1696</v>
      </c>
      <c r="M57" s="953"/>
      <c r="N57" s="1006">
        <v>45088.431886574072</v>
      </c>
      <c r="O57" s="1007" t="s">
        <v>40</v>
      </c>
      <c r="P57" s="829">
        <f>2/3*100</f>
        <v>66.666666666666657</v>
      </c>
      <c r="Q57" s="1008"/>
      <c r="R57" s="820">
        <v>950000</v>
      </c>
      <c r="S57" s="821">
        <f t="shared" si="6"/>
        <v>3</v>
      </c>
      <c r="T57" s="1009"/>
      <c r="U57" s="1010">
        <f t="shared" si="5"/>
        <v>950000.00000000035</v>
      </c>
      <c r="V57" s="822">
        <f>(Q57+((S57-0)*R57))*((100-P57)/100)</f>
        <v>950000.00000000023</v>
      </c>
      <c r="X57" s="516">
        <f>(Q57+((S57-0)*R57))*((100-P57)/100)</f>
        <v>950000.00000000023</v>
      </c>
    </row>
    <row r="58" spans="1:25" s="82" customFormat="1">
      <c r="A58" s="81">
        <f t="shared" si="4"/>
        <v>52</v>
      </c>
      <c r="B58" s="81">
        <v>49</v>
      </c>
      <c r="C58" s="258">
        <v>4484</v>
      </c>
      <c r="D58" s="669" t="s">
        <v>32</v>
      </c>
      <c r="E58" s="269">
        <v>45088</v>
      </c>
      <c r="F58" s="86">
        <v>930</v>
      </c>
      <c r="G58" s="86">
        <v>1200</v>
      </c>
      <c r="H58" s="261" t="s">
        <v>1364</v>
      </c>
      <c r="I58" s="140" t="s">
        <v>35</v>
      </c>
      <c r="J58" s="140" t="s">
        <v>36</v>
      </c>
      <c r="K58" s="258">
        <v>12</v>
      </c>
      <c r="L58" s="261" t="s">
        <v>255</v>
      </c>
      <c r="M58" s="140"/>
      <c r="N58" s="903">
        <v>45088.42292824074</v>
      </c>
      <c r="O58" s="259" t="s">
        <v>40</v>
      </c>
      <c r="P58" s="261"/>
      <c r="Q58" s="83"/>
      <c r="R58" s="665">
        <v>950000</v>
      </c>
      <c r="S58" s="162">
        <f>(G58-950)/100</f>
        <v>2.5</v>
      </c>
      <c r="T58" s="94"/>
      <c r="U58" s="665">
        <f t="shared" si="5"/>
        <v>2375000</v>
      </c>
      <c r="V58" s="710">
        <f t="shared" ref="V58" si="11">(Q58+((S58-0)*R58))*((100-P58)/100)</f>
        <v>2375000</v>
      </c>
    </row>
    <row r="59" spans="1:25" s="620" customFormat="1" ht="26">
      <c r="A59" s="790">
        <f t="shared" si="4"/>
        <v>53</v>
      </c>
      <c r="B59" s="728">
        <v>50</v>
      </c>
      <c r="C59" s="876">
        <v>4483</v>
      </c>
      <c r="D59" s="734" t="s">
        <v>43</v>
      </c>
      <c r="E59" s="954">
        <v>45210</v>
      </c>
      <c r="F59" s="911">
        <v>930</v>
      </c>
      <c r="G59" s="911">
        <v>1300</v>
      </c>
      <c r="H59" s="737" t="s">
        <v>1697</v>
      </c>
      <c r="I59" s="875" t="s">
        <v>35</v>
      </c>
      <c r="J59" s="875" t="s">
        <v>36</v>
      </c>
      <c r="K59" s="915">
        <v>6</v>
      </c>
      <c r="L59" s="700" t="s">
        <v>47</v>
      </c>
      <c r="M59" s="875"/>
      <c r="N59" s="916">
        <v>44996.770173611112</v>
      </c>
      <c r="O59" s="874" t="s">
        <v>174</v>
      </c>
      <c r="P59" s="791"/>
      <c r="Q59" s="792"/>
      <c r="R59" s="793"/>
      <c r="S59" s="531">
        <f>(G59-950)/100</f>
        <v>3.5</v>
      </c>
      <c r="T59" s="794"/>
      <c r="U59" s="795">
        <f t="shared" si="5"/>
        <v>0</v>
      </c>
      <c r="V59" s="796">
        <f>Q59+((S59-0)*R59)</f>
        <v>0</v>
      </c>
    </row>
    <row r="60" spans="1:25" s="82" customFormat="1" ht="29.15" customHeight="1">
      <c r="A60" s="748">
        <f t="shared" si="4"/>
        <v>54</v>
      </c>
      <c r="B60" s="712">
        <v>51</v>
      </c>
      <c r="C60" s="896">
        <v>4482</v>
      </c>
      <c r="D60" s="714" t="s">
        <v>43</v>
      </c>
      <c r="E60" s="952">
        <v>45180</v>
      </c>
      <c r="F60" s="720">
        <v>930</v>
      </c>
      <c r="G60" s="720">
        <v>1230</v>
      </c>
      <c r="H60" s="422" t="s">
        <v>1697</v>
      </c>
      <c r="I60" s="721" t="s">
        <v>35</v>
      </c>
      <c r="J60" s="721" t="s">
        <v>36</v>
      </c>
      <c r="K60" s="897">
        <v>6</v>
      </c>
      <c r="L60" s="699" t="s">
        <v>47</v>
      </c>
      <c r="M60" s="721"/>
      <c r="N60" s="453">
        <v>44996.769953703704</v>
      </c>
      <c r="O60" s="899" t="s">
        <v>174</v>
      </c>
      <c r="P60" s="717"/>
      <c r="Q60" s="1011"/>
      <c r="R60" s="1011"/>
      <c r="S60" s="701">
        <f t="shared" si="6"/>
        <v>3</v>
      </c>
      <c r="T60" s="714"/>
      <c r="U60" s="985">
        <f t="shared" si="5"/>
        <v>0</v>
      </c>
      <c r="V60" s="625">
        <f t="shared" ref="V60" si="12">(Q60+((S60-0)*R60))*((100-P60)/100)</f>
        <v>0</v>
      </c>
      <c r="W60" s="90"/>
      <c r="X60" s="386">
        <f>(Q60+((S60-0)*R60))*((100-P60)/100)</f>
        <v>0</v>
      </c>
      <c r="Y60" s="90"/>
    </row>
    <row r="61" spans="1:25" s="823" customFormat="1" ht="26">
      <c r="A61" s="859">
        <f t="shared" si="4"/>
        <v>55</v>
      </c>
      <c r="B61" s="502">
        <v>52</v>
      </c>
      <c r="C61" s="503">
        <v>4481</v>
      </c>
      <c r="D61" s="824" t="s">
        <v>32</v>
      </c>
      <c r="E61" s="955">
        <v>44937</v>
      </c>
      <c r="F61" s="505">
        <v>1330</v>
      </c>
      <c r="G61" s="505">
        <v>1630</v>
      </c>
      <c r="H61" s="506" t="s">
        <v>1698</v>
      </c>
      <c r="I61" s="507" t="s">
        <v>35</v>
      </c>
      <c r="J61" s="507" t="s">
        <v>36</v>
      </c>
      <c r="K61" s="503">
        <v>12</v>
      </c>
      <c r="L61" s="506" t="s">
        <v>1696</v>
      </c>
      <c r="M61" s="507"/>
      <c r="N61" s="956" t="s">
        <v>1699</v>
      </c>
      <c r="O61" s="504" t="s">
        <v>40</v>
      </c>
      <c r="P61" s="825" t="s">
        <v>41</v>
      </c>
      <c r="Q61" s="826"/>
      <c r="R61" s="827">
        <v>950000</v>
      </c>
      <c r="S61" s="514">
        <f t="shared" si="6"/>
        <v>3</v>
      </c>
      <c r="T61" s="860"/>
      <c r="U61" s="861">
        <f t="shared" si="5"/>
        <v>0</v>
      </c>
      <c r="V61" s="828">
        <f>(Q61+((S61-0)*R61))*((100-P61)/100)</f>
        <v>0</v>
      </c>
      <c r="X61" s="516">
        <f>(Q61+((S61-0)*R61))*((100-P61)/100)</f>
        <v>0</v>
      </c>
    </row>
    <row r="62" spans="1:25" s="82" customFormat="1" ht="26">
      <c r="A62" s="728">
        <f t="shared" si="4"/>
        <v>56</v>
      </c>
      <c r="B62" s="728">
        <v>53</v>
      </c>
      <c r="C62" s="876">
        <v>4480</v>
      </c>
      <c r="D62" s="734" t="s">
        <v>32</v>
      </c>
      <c r="E62" s="954">
        <v>44937</v>
      </c>
      <c r="F62" s="911">
        <v>1330</v>
      </c>
      <c r="G62" s="911">
        <v>1630</v>
      </c>
      <c r="H62" s="737" t="s">
        <v>1698</v>
      </c>
      <c r="I62" s="875" t="s">
        <v>35</v>
      </c>
      <c r="J62" s="875" t="s">
        <v>36</v>
      </c>
      <c r="K62" s="915">
        <v>12</v>
      </c>
      <c r="L62" s="700" t="s">
        <v>47</v>
      </c>
      <c r="M62" s="875"/>
      <c r="N62" s="916" t="s">
        <v>1700</v>
      </c>
      <c r="O62" s="874" t="s">
        <v>174</v>
      </c>
      <c r="P62" s="737"/>
      <c r="Q62" s="659"/>
      <c r="R62" s="660"/>
      <c r="S62" s="531">
        <f t="shared" si="6"/>
        <v>3</v>
      </c>
      <c r="T62" s="354"/>
      <c r="U62" s="736">
        <f t="shared" si="5"/>
        <v>0</v>
      </c>
      <c r="V62" s="533">
        <f>(Q62+((S62-0)*R62))*((100-P62)/100)</f>
        <v>0</v>
      </c>
      <c r="X62" s="386">
        <f>(Q62+((S62-0)*R62))*((100-P62)/100)</f>
        <v>0</v>
      </c>
    </row>
    <row r="63" spans="1:25" s="82" customFormat="1" ht="26">
      <c r="A63" s="81">
        <f t="shared" si="4"/>
        <v>57</v>
      </c>
      <c r="B63" s="81">
        <v>54</v>
      </c>
      <c r="C63" s="258">
        <v>4478</v>
      </c>
      <c r="D63" s="669" t="s">
        <v>32</v>
      </c>
      <c r="E63" s="258" t="s">
        <v>1685</v>
      </c>
      <c r="F63" s="86">
        <v>1600</v>
      </c>
      <c r="G63" s="86">
        <v>1800</v>
      </c>
      <c r="H63" s="261" t="s">
        <v>1579</v>
      </c>
      <c r="I63" s="140" t="s">
        <v>35</v>
      </c>
      <c r="J63" s="140" t="s">
        <v>36</v>
      </c>
      <c r="K63" s="315">
        <v>14</v>
      </c>
      <c r="L63" s="687" t="s">
        <v>172</v>
      </c>
      <c r="M63" s="140" t="s">
        <v>1580</v>
      </c>
      <c r="N63" s="448" t="s">
        <v>1701</v>
      </c>
      <c r="O63" s="433" t="s">
        <v>174</v>
      </c>
      <c r="P63" s="261"/>
      <c r="Q63" s="275"/>
      <c r="R63" s="530"/>
      <c r="S63" s="162">
        <f t="shared" si="6"/>
        <v>2</v>
      </c>
      <c r="T63" s="282"/>
      <c r="U63" s="532">
        <f t="shared" si="5"/>
        <v>0</v>
      </c>
      <c r="V63" s="534">
        <f t="shared" ref="V63:V64" si="13">Q63+((S63-0)*R63)</f>
        <v>0</v>
      </c>
      <c r="X63" s="386">
        <f>(Q63+((S63-0)*R63))*((100-P63)/100)</f>
        <v>0</v>
      </c>
    </row>
    <row r="64" spans="1:25" s="82" customFormat="1" ht="26">
      <c r="A64" s="748">
        <f t="shared" si="4"/>
        <v>58</v>
      </c>
      <c r="B64" s="712">
        <v>55</v>
      </c>
      <c r="C64" s="896">
        <v>4477</v>
      </c>
      <c r="D64" s="714" t="s">
        <v>32</v>
      </c>
      <c r="E64" s="952">
        <v>45210</v>
      </c>
      <c r="F64" s="720">
        <v>1600</v>
      </c>
      <c r="G64" s="720">
        <v>1800</v>
      </c>
      <c r="H64" s="422" t="s">
        <v>1579</v>
      </c>
      <c r="I64" s="721" t="s">
        <v>35</v>
      </c>
      <c r="J64" s="721" t="s">
        <v>36</v>
      </c>
      <c r="K64" s="897">
        <v>14</v>
      </c>
      <c r="L64" s="699" t="s">
        <v>172</v>
      </c>
      <c r="M64" s="721" t="s">
        <v>1580</v>
      </c>
      <c r="N64" s="453" t="s">
        <v>1702</v>
      </c>
      <c r="O64" s="899" t="s">
        <v>174</v>
      </c>
      <c r="P64" s="674"/>
      <c r="Q64" s="984"/>
      <c r="R64" s="984"/>
      <c r="S64" s="701">
        <f t="shared" si="6"/>
        <v>2</v>
      </c>
      <c r="T64" s="847"/>
      <c r="U64" s="985">
        <f t="shared" si="5"/>
        <v>0</v>
      </c>
      <c r="V64" s="625">
        <f t="shared" si="13"/>
        <v>0</v>
      </c>
    </row>
    <row r="65" spans="1:25" s="82" customFormat="1" ht="26">
      <c r="A65" s="81">
        <f t="shared" si="4"/>
        <v>59</v>
      </c>
      <c r="B65" s="81">
        <v>56</v>
      </c>
      <c r="C65" s="258">
        <v>4476</v>
      </c>
      <c r="D65" s="669" t="s">
        <v>32</v>
      </c>
      <c r="E65" s="269">
        <v>44996</v>
      </c>
      <c r="F65" s="86">
        <v>1600</v>
      </c>
      <c r="G65" s="86">
        <v>1800</v>
      </c>
      <c r="H65" s="261" t="s">
        <v>1579</v>
      </c>
      <c r="I65" s="140" t="s">
        <v>35</v>
      </c>
      <c r="J65" s="140" t="s">
        <v>36</v>
      </c>
      <c r="K65" s="258">
        <v>14</v>
      </c>
      <c r="L65" s="261" t="s">
        <v>172</v>
      </c>
      <c r="M65" s="140" t="s">
        <v>1580</v>
      </c>
      <c r="N65" s="903" t="s">
        <v>1703</v>
      </c>
      <c r="O65" s="259" t="s">
        <v>40</v>
      </c>
      <c r="P65" s="261"/>
      <c r="Q65" s="83"/>
      <c r="R65" s="665">
        <v>950000</v>
      </c>
      <c r="S65" s="162">
        <f t="shared" si="6"/>
        <v>2</v>
      </c>
      <c r="T65" s="94"/>
      <c r="U65" s="665">
        <f t="shared" si="5"/>
        <v>1900000</v>
      </c>
      <c r="V65" s="707">
        <f t="shared" ref="V65" si="14">(Q65+((S65-0)*R65))*((100-P65)/100)</f>
        <v>1900000</v>
      </c>
      <c r="X65" s="386">
        <f>(Q65+((S65-0)*R65))*((100-P65)/100)</f>
        <v>1900000</v>
      </c>
    </row>
    <row r="66" spans="1:25" s="82" customFormat="1" ht="26">
      <c r="A66" s="728">
        <f t="shared" si="4"/>
        <v>60</v>
      </c>
      <c r="B66" s="728">
        <v>57</v>
      </c>
      <c r="C66" s="876">
        <v>4460</v>
      </c>
      <c r="D66" s="734" t="s">
        <v>32</v>
      </c>
      <c r="E66" s="954">
        <v>45180</v>
      </c>
      <c r="F66" s="911">
        <v>900</v>
      </c>
      <c r="G66" s="911">
        <v>1730</v>
      </c>
      <c r="H66" s="737" t="s">
        <v>1704</v>
      </c>
      <c r="I66" s="875" t="s">
        <v>35</v>
      </c>
      <c r="J66" s="875" t="s">
        <v>36</v>
      </c>
      <c r="K66" s="876">
        <v>6</v>
      </c>
      <c r="L66" s="737" t="s">
        <v>47</v>
      </c>
      <c r="M66" s="875"/>
      <c r="N66" s="912" t="s">
        <v>1705</v>
      </c>
      <c r="O66" s="706" t="s">
        <v>40</v>
      </c>
      <c r="P66" s="737"/>
      <c r="Q66" s="731">
        <f>R66*6</f>
        <v>5700000</v>
      </c>
      <c r="R66" s="732">
        <v>950000</v>
      </c>
      <c r="S66" s="531">
        <f t="shared" ref="S66:S72" si="15">(1750-F66)/100</f>
        <v>8.5</v>
      </c>
      <c r="T66" s="282"/>
      <c r="U66" s="732">
        <f t="shared" si="5"/>
        <v>8075000</v>
      </c>
      <c r="V66" s="709">
        <f t="shared" ref="V66:V71" si="16">(Q66+((S66-8)*R66))*((100-P66)/100)</f>
        <v>6175000</v>
      </c>
      <c r="X66" s="386">
        <f>(Q66+((S66-0)*R66))*((100-P66)/100)</f>
        <v>13775000</v>
      </c>
    </row>
    <row r="67" spans="1:25" s="82" customFormat="1" ht="26">
      <c r="A67" s="81">
        <f t="shared" si="4"/>
        <v>61</v>
      </c>
      <c r="B67" s="81">
        <v>58</v>
      </c>
      <c r="C67" s="258">
        <v>4459</v>
      </c>
      <c r="D67" s="669" t="s">
        <v>32</v>
      </c>
      <c r="E67" s="269">
        <v>45149</v>
      </c>
      <c r="F67" s="86">
        <v>900</v>
      </c>
      <c r="G67" s="86">
        <v>1730</v>
      </c>
      <c r="H67" s="261" t="s">
        <v>1704</v>
      </c>
      <c r="I67" s="140" t="s">
        <v>35</v>
      </c>
      <c r="J67" s="140" t="s">
        <v>36</v>
      </c>
      <c r="K67" s="258">
        <v>12</v>
      </c>
      <c r="L67" s="261" t="s">
        <v>47</v>
      </c>
      <c r="M67" s="140"/>
      <c r="N67" s="903" t="s">
        <v>1706</v>
      </c>
      <c r="O67" s="259" t="s">
        <v>40</v>
      </c>
      <c r="P67" s="261"/>
      <c r="Q67" s="83">
        <f t="shared" ref="Q67:Q72" si="17">R67*6</f>
        <v>5700000</v>
      </c>
      <c r="R67" s="665">
        <v>950000</v>
      </c>
      <c r="S67" s="162">
        <f t="shared" si="15"/>
        <v>8.5</v>
      </c>
      <c r="T67" s="94"/>
      <c r="U67" s="665">
        <f t="shared" si="5"/>
        <v>8075000</v>
      </c>
      <c r="V67" s="707">
        <f t="shared" si="16"/>
        <v>6175000</v>
      </c>
    </row>
    <row r="68" spans="1:25" s="82" customFormat="1" ht="26">
      <c r="A68" s="81">
        <f t="shared" si="4"/>
        <v>62</v>
      </c>
      <c r="B68" s="81">
        <v>59</v>
      </c>
      <c r="C68" s="258">
        <v>4458</v>
      </c>
      <c r="D68" s="669" t="s">
        <v>75</v>
      </c>
      <c r="E68" s="269">
        <v>45118</v>
      </c>
      <c r="F68" s="86">
        <v>900</v>
      </c>
      <c r="G68" s="86">
        <v>1730</v>
      </c>
      <c r="H68" s="261" t="s">
        <v>1704</v>
      </c>
      <c r="I68" s="140" t="s">
        <v>35</v>
      </c>
      <c r="J68" s="140" t="s">
        <v>36</v>
      </c>
      <c r="K68" s="258">
        <v>6</v>
      </c>
      <c r="L68" s="261" t="s">
        <v>47</v>
      </c>
      <c r="M68" s="140"/>
      <c r="N68" s="903" t="s">
        <v>1707</v>
      </c>
      <c r="O68" s="259" t="s">
        <v>40</v>
      </c>
      <c r="P68" s="261"/>
      <c r="Q68" s="83">
        <f t="shared" si="17"/>
        <v>3000000</v>
      </c>
      <c r="R68" s="665">
        <v>500000</v>
      </c>
      <c r="S68" s="162">
        <f t="shared" si="15"/>
        <v>8.5</v>
      </c>
      <c r="T68" s="94"/>
      <c r="U68" s="665">
        <f t="shared" si="5"/>
        <v>4250000</v>
      </c>
      <c r="V68" s="707">
        <f t="shared" si="16"/>
        <v>3250000</v>
      </c>
    </row>
    <row r="69" spans="1:25" s="82" customFormat="1" ht="26">
      <c r="A69" s="671">
        <f t="shared" si="4"/>
        <v>63</v>
      </c>
      <c r="B69" s="81">
        <v>60</v>
      </c>
      <c r="C69" s="258">
        <v>4457</v>
      </c>
      <c r="D69" s="669" t="s">
        <v>43</v>
      </c>
      <c r="E69" s="269">
        <v>45118</v>
      </c>
      <c r="F69" s="86">
        <v>900</v>
      </c>
      <c r="G69" s="86">
        <v>1730</v>
      </c>
      <c r="H69" s="261" t="s">
        <v>1704</v>
      </c>
      <c r="I69" s="140" t="s">
        <v>35</v>
      </c>
      <c r="J69" s="140" t="s">
        <v>36</v>
      </c>
      <c r="K69" s="258">
        <v>6</v>
      </c>
      <c r="L69" s="261" t="s">
        <v>47</v>
      </c>
      <c r="M69" s="140"/>
      <c r="N69" s="903" t="s">
        <v>1708</v>
      </c>
      <c r="O69" s="259" t="s">
        <v>40</v>
      </c>
      <c r="P69" s="667"/>
      <c r="Q69" s="83">
        <f t="shared" si="17"/>
        <v>3000000</v>
      </c>
      <c r="R69" s="665">
        <v>500000</v>
      </c>
      <c r="S69" s="162">
        <f t="shared" si="15"/>
        <v>8.5</v>
      </c>
      <c r="T69" s="666"/>
      <c r="U69" s="976">
        <f t="shared" si="5"/>
        <v>4250000</v>
      </c>
      <c r="V69" s="707">
        <f t="shared" si="16"/>
        <v>3250000</v>
      </c>
    </row>
    <row r="70" spans="1:25" s="82" customFormat="1" ht="29.15" customHeight="1">
      <c r="A70" s="499">
        <f t="shared" si="4"/>
        <v>64</v>
      </c>
      <c r="B70" s="81">
        <v>61</v>
      </c>
      <c r="C70" s="258" t="s">
        <v>1709</v>
      </c>
      <c r="D70" s="669" t="s">
        <v>32</v>
      </c>
      <c r="E70" s="269">
        <v>44968</v>
      </c>
      <c r="F70" s="86">
        <v>900</v>
      </c>
      <c r="G70" s="86">
        <v>1730</v>
      </c>
      <c r="H70" s="261" t="s">
        <v>1704</v>
      </c>
      <c r="I70" s="140" t="s">
        <v>35</v>
      </c>
      <c r="J70" s="140" t="s">
        <v>36</v>
      </c>
      <c r="K70" s="258" t="s">
        <v>37</v>
      </c>
      <c r="L70" s="261" t="s">
        <v>47</v>
      </c>
      <c r="M70" s="140"/>
      <c r="N70" s="903" t="s">
        <v>1710</v>
      </c>
      <c r="O70" s="259" t="s">
        <v>40</v>
      </c>
      <c r="P70" s="488"/>
      <c r="Q70" s="83">
        <f t="shared" si="17"/>
        <v>5700000</v>
      </c>
      <c r="R70" s="665">
        <v>950000</v>
      </c>
      <c r="S70" s="162">
        <f t="shared" si="15"/>
        <v>8.5</v>
      </c>
      <c r="T70" s="497"/>
      <c r="U70" s="740">
        <f t="shared" si="5"/>
        <v>8075000</v>
      </c>
      <c r="V70" s="707">
        <f t="shared" si="16"/>
        <v>6175000</v>
      </c>
      <c r="W70" s="90"/>
      <c r="X70" s="386">
        <f>(Q70+((S70-0)*R70))*((100-P70)/100)</f>
        <v>13775000</v>
      </c>
      <c r="Y70" s="90"/>
    </row>
    <row r="71" spans="1:25" s="82" customFormat="1" ht="26">
      <c r="A71" s="81">
        <f t="shared" si="4"/>
        <v>65</v>
      </c>
      <c r="B71" s="81">
        <v>62</v>
      </c>
      <c r="C71" s="258" t="s">
        <v>1711</v>
      </c>
      <c r="D71" s="669" t="s">
        <v>75</v>
      </c>
      <c r="E71" s="479">
        <v>44937</v>
      </c>
      <c r="F71" s="86" t="s">
        <v>1484</v>
      </c>
      <c r="G71" s="86" t="s">
        <v>1712</v>
      </c>
      <c r="H71" s="261" t="s">
        <v>1704</v>
      </c>
      <c r="I71" s="140" t="s">
        <v>35</v>
      </c>
      <c r="J71" s="140" t="s">
        <v>36</v>
      </c>
      <c r="K71" s="258" t="s">
        <v>76</v>
      </c>
      <c r="L71" s="261" t="s">
        <v>47</v>
      </c>
      <c r="M71" s="140"/>
      <c r="N71" s="409" t="s">
        <v>1713</v>
      </c>
      <c r="O71" s="259" t="s">
        <v>40</v>
      </c>
      <c r="P71" s="261"/>
      <c r="Q71" s="83">
        <f t="shared" si="17"/>
        <v>3000000</v>
      </c>
      <c r="R71" s="665">
        <v>500000</v>
      </c>
      <c r="S71" s="162">
        <f t="shared" si="15"/>
        <v>8.5</v>
      </c>
      <c r="T71" s="94"/>
      <c r="U71" s="665">
        <f t="shared" si="5"/>
        <v>4250000</v>
      </c>
      <c r="V71" s="707">
        <f t="shared" si="16"/>
        <v>3250000</v>
      </c>
      <c r="X71" s="386">
        <f>(Q71+((S71-0)*R71))*((100-P71)/100)</f>
        <v>7250000</v>
      </c>
    </row>
    <row r="72" spans="1:25" s="82" customFormat="1" ht="26">
      <c r="A72" s="81">
        <f t="shared" si="4"/>
        <v>66</v>
      </c>
      <c r="B72" s="81">
        <v>63</v>
      </c>
      <c r="C72" s="258">
        <v>4454</v>
      </c>
      <c r="D72" s="669" t="s">
        <v>43</v>
      </c>
      <c r="E72" s="102">
        <v>44937</v>
      </c>
      <c r="F72" s="86">
        <v>900</v>
      </c>
      <c r="G72" s="86">
        <v>1730</v>
      </c>
      <c r="H72" s="261" t="s">
        <v>1704</v>
      </c>
      <c r="I72" s="140" t="s">
        <v>35</v>
      </c>
      <c r="J72" s="140" t="s">
        <v>36</v>
      </c>
      <c r="K72" s="103">
        <v>6</v>
      </c>
      <c r="L72" s="261" t="s">
        <v>47</v>
      </c>
      <c r="M72" s="140"/>
      <c r="N72" s="119" t="s">
        <v>1714</v>
      </c>
      <c r="O72" s="94" t="s">
        <v>40</v>
      </c>
      <c r="P72" s="711"/>
      <c r="Q72" s="83">
        <f t="shared" si="17"/>
        <v>3000000</v>
      </c>
      <c r="R72" s="665">
        <v>500000</v>
      </c>
      <c r="S72" s="162">
        <f t="shared" si="15"/>
        <v>8.5</v>
      </c>
      <c r="T72" s="94"/>
      <c r="U72" s="665">
        <f t="shared" si="5"/>
        <v>4250000</v>
      </c>
      <c r="V72" s="707">
        <f>(Q72+((S72-8)*R72))*((100-P72)/100)</f>
        <v>3250000</v>
      </c>
      <c r="X72" s="386">
        <f>(Q72+((S72-0)*R72))*((100-P72)/100)</f>
        <v>7250000</v>
      </c>
    </row>
    <row r="73" spans="1:25" s="82" customFormat="1" ht="13">
      <c r="A73" s="729">
        <f t="shared" si="4"/>
        <v>67</v>
      </c>
      <c r="B73" s="729">
        <v>64</v>
      </c>
      <c r="C73" s="922">
        <v>4448</v>
      </c>
      <c r="D73" s="762" t="s">
        <v>43</v>
      </c>
      <c r="E73" s="962">
        <v>44996</v>
      </c>
      <c r="F73" s="923">
        <v>1000</v>
      </c>
      <c r="G73" s="923">
        <v>1100</v>
      </c>
      <c r="H73" s="743" t="s">
        <v>1315</v>
      </c>
      <c r="I73" s="924" t="s">
        <v>35</v>
      </c>
      <c r="J73" s="924" t="s">
        <v>36</v>
      </c>
      <c r="K73" s="963">
        <v>6</v>
      </c>
      <c r="L73" s="926" t="s">
        <v>1209</v>
      </c>
      <c r="M73" s="924"/>
      <c r="N73" s="964" t="s">
        <v>1715</v>
      </c>
      <c r="O73" s="965" t="s">
        <v>40</v>
      </c>
      <c r="P73" s="743"/>
      <c r="Q73" s="806"/>
      <c r="R73" s="538">
        <v>500000</v>
      </c>
      <c r="S73" s="536">
        <f t="shared" si="6"/>
        <v>1</v>
      </c>
      <c r="T73" s="431"/>
      <c r="U73" s="807">
        <f t="shared" si="5"/>
        <v>500000</v>
      </c>
      <c r="V73" s="808">
        <f t="shared" ref="V73:V75" si="18">(Q73+((S73-0)*R73))*((100-P73)/100)</f>
        <v>500000</v>
      </c>
      <c r="X73" s="386">
        <f>(Q73+((S73-0)*R73))*((100-P73)/100)</f>
        <v>500000</v>
      </c>
    </row>
    <row r="74" spans="1:25" s="82" customFormat="1" ht="26">
      <c r="A74" s="81">
        <f t="shared" si="4"/>
        <v>68</v>
      </c>
      <c r="B74" s="81">
        <v>65</v>
      </c>
      <c r="C74" s="258">
        <v>4445</v>
      </c>
      <c r="D74" s="669" t="s">
        <v>32</v>
      </c>
      <c r="E74" s="102">
        <v>44937</v>
      </c>
      <c r="F74" s="86">
        <v>900</v>
      </c>
      <c r="G74" s="86">
        <v>1200</v>
      </c>
      <c r="H74" s="261" t="s">
        <v>1694</v>
      </c>
      <c r="I74" s="140" t="s">
        <v>35</v>
      </c>
      <c r="J74" s="140" t="s">
        <v>36</v>
      </c>
      <c r="K74" s="103">
        <v>12</v>
      </c>
      <c r="L74" s="261" t="s">
        <v>172</v>
      </c>
      <c r="M74" s="140"/>
      <c r="N74" s="119" t="s">
        <v>1716</v>
      </c>
      <c r="O74" s="94" t="s">
        <v>40</v>
      </c>
      <c r="P74" s="261"/>
      <c r="Q74" s="83"/>
      <c r="R74" s="665">
        <v>950000</v>
      </c>
      <c r="S74" s="162">
        <f t="shared" si="6"/>
        <v>3</v>
      </c>
      <c r="T74" s="94"/>
      <c r="U74" s="665">
        <f t="shared" si="5"/>
        <v>2850000</v>
      </c>
      <c r="V74" s="707">
        <f t="shared" si="18"/>
        <v>2850000</v>
      </c>
    </row>
    <row r="75" spans="1:25" s="82" customFormat="1" ht="13">
      <c r="A75" s="728">
        <f t="shared" si="4"/>
        <v>69</v>
      </c>
      <c r="B75" s="728">
        <v>66</v>
      </c>
      <c r="C75" s="876">
        <v>4432</v>
      </c>
      <c r="D75" s="734" t="s">
        <v>32</v>
      </c>
      <c r="E75" s="967">
        <v>45210</v>
      </c>
      <c r="F75" s="911">
        <v>1000</v>
      </c>
      <c r="G75" s="911">
        <v>1300</v>
      </c>
      <c r="H75" s="737" t="s">
        <v>835</v>
      </c>
      <c r="I75" s="875" t="s">
        <v>35</v>
      </c>
      <c r="J75" s="875" t="s">
        <v>36</v>
      </c>
      <c r="K75" s="968">
        <v>12</v>
      </c>
      <c r="L75" s="737" t="s">
        <v>112</v>
      </c>
      <c r="M75" s="875"/>
      <c r="N75" s="456">
        <v>45270.621168981481</v>
      </c>
      <c r="O75" s="874" t="s">
        <v>40</v>
      </c>
      <c r="P75" s="737" t="s">
        <v>41</v>
      </c>
      <c r="Q75" s="530"/>
      <c r="R75" s="532">
        <v>950000</v>
      </c>
      <c r="S75" s="531">
        <f t="shared" ref="S75:S87" si="19">(G75-F75)/100</f>
        <v>3</v>
      </c>
      <c r="T75" s="537"/>
      <c r="U75" s="538">
        <f t="shared" si="5"/>
        <v>0</v>
      </c>
      <c r="V75" s="533">
        <f t="shared" si="18"/>
        <v>0</v>
      </c>
      <c r="X75" s="386">
        <f>(Q75+((S75-0)*R75))*((100-P75)/100)</f>
        <v>0</v>
      </c>
    </row>
    <row r="76" spans="1:25" s="82" customFormat="1" ht="26">
      <c r="A76" s="81">
        <f t="shared" si="4"/>
        <v>70</v>
      </c>
      <c r="B76" s="81">
        <v>67</v>
      </c>
      <c r="C76" s="258">
        <v>4388</v>
      </c>
      <c r="D76" s="669" t="s">
        <v>32</v>
      </c>
      <c r="E76" s="102" t="s">
        <v>1693</v>
      </c>
      <c r="F76" s="86">
        <v>1600</v>
      </c>
      <c r="G76" s="86">
        <v>1730</v>
      </c>
      <c r="H76" s="261" t="s">
        <v>1579</v>
      </c>
      <c r="I76" s="140" t="s">
        <v>35</v>
      </c>
      <c r="J76" s="140" t="s">
        <v>36</v>
      </c>
      <c r="K76" s="316">
        <v>12</v>
      </c>
      <c r="L76" s="414" t="s">
        <v>172</v>
      </c>
      <c r="M76" s="140" t="s">
        <v>1717</v>
      </c>
      <c r="N76" s="281" t="s">
        <v>1718</v>
      </c>
      <c r="O76" s="433" t="s">
        <v>174</v>
      </c>
      <c r="P76" s="261"/>
      <c r="Q76" s="528"/>
      <c r="R76" s="525"/>
      <c r="S76" s="162">
        <f t="shared" si="19"/>
        <v>1.3</v>
      </c>
      <c r="T76" s="132"/>
      <c r="U76" s="521">
        <f t="shared" si="5"/>
        <v>0</v>
      </c>
      <c r="V76" s="386">
        <f>(Q76+((S76-0)*R76))*((100-P76)/100)</f>
        <v>0</v>
      </c>
      <c r="X76" s="386">
        <f>(Q76+((S76-0)*R76))*((100-P76)/100)</f>
        <v>0</v>
      </c>
    </row>
    <row r="77" spans="1:25" s="82" customFormat="1" ht="26">
      <c r="A77" s="81">
        <f t="shared" si="4"/>
        <v>71</v>
      </c>
      <c r="B77" s="81">
        <v>68</v>
      </c>
      <c r="C77" s="258">
        <v>4387</v>
      </c>
      <c r="D77" s="669" t="s">
        <v>32</v>
      </c>
      <c r="E77" s="102">
        <v>45210</v>
      </c>
      <c r="F77" s="86">
        <v>1600</v>
      </c>
      <c r="G77" s="86">
        <v>1730</v>
      </c>
      <c r="H77" s="261" t="s">
        <v>1579</v>
      </c>
      <c r="I77" s="140" t="s">
        <v>35</v>
      </c>
      <c r="J77" s="140" t="s">
        <v>36</v>
      </c>
      <c r="K77" s="316">
        <v>12</v>
      </c>
      <c r="L77" s="297" t="s">
        <v>172</v>
      </c>
      <c r="M77" s="140" t="s">
        <v>1717</v>
      </c>
      <c r="N77" s="281" t="s">
        <v>1719</v>
      </c>
      <c r="O77" s="433" t="s">
        <v>174</v>
      </c>
      <c r="P77" s="261"/>
      <c r="Q77" s="275"/>
      <c r="R77" s="275"/>
      <c r="S77" s="162">
        <f>(1750-F77)/100</f>
        <v>1.5</v>
      </c>
      <c r="T77" s="282"/>
      <c r="U77" s="532">
        <f t="shared" si="5"/>
        <v>0</v>
      </c>
      <c r="V77" s="533">
        <f t="shared" ref="V77" si="20">Q77+((S77-0)*R77)</f>
        <v>0</v>
      </c>
    </row>
    <row r="78" spans="1:25" s="82" customFormat="1" ht="26">
      <c r="A78" s="81">
        <f t="shared" si="4"/>
        <v>72</v>
      </c>
      <c r="B78" s="81">
        <v>69</v>
      </c>
      <c r="C78" s="258" t="s">
        <v>1720</v>
      </c>
      <c r="D78" s="669" t="s">
        <v>32</v>
      </c>
      <c r="E78" s="479">
        <v>44996</v>
      </c>
      <c r="F78" s="86">
        <v>1600</v>
      </c>
      <c r="G78" s="86">
        <v>1730</v>
      </c>
      <c r="H78" s="261" t="s">
        <v>1579</v>
      </c>
      <c r="I78" s="140" t="s">
        <v>35</v>
      </c>
      <c r="J78" s="140" t="s">
        <v>36</v>
      </c>
      <c r="K78" s="315" t="s">
        <v>37</v>
      </c>
      <c r="L78" s="261" t="s">
        <v>172</v>
      </c>
      <c r="M78" s="140" t="s">
        <v>1717</v>
      </c>
      <c r="N78" s="281" t="s">
        <v>1721</v>
      </c>
      <c r="O78" s="454" t="s">
        <v>174</v>
      </c>
      <c r="P78" s="261"/>
      <c r="Q78" s="275"/>
      <c r="R78" s="275"/>
      <c r="S78" s="162">
        <f>(1750-F78)/100</f>
        <v>1.5</v>
      </c>
      <c r="T78" s="94"/>
      <c r="U78" s="270">
        <f t="shared" si="5"/>
        <v>0</v>
      </c>
      <c r="V78" s="386">
        <f t="shared" ref="V78" si="21">(Q78+((S78-0)*R78))*((100-P78)/100)</f>
        <v>0</v>
      </c>
    </row>
    <row r="79" spans="1:25" s="82" customFormat="1" ht="13">
      <c r="A79" s="81">
        <f t="shared" si="4"/>
        <v>73</v>
      </c>
      <c r="B79" s="81">
        <v>70</v>
      </c>
      <c r="C79" s="258" t="s">
        <v>1722</v>
      </c>
      <c r="D79" s="669" t="s">
        <v>32</v>
      </c>
      <c r="E79" s="479">
        <v>45118</v>
      </c>
      <c r="F79" s="86">
        <v>830</v>
      </c>
      <c r="G79" s="86">
        <v>1400</v>
      </c>
      <c r="H79" s="261" t="s">
        <v>1723</v>
      </c>
      <c r="I79" s="140" t="s">
        <v>36</v>
      </c>
      <c r="J79" s="140" t="s">
        <v>36</v>
      </c>
      <c r="K79" s="315" t="s">
        <v>64</v>
      </c>
      <c r="L79" s="261" t="s">
        <v>372</v>
      </c>
      <c r="M79" s="140"/>
      <c r="N79" s="409" t="s">
        <v>1724</v>
      </c>
      <c r="O79" s="454" t="s">
        <v>174</v>
      </c>
      <c r="P79" s="261"/>
      <c r="Q79" s="275"/>
      <c r="R79" s="273"/>
      <c r="S79" s="162">
        <f>(G79-850)/100</f>
        <v>5.5</v>
      </c>
      <c r="T79" s="94"/>
      <c r="U79" s="270">
        <f t="shared" si="5"/>
        <v>0</v>
      </c>
      <c r="V79" s="386">
        <f>Q79+((S79-4)*R79)</f>
        <v>0</v>
      </c>
    </row>
    <row r="80" spans="1:25" s="82" customFormat="1" ht="17.25" customHeight="1">
      <c r="A80" s="81">
        <f t="shared" si="4"/>
        <v>74</v>
      </c>
      <c r="B80" s="81">
        <v>71</v>
      </c>
      <c r="C80" s="258" t="s">
        <v>1725</v>
      </c>
      <c r="D80" s="259" t="s">
        <v>32</v>
      </c>
      <c r="E80" s="479">
        <v>45088</v>
      </c>
      <c r="F80" s="86">
        <v>830</v>
      </c>
      <c r="G80" s="86">
        <v>1630</v>
      </c>
      <c r="H80" s="261" t="s">
        <v>1726</v>
      </c>
      <c r="I80" s="491" t="s">
        <v>36</v>
      </c>
      <c r="J80" s="491" t="s">
        <v>36</v>
      </c>
      <c r="K80" s="492" t="s">
        <v>64</v>
      </c>
      <c r="L80" s="261" t="s">
        <v>372</v>
      </c>
      <c r="M80" s="140"/>
      <c r="N80" s="495" t="s">
        <v>1727</v>
      </c>
      <c r="O80" s="490" t="s">
        <v>174</v>
      </c>
      <c r="P80" s="261"/>
      <c r="Q80" s="415"/>
      <c r="R80" s="273"/>
      <c r="S80" s="162">
        <f t="shared" si="19"/>
        <v>8</v>
      </c>
      <c r="T80" s="259"/>
      <c r="U80" s="270">
        <f t="shared" si="5"/>
        <v>0</v>
      </c>
      <c r="V80" s="386">
        <f>Q80+((S80-4)*R80)</f>
        <v>0</v>
      </c>
      <c r="W80" s="90"/>
      <c r="X80" s="386">
        <f>(Q80+((S80-0)*R80))*((100-P80)/100)</f>
        <v>0</v>
      </c>
      <c r="Y80" s="90"/>
    </row>
    <row r="81" spans="1:25" s="82" customFormat="1">
      <c r="A81" s="364">
        <f t="shared" si="4"/>
        <v>75</v>
      </c>
      <c r="B81" s="364" t="s">
        <v>197</v>
      </c>
      <c r="C81" s="365" t="s">
        <v>197</v>
      </c>
      <c r="D81" s="366" t="s">
        <v>1728</v>
      </c>
      <c r="E81" s="972" t="s">
        <v>1693</v>
      </c>
      <c r="F81" s="475" t="s">
        <v>1295</v>
      </c>
      <c r="G81" s="475" t="s">
        <v>1729</v>
      </c>
      <c r="H81" s="459" t="s">
        <v>1730</v>
      </c>
      <c r="I81" s="460"/>
      <c r="J81" s="474"/>
      <c r="K81" s="973"/>
      <c r="L81" s="369" t="s">
        <v>172</v>
      </c>
      <c r="M81" s="696" t="s">
        <v>1731</v>
      </c>
      <c r="N81" s="697"/>
      <c r="O81" s="974"/>
      <c r="P81" s="369"/>
      <c r="Q81" s="698"/>
      <c r="R81" s="464"/>
      <c r="S81" s="465">
        <f t="shared" si="19"/>
        <v>3</v>
      </c>
      <c r="T81" s="476"/>
      <c r="U81" s="685">
        <f>10886400*1.2</f>
        <v>13063680</v>
      </c>
      <c r="V81" s="467">
        <f t="shared" ref="V81:V87" si="22">Q81+((S81-0)*R81)</f>
        <v>0</v>
      </c>
      <c r="X81" s="386">
        <f>(Q81+((S81-0)*R81))*((100-P81)/100)</f>
        <v>0</v>
      </c>
    </row>
    <row r="82" spans="1:25" s="82" customFormat="1" ht="13">
      <c r="A82" s="81">
        <f t="shared" si="4"/>
        <v>76</v>
      </c>
      <c r="B82" s="484"/>
      <c r="C82" s="484"/>
      <c r="D82" s="259"/>
      <c r="E82" s="479"/>
      <c r="F82" s="410"/>
      <c r="G82" s="410"/>
      <c r="H82" s="261"/>
      <c r="I82" s="412"/>
      <c r="J82" s="140"/>
      <c r="K82" s="316"/>
      <c r="L82" s="414"/>
      <c r="M82" s="132"/>
      <c r="N82" s="456"/>
      <c r="O82" s="433"/>
      <c r="P82" s="261"/>
      <c r="Q82" s="275">
        <f>R82*6</f>
        <v>0</v>
      </c>
      <c r="R82" s="275"/>
      <c r="S82" s="162">
        <f t="shared" si="19"/>
        <v>0</v>
      </c>
      <c r="T82" s="94"/>
      <c r="U82" s="270">
        <f t="shared" si="5"/>
        <v>0</v>
      </c>
      <c r="V82" s="386">
        <f>(Q82+((S82-8)*R82))*((100-P82)/100)</f>
        <v>0</v>
      </c>
      <c r="X82" s="386">
        <f>(Q82+((S82-0)*R82))*((100-P82)/100)</f>
        <v>0</v>
      </c>
    </row>
    <row r="83" spans="1:25" s="82" customFormat="1" ht="13">
      <c r="A83" s="81">
        <f t="shared" si="4"/>
        <v>77</v>
      </c>
      <c r="B83" s="484"/>
      <c r="C83" s="484"/>
      <c r="D83" s="259"/>
      <c r="E83" s="479"/>
      <c r="F83" s="410"/>
      <c r="G83" s="410"/>
      <c r="H83" s="485"/>
      <c r="I83" s="412"/>
      <c r="J83" s="140"/>
      <c r="K83" s="316"/>
      <c r="L83" s="297"/>
      <c r="M83" s="486"/>
      <c r="N83" s="281"/>
      <c r="O83" s="433"/>
      <c r="P83" s="261"/>
      <c r="Q83" s="275"/>
      <c r="R83" s="275"/>
      <c r="S83" s="162">
        <f t="shared" si="19"/>
        <v>0</v>
      </c>
      <c r="T83" s="94"/>
      <c r="U83" s="270">
        <f t="shared" si="5"/>
        <v>0</v>
      </c>
      <c r="V83" s="386">
        <f>(Q83+((S83-0)*R83))*((100-P83)/100)</f>
        <v>0</v>
      </c>
      <c r="X83" s="386">
        <f>(Q83+((S83-0)*R83))*((100-P83)/100)</f>
        <v>0</v>
      </c>
    </row>
    <row r="84" spans="1:25" s="82" customFormat="1" ht="13">
      <c r="A84" s="81">
        <f t="shared" si="4"/>
        <v>78</v>
      </c>
      <c r="B84" s="484"/>
      <c r="C84" s="484"/>
      <c r="D84" s="259"/>
      <c r="E84" s="479"/>
      <c r="F84" s="410"/>
      <c r="G84" s="410"/>
      <c r="H84" s="487"/>
      <c r="I84" s="412"/>
      <c r="J84" s="140"/>
      <c r="K84" s="316"/>
      <c r="L84" s="297"/>
      <c r="M84" s="140"/>
      <c r="N84" s="281"/>
      <c r="O84" s="433"/>
      <c r="P84" s="261"/>
      <c r="Q84" s="275"/>
      <c r="R84" s="275"/>
      <c r="S84" s="162">
        <f t="shared" si="19"/>
        <v>0</v>
      </c>
      <c r="T84" s="94"/>
      <c r="U84" s="270">
        <f t="shared" si="5"/>
        <v>0</v>
      </c>
      <c r="V84" s="386">
        <f t="shared" si="22"/>
        <v>0</v>
      </c>
    </row>
    <row r="85" spans="1:25" s="82" customFormat="1" ht="13">
      <c r="A85" s="81">
        <f t="shared" si="4"/>
        <v>79</v>
      </c>
      <c r="B85" s="81"/>
      <c r="C85" s="103"/>
      <c r="D85" s="94"/>
      <c r="E85" s="102"/>
      <c r="F85" s="86"/>
      <c r="G85" s="86"/>
      <c r="H85" s="94"/>
      <c r="I85" s="140"/>
      <c r="J85" s="140"/>
      <c r="K85" s="316"/>
      <c r="L85" s="297"/>
      <c r="M85" s="132"/>
      <c r="N85" s="281"/>
      <c r="O85" s="433"/>
      <c r="P85" s="261"/>
      <c r="Q85" s="275"/>
      <c r="R85" s="275"/>
      <c r="S85" s="162">
        <f t="shared" si="19"/>
        <v>0</v>
      </c>
      <c r="T85" s="94"/>
      <c r="U85" s="270">
        <f t="shared" si="5"/>
        <v>0</v>
      </c>
      <c r="V85" s="470">
        <f t="shared" si="22"/>
        <v>0</v>
      </c>
      <c r="X85" s="386">
        <f>(Q85+((S85-0)*R85))*((100-P85)/100)</f>
        <v>0</v>
      </c>
    </row>
    <row r="86" spans="1:25" s="82" customFormat="1" ht="13">
      <c r="A86" s="81">
        <f t="shared" si="4"/>
        <v>80</v>
      </c>
      <c r="B86" s="81"/>
      <c r="C86" s="103"/>
      <c r="D86" s="94"/>
      <c r="E86" s="102"/>
      <c r="F86" s="86"/>
      <c r="G86" s="86"/>
      <c r="H86" s="94"/>
      <c r="I86" s="140"/>
      <c r="J86" s="140"/>
      <c r="K86" s="316"/>
      <c r="L86" s="297"/>
      <c r="M86" s="132"/>
      <c r="N86" s="281"/>
      <c r="O86" s="457"/>
      <c r="P86" s="261"/>
      <c r="Q86" s="437"/>
      <c r="R86" s="437"/>
      <c r="S86" s="162">
        <f t="shared" si="19"/>
        <v>0</v>
      </c>
      <c r="T86" s="94"/>
      <c r="U86" s="122">
        <f t="shared" si="5"/>
        <v>0</v>
      </c>
      <c r="V86" s="470">
        <f t="shared" si="22"/>
        <v>0</v>
      </c>
      <c r="X86" s="386">
        <f>(Q86+((S86-0)*R86))*((100-P86)/100)</f>
        <v>0</v>
      </c>
    </row>
    <row r="87" spans="1:25" s="82" customFormat="1" ht="13">
      <c r="A87" s="712">
        <f t="shared" si="4"/>
        <v>81</v>
      </c>
      <c r="B87" s="712"/>
      <c r="C87" s="718"/>
      <c r="D87" s="188"/>
      <c r="E87" s="719"/>
      <c r="F87" s="720"/>
      <c r="G87" s="720"/>
      <c r="H87" s="188"/>
      <c r="I87" s="721"/>
      <c r="J87" s="721"/>
      <c r="K87" s="722"/>
      <c r="L87" s="413"/>
      <c r="M87" s="417"/>
      <c r="N87" s="723"/>
      <c r="O87" s="724"/>
      <c r="P87" s="422"/>
      <c r="Q87" s="725"/>
      <c r="R87" s="725"/>
      <c r="S87" s="701">
        <f t="shared" si="19"/>
        <v>0</v>
      </c>
      <c r="T87" s="188"/>
      <c r="U87" s="726">
        <f t="shared" si="5"/>
        <v>0</v>
      </c>
      <c r="V87" s="727">
        <f t="shared" si="22"/>
        <v>0</v>
      </c>
    </row>
    <row r="88" spans="1:25" s="82" customFormat="1" ht="13">
      <c r="A88" s="666"/>
      <c r="B88" s="666"/>
      <c r="C88" s="666"/>
      <c r="D88" s="666"/>
      <c r="E88" s="862"/>
      <c r="F88" s="666"/>
      <c r="G88" s="666"/>
      <c r="H88" s="666"/>
      <c r="I88" s="140"/>
      <c r="J88" s="140"/>
      <c r="K88" s="862"/>
      <c r="L88" s="666"/>
      <c r="M88" s="666"/>
      <c r="N88" s="862"/>
      <c r="O88" s="666"/>
      <c r="P88" s="667"/>
      <c r="Q88" s="675"/>
      <c r="R88" s="675"/>
      <c r="S88" s="666"/>
      <c r="T88" s="666"/>
      <c r="U88" s="629">
        <f>SUBTOTAL(109,U7:U87)</f>
        <v>106833680</v>
      </c>
      <c r="V88" s="741">
        <f>SUBTOTAL(109,V7:V87)</f>
        <v>81170000</v>
      </c>
      <c r="Y88" s="376">
        <f>V88*1.1</f>
        <v>89287000</v>
      </c>
    </row>
    <row r="89" spans="1:25" s="82" customFormat="1" ht="13">
      <c r="E89" s="104"/>
      <c r="I89" s="160"/>
      <c r="J89" s="160"/>
      <c r="K89" s="104"/>
      <c r="N89" s="104"/>
      <c r="Q89" s="99"/>
      <c r="V89" s="99"/>
    </row>
    <row r="90" spans="1:25">
      <c r="V90" s="101">
        <f>V88*1.1</f>
        <v>89287000</v>
      </c>
    </row>
    <row r="91" spans="1:25">
      <c r="R91" s="356"/>
    </row>
    <row r="92" spans="1:25">
      <c r="Q92" s="100"/>
      <c r="R92" s="356">
        <f>500000*0.5</f>
        <v>250000</v>
      </c>
      <c r="V92" s="100"/>
    </row>
    <row r="93" spans="1:25">
      <c r="Q93" s="100"/>
      <c r="V93" s="100">
        <f>14250000-2850000</f>
        <v>11400000</v>
      </c>
    </row>
    <row r="94" spans="1:25">
      <c r="Q94" s="100"/>
      <c r="V94" s="100"/>
    </row>
  </sheetData>
  <autoFilter ref="A6:AE87" xr:uid="{1028D278-910A-4D41-890F-0D5DC76C3F25}"/>
  <pageMargins left="0.7" right="0.7" top="0.75" bottom="0.75" header="0.3" footer="0.3"/>
  <pageSetup scale="29" fitToHeight="0" orientation="landscape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D74C7-DF03-4A46-84BD-5D0E1286EE7D}">
  <sheetPr codeName="Sheet21"/>
  <dimension ref="A1:R9"/>
  <sheetViews>
    <sheetView zoomScale="70" zoomScaleNormal="70" workbookViewId="0">
      <selection activeCell="Q7" sqref="Q7"/>
    </sheetView>
  </sheetViews>
  <sheetFormatPr defaultRowHeight="14.5"/>
  <cols>
    <col min="4" max="4" width="16.453125" customWidth="1"/>
    <col min="5" max="5" width="22.26953125" customWidth="1"/>
    <col min="8" max="8" width="25.453125" customWidth="1"/>
    <col min="17" max="17" width="12.26953125" customWidth="1"/>
  </cols>
  <sheetData>
    <row r="1" spans="1:18">
      <c r="A1" s="100"/>
      <c r="B1" s="100"/>
      <c r="C1" s="100"/>
      <c r="D1" s="100"/>
      <c r="E1" s="68"/>
      <c r="F1" s="100"/>
      <c r="G1" s="100"/>
      <c r="H1" s="100"/>
      <c r="I1" s="100"/>
      <c r="J1" s="100"/>
      <c r="K1" s="100"/>
      <c r="L1" s="100"/>
      <c r="M1" s="101"/>
      <c r="N1" s="100"/>
      <c r="O1" s="100"/>
      <c r="P1" s="100"/>
      <c r="Q1" s="100"/>
      <c r="R1" s="101"/>
    </row>
    <row r="2" spans="1:18" ht="21">
      <c r="A2" s="52" t="s">
        <v>0</v>
      </c>
      <c r="B2" s="52"/>
      <c r="C2" s="52"/>
      <c r="D2" s="52"/>
      <c r="E2" s="52"/>
      <c r="F2" s="52"/>
      <c r="G2" s="52"/>
      <c r="H2" s="52"/>
      <c r="I2" s="52"/>
      <c r="J2" s="390"/>
      <c r="K2" s="52"/>
      <c r="L2" s="52"/>
      <c r="M2" s="52"/>
      <c r="N2" s="52"/>
      <c r="O2" s="52"/>
      <c r="P2" s="52"/>
      <c r="Q2" s="52"/>
      <c r="R2" s="53"/>
    </row>
    <row r="3" spans="1:18">
      <c r="A3" s="60" t="s">
        <v>2</v>
      </c>
      <c r="B3" s="60"/>
      <c r="C3" s="60"/>
      <c r="D3" s="60"/>
      <c r="E3" s="60"/>
      <c r="F3" s="60"/>
      <c r="G3" s="60"/>
      <c r="H3" s="60"/>
      <c r="I3" s="60"/>
      <c r="J3" s="393"/>
      <c r="K3" s="60"/>
      <c r="L3" s="60"/>
      <c r="M3" s="60"/>
      <c r="N3" s="60"/>
      <c r="O3" s="60"/>
      <c r="P3" s="60"/>
      <c r="Q3" s="60"/>
      <c r="R3" s="61"/>
    </row>
    <row r="4" spans="1:18">
      <c r="A4" s="60" t="s">
        <v>1732</v>
      </c>
      <c r="B4" s="60"/>
      <c r="C4" s="60"/>
      <c r="D4" s="60"/>
      <c r="E4" s="60"/>
      <c r="F4" s="60"/>
      <c r="G4" s="60"/>
      <c r="H4" s="60"/>
      <c r="I4" s="60"/>
      <c r="J4" s="393"/>
      <c r="K4" s="60"/>
      <c r="L4" s="60"/>
      <c r="M4" s="60"/>
      <c r="N4" s="60"/>
      <c r="O4" s="60"/>
      <c r="P4" s="60"/>
      <c r="Q4" s="60"/>
      <c r="R4" s="61"/>
    </row>
    <row r="5" spans="1:18">
      <c r="A5" s="57"/>
      <c r="B5" s="57"/>
      <c r="C5" s="57"/>
      <c r="D5" s="66"/>
      <c r="E5" s="67"/>
      <c r="F5" s="67"/>
      <c r="G5" s="67"/>
      <c r="H5" s="66"/>
      <c r="I5" s="66"/>
      <c r="J5" s="59"/>
      <c r="K5" s="68"/>
      <c r="L5" s="66"/>
      <c r="M5" s="69"/>
      <c r="N5" s="56"/>
      <c r="O5" s="56"/>
      <c r="P5" s="56"/>
      <c r="Q5" s="67"/>
      <c r="R5" s="69"/>
    </row>
    <row r="6" spans="1:18" ht="65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34" t="s">
        <v>16</v>
      </c>
      <c r="J6" s="134" t="s">
        <v>17</v>
      </c>
      <c r="K6" s="320" t="s">
        <v>19</v>
      </c>
      <c r="L6" s="134" t="s">
        <v>20</v>
      </c>
      <c r="M6" s="321" t="s">
        <v>21</v>
      </c>
      <c r="N6" s="74" t="s">
        <v>22</v>
      </c>
      <c r="O6" s="74" t="s">
        <v>23</v>
      </c>
      <c r="P6" s="74" t="s">
        <v>24</v>
      </c>
      <c r="Q6" s="78" t="s">
        <v>25</v>
      </c>
      <c r="R6" s="134" t="s">
        <v>26</v>
      </c>
    </row>
    <row r="7" spans="1:18" s="472" customFormat="1" ht="29">
      <c r="A7" s="677"/>
      <c r="B7" s="677"/>
      <c r="C7" s="368"/>
      <c r="D7" s="368" t="s">
        <v>1728</v>
      </c>
      <c r="E7" s="678" t="s">
        <v>1733</v>
      </c>
      <c r="F7" s="368" t="s">
        <v>563</v>
      </c>
      <c r="G7" s="368" t="s">
        <v>1734</v>
      </c>
      <c r="H7" s="679" t="s">
        <v>1731</v>
      </c>
      <c r="I7" s="680"/>
      <c r="J7" s="681"/>
      <c r="K7" s="680" t="s">
        <v>1160</v>
      </c>
      <c r="L7" s="368"/>
      <c r="M7" s="682"/>
      <c r="N7" s="683"/>
      <c r="O7" s="684"/>
      <c r="P7" s="368"/>
      <c r="Q7" s="685" t="s">
        <v>1735</v>
      </c>
      <c r="R7" s="686"/>
    </row>
    <row r="8" spans="1:18">
      <c r="A8" s="81"/>
      <c r="B8" s="81"/>
      <c r="C8" s="94"/>
      <c r="D8" s="259"/>
      <c r="E8" s="411"/>
      <c r="F8" s="86"/>
      <c r="G8" s="86"/>
      <c r="H8" s="94"/>
      <c r="I8" s="412"/>
      <c r="J8" s="355"/>
      <c r="K8" s="433"/>
      <c r="L8" s="434"/>
      <c r="M8" s="415"/>
      <c r="N8" s="275"/>
      <c r="O8" s="162"/>
      <c r="P8" s="94"/>
      <c r="Q8" s="270"/>
      <c r="R8" s="386"/>
    </row>
    <row r="9" spans="1:18">
      <c r="A9" s="81"/>
      <c r="B9" s="81"/>
      <c r="C9" s="258"/>
      <c r="D9" s="259"/>
      <c r="E9" s="258"/>
      <c r="F9" s="86"/>
      <c r="G9" s="86"/>
      <c r="H9" s="261"/>
      <c r="I9" s="412"/>
      <c r="J9" s="355"/>
      <c r="K9" s="433"/>
      <c r="L9" s="261"/>
      <c r="M9" s="415"/>
      <c r="N9" s="275"/>
      <c r="O9" s="162"/>
      <c r="P9" s="259"/>
      <c r="Q9" s="270"/>
      <c r="R9" s="386"/>
    </row>
  </sheetData>
  <pageMargins left="0.7" right="0.7" top="0.75" bottom="0.75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C6811-96BC-4098-8F1B-A63BB9B23761}">
  <sheetPr codeName="Sheet22" filterMode="1">
    <pageSetUpPr fitToPage="1"/>
  </sheetPr>
  <dimension ref="A2:AE91"/>
  <sheetViews>
    <sheetView topLeftCell="S7" zoomScale="80" zoomScaleNormal="70" workbookViewId="0">
      <selection activeCell="S7" sqref="S7"/>
    </sheetView>
  </sheetViews>
  <sheetFormatPr defaultColWidth="9.1796875" defaultRowHeight="14.5"/>
  <cols>
    <col min="1" max="2" width="8.81640625" style="100" customWidth="1"/>
    <col min="3" max="3" width="8.81640625" style="100" bestFit="1" customWidth="1"/>
    <col min="4" max="4" width="27.26953125" style="100" customWidth="1"/>
    <col min="5" max="5" width="13.81640625" style="68" customWidth="1"/>
    <col min="6" max="6" width="10.81640625" style="100" bestFit="1" customWidth="1"/>
    <col min="7" max="7" width="10" style="100" customWidth="1"/>
    <col min="8" max="8" width="25.54296875" style="100" customWidth="1"/>
    <col min="9" max="9" width="11.26953125" style="59" hidden="1" customWidth="1"/>
    <col min="10" max="10" width="12" style="59" hidden="1" customWidth="1"/>
    <col min="11" max="11" width="9.26953125" style="68" customWidth="1"/>
    <col min="12" max="12" width="14.1796875" style="100" customWidth="1"/>
    <col min="13" max="13" width="10.26953125" style="100" customWidth="1"/>
    <col min="14" max="14" width="22.26953125" style="68" customWidth="1"/>
    <col min="15" max="15" width="12.54296875" style="100" customWidth="1"/>
    <col min="16" max="16" width="9.1796875" style="100" bestFit="1" customWidth="1"/>
    <col min="17" max="17" width="13.26953125" style="101" customWidth="1"/>
    <col min="18" max="18" width="11.26953125" style="100" bestFit="1" customWidth="1"/>
    <col min="19" max="20" width="9.1796875" style="100" bestFit="1" customWidth="1"/>
    <col min="21" max="21" width="16.54296875" style="100" customWidth="1"/>
    <col min="22" max="22" width="14.26953125" style="101" customWidth="1"/>
    <col min="23" max="23" width="10.26953125" style="100" bestFit="1" customWidth="1"/>
    <col min="24" max="24" width="14.54296875" style="100" hidden="1" customWidth="1"/>
    <col min="25" max="25" width="13.7265625" style="100" hidden="1" customWidth="1"/>
    <col min="26" max="29" width="0" style="100" hidden="1" customWidth="1"/>
    <col min="30" max="16384" width="9.1796875" style="100"/>
  </cols>
  <sheetData>
    <row r="2" spans="1:31" s="57" customFormat="1" ht="20.25" customHeight="1">
      <c r="A2" s="52" t="s">
        <v>0</v>
      </c>
      <c r="B2" s="52"/>
      <c r="C2" s="52"/>
      <c r="D2" s="52"/>
      <c r="E2" s="391"/>
      <c r="F2" s="52"/>
      <c r="G2" s="52"/>
      <c r="H2" s="52"/>
      <c r="I2" s="52"/>
      <c r="J2" s="389"/>
      <c r="K2" s="391"/>
      <c r="L2" s="52"/>
      <c r="M2" s="390"/>
      <c r="N2" s="391"/>
      <c r="O2" s="52"/>
      <c r="P2" s="52"/>
      <c r="Q2" s="52"/>
      <c r="R2" s="52"/>
      <c r="S2" s="52"/>
      <c r="T2" s="52"/>
      <c r="U2" s="52"/>
      <c r="V2" s="53"/>
      <c r="W2" s="54"/>
      <c r="X2" s="52"/>
      <c r="Y2" s="435"/>
      <c r="Z2" s="56"/>
      <c r="AD2" s="58"/>
      <c r="AE2" s="59" t="s">
        <v>1</v>
      </c>
    </row>
    <row r="3" spans="1:31" s="57" customFormat="1" ht="20.25" customHeight="1">
      <c r="A3" s="60" t="s">
        <v>2</v>
      </c>
      <c r="B3" s="60"/>
      <c r="C3" s="60"/>
      <c r="D3" s="60"/>
      <c r="E3" s="394"/>
      <c r="F3" s="60"/>
      <c r="G3" s="60"/>
      <c r="H3" s="60"/>
      <c r="I3" s="60"/>
      <c r="J3" s="392"/>
      <c r="K3" s="394"/>
      <c r="L3" s="60"/>
      <c r="M3" s="393"/>
      <c r="N3" s="394"/>
      <c r="O3" s="60"/>
      <c r="P3" s="60"/>
      <c r="Q3" s="60"/>
      <c r="R3" s="60"/>
      <c r="S3" s="60"/>
      <c r="T3" s="60"/>
      <c r="U3" s="60"/>
      <c r="V3" s="61"/>
      <c r="W3" s="62"/>
      <c r="X3" s="60"/>
      <c r="Y3" s="63"/>
      <c r="Z3" s="56"/>
      <c r="AD3" s="64"/>
      <c r="AE3" s="59" t="s">
        <v>3</v>
      </c>
    </row>
    <row r="4" spans="1:31" s="57" customFormat="1" ht="20.25" customHeight="1">
      <c r="A4" s="60" t="s">
        <v>1736</v>
      </c>
      <c r="B4" s="60"/>
      <c r="C4" s="60"/>
      <c r="D4" s="60"/>
      <c r="E4" s="394"/>
      <c r="F4" s="60"/>
      <c r="G4" s="60"/>
      <c r="H4" s="60"/>
      <c r="I4" s="60"/>
      <c r="J4" s="392"/>
      <c r="K4" s="394"/>
      <c r="L4" s="60"/>
      <c r="M4" s="393"/>
      <c r="N4" s="394"/>
      <c r="O4" s="60"/>
      <c r="P4" s="60"/>
      <c r="Q4" s="60"/>
      <c r="R4" s="60"/>
      <c r="S4" s="60"/>
      <c r="T4" s="60"/>
      <c r="U4" s="60"/>
      <c r="V4" s="61"/>
      <c r="W4" s="62"/>
      <c r="X4" s="60"/>
      <c r="Y4" s="63"/>
      <c r="Z4" s="56"/>
      <c r="AD4" s="65"/>
      <c r="AE4" s="59" t="s">
        <v>5</v>
      </c>
    </row>
    <row r="5" spans="1:31" s="57" customFormat="1" ht="6" customHeight="1">
      <c r="D5" s="66"/>
      <c r="E5" s="67"/>
      <c r="F5" s="67"/>
      <c r="G5" s="67"/>
      <c r="H5" s="66"/>
      <c r="I5" s="66"/>
      <c r="J5" s="66"/>
      <c r="K5" s="67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</row>
    <row r="6" spans="1:31" s="79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61" t="s">
        <v>13</v>
      </c>
      <c r="J6" s="159" t="s">
        <v>14</v>
      </c>
      <c r="K6" s="74" t="s">
        <v>15</v>
      </c>
      <c r="L6" s="134" t="s">
        <v>16</v>
      </c>
      <c r="M6" s="134" t="s">
        <v>17</v>
      </c>
      <c r="N6" s="319" t="s">
        <v>18</v>
      </c>
      <c r="O6" s="320" t="s">
        <v>19</v>
      </c>
      <c r="P6" s="134" t="s">
        <v>20</v>
      </c>
      <c r="Q6" s="321" t="s">
        <v>21</v>
      </c>
      <c r="R6" s="74" t="s">
        <v>22</v>
      </c>
      <c r="S6" s="74" t="s">
        <v>23</v>
      </c>
      <c r="T6" s="74" t="s">
        <v>24</v>
      </c>
      <c r="U6" s="78" t="s">
        <v>25</v>
      </c>
      <c r="V6" s="134" t="s">
        <v>1146</v>
      </c>
      <c r="Z6" s="72" t="s">
        <v>27</v>
      </c>
      <c r="AA6" s="80" t="s">
        <v>28</v>
      </c>
      <c r="AB6" s="74" t="s">
        <v>29</v>
      </c>
      <c r="AC6" s="72" t="s">
        <v>30</v>
      </c>
    </row>
    <row r="7" spans="1:31" s="82" customFormat="1" ht="26">
      <c r="A7" s="81">
        <f t="shared" ref="A7:A84" si="0">ROW()-6</f>
        <v>1</v>
      </c>
      <c r="B7" s="81">
        <v>1</v>
      </c>
      <c r="C7" s="258" t="s">
        <v>1737</v>
      </c>
      <c r="D7" s="259" t="s">
        <v>43</v>
      </c>
      <c r="E7" s="260" t="s">
        <v>1738</v>
      </c>
      <c r="F7" s="86">
        <v>1330</v>
      </c>
      <c r="G7" s="86">
        <v>1630</v>
      </c>
      <c r="H7" s="261" t="s">
        <v>1698</v>
      </c>
      <c r="I7" s="261" t="s">
        <v>35</v>
      </c>
      <c r="J7" s="261" t="s">
        <v>36</v>
      </c>
      <c r="K7" s="315" t="s">
        <v>76</v>
      </c>
      <c r="L7" s="412" t="s">
        <v>47</v>
      </c>
      <c r="M7" s="355"/>
      <c r="N7" s="436" t="s">
        <v>1739</v>
      </c>
      <c r="O7" s="433" t="s">
        <v>174</v>
      </c>
      <c r="P7" s="297"/>
      <c r="Q7" s="275"/>
      <c r="R7" s="275">
        <v>500000</v>
      </c>
      <c r="S7" s="162">
        <f>(G7-F7)/100</f>
        <v>3</v>
      </c>
      <c r="T7" s="259"/>
      <c r="U7" s="270">
        <f t="shared" ref="U7:U84" si="1">S7*R7*(100-P7)/100</f>
        <v>1500000</v>
      </c>
      <c r="V7" s="386">
        <f t="shared" ref="V7:V17" si="2">(Q7+((S7-0)*R7))*((100-P7)/100)</f>
        <v>1500000</v>
      </c>
      <c r="W7" s="90"/>
      <c r="X7" s="91"/>
      <c r="Y7" s="90"/>
    </row>
    <row r="8" spans="1:31" s="82" customFormat="1" ht="13">
      <c r="A8" s="671">
        <f t="shared" si="0"/>
        <v>2</v>
      </c>
      <c r="B8" s="671">
        <v>2</v>
      </c>
      <c r="C8" s="670" t="s">
        <v>1740</v>
      </c>
      <c r="D8" s="669" t="s">
        <v>43</v>
      </c>
      <c r="E8" s="260" t="s">
        <v>1741</v>
      </c>
      <c r="F8" s="668">
        <v>1200</v>
      </c>
      <c r="G8" s="668">
        <v>1300</v>
      </c>
      <c r="H8" s="667" t="s">
        <v>1364</v>
      </c>
      <c r="I8" s="261" t="s">
        <v>35</v>
      </c>
      <c r="J8" s="261" t="s">
        <v>36</v>
      </c>
      <c r="K8" s="1012" t="s">
        <v>76</v>
      </c>
      <c r="L8" s="1013" t="s">
        <v>255</v>
      </c>
      <c r="M8" s="262"/>
      <c r="N8" s="1014" t="s">
        <v>1742</v>
      </c>
      <c r="O8" s="1015" t="s">
        <v>40</v>
      </c>
      <c r="P8" s="676"/>
      <c r="Q8" s="1016"/>
      <c r="R8" s="1017">
        <v>500000</v>
      </c>
      <c r="S8" s="1018">
        <f t="shared" ref="S8:S84" si="3">(G8-F8)/100</f>
        <v>1</v>
      </c>
      <c r="T8" s="669"/>
      <c r="U8" s="1019">
        <f t="shared" si="1"/>
        <v>500000</v>
      </c>
      <c r="V8" s="622">
        <f t="shared" si="2"/>
        <v>500000</v>
      </c>
      <c r="W8" s="90"/>
      <c r="X8" s="91"/>
      <c r="Y8" s="90"/>
    </row>
    <row r="9" spans="1:31" s="82" customFormat="1" ht="13">
      <c r="A9" s="671">
        <f t="shared" si="0"/>
        <v>3</v>
      </c>
      <c r="B9" s="671">
        <v>3</v>
      </c>
      <c r="C9" s="670" t="s">
        <v>1743</v>
      </c>
      <c r="D9" s="669" t="s">
        <v>43</v>
      </c>
      <c r="E9" s="260" t="s">
        <v>1741</v>
      </c>
      <c r="F9" s="673" t="s">
        <v>1484</v>
      </c>
      <c r="G9" s="673" t="s">
        <v>1398</v>
      </c>
      <c r="H9" s="293" t="s">
        <v>1364</v>
      </c>
      <c r="I9" s="262" t="s">
        <v>35</v>
      </c>
      <c r="J9" s="262" t="s">
        <v>36</v>
      </c>
      <c r="K9" s="1012" t="s">
        <v>76</v>
      </c>
      <c r="L9" s="1013" t="s">
        <v>255</v>
      </c>
      <c r="M9" s="1020"/>
      <c r="N9" s="1014" t="s">
        <v>1744</v>
      </c>
      <c r="O9" s="1015" t="s">
        <v>40</v>
      </c>
      <c r="P9" s="667"/>
      <c r="Q9" s="1021"/>
      <c r="R9" s="1017">
        <v>500000</v>
      </c>
      <c r="S9" s="1018">
        <f t="shared" si="3"/>
        <v>3</v>
      </c>
      <c r="T9" s="669"/>
      <c r="U9" s="1019">
        <f t="shared" si="1"/>
        <v>1500000</v>
      </c>
      <c r="V9" s="622">
        <f t="shared" si="2"/>
        <v>1500000</v>
      </c>
      <c r="W9" s="90"/>
      <c r="X9" s="386">
        <f>(Q9+((S9-0)*R9))*((100-P9)/100)</f>
        <v>1500000</v>
      </c>
      <c r="Y9" s="90"/>
    </row>
    <row r="10" spans="1:31" s="82" customFormat="1" ht="13">
      <c r="A10" s="671">
        <f t="shared" si="0"/>
        <v>4</v>
      </c>
      <c r="B10" s="671">
        <v>4</v>
      </c>
      <c r="C10" s="666">
        <v>4472</v>
      </c>
      <c r="D10" s="669" t="s">
        <v>43</v>
      </c>
      <c r="E10" s="670" t="s">
        <v>1745</v>
      </c>
      <c r="F10" s="668">
        <v>1300</v>
      </c>
      <c r="G10" s="668">
        <v>1600</v>
      </c>
      <c r="H10" s="666" t="s">
        <v>864</v>
      </c>
      <c r="I10" s="140" t="s">
        <v>35</v>
      </c>
      <c r="J10" s="140" t="s">
        <v>36</v>
      </c>
      <c r="K10" s="1022">
        <v>6</v>
      </c>
      <c r="L10" s="1013" t="s">
        <v>255</v>
      </c>
      <c r="M10" s="262"/>
      <c r="N10" s="1023" t="s">
        <v>1746</v>
      </c>
      <c r="O10" s="1015" t="s">
        <v>40</v>
      </c>
      <c r="P10" s="666"/>
      <c r="Q10" s="1021"/>
      <c r="R10" s="1017">
        <v>500000</v>
      </c>
      <c r="S10" s="1018">
        <f t="shared" si="3"/>
        <v>3</v>
      </c>
      <c r="T10" s="666"/>
      <c r="U10" s="1019">
        <f t="shared" si="1"/>
        <v>1500000</v>
      </c>
      <c r="V10" s="622">
        <f t="shared" si="2"/>
        <v>1500000</v>
      </c>
      <c r="W10" s="83"/>
      <c r="X10" s="386">
        <f>(Q10+((S10-0)*R10))*((100-P10)/100)</f>
        <v>1500000</v>
      </c>
    </row>
    <row r="11" spans="1:31" s="82" customFormat="1" ht="13">
      <c r="A11" s="81">
        <f t="shared" si="0"/>
        <v>5</v>
      </c>
      <c r="B11" s="81">
        <v>5</v>
      </c>
      <c r="C11" s="258" t="s">
        <v>1747</v>
      </c>
      <c r="D11" s="259" t="s">
        <v>43</v>
      </c>
      <c r="E11" s="258" t="s">
        <v>1745</v>
      </c>
      <c r="F11" s="86">
        <v>930</v>
      </c>
      <c r="G11" s="86">
        <v>1030</v>
      </c>
      <c r="H11" s="261" t="s">
        <v>1315</v>
      </c>
      <c r="I11" s="261" t="s">
        <v>35</v>
      </c>
      <c r="J11" s="261" t="s">
        <v>36</v>
      </c>
      <c r="K11" s="315" t="s">
        <v>76</v>
      </c>
      <c r="L11" s="412" t="s">
        <v>1209</v>
      </c>
      <c r="M11" s="355"/>
      <c r="N11" s="350" t="s">
        <v>1748</v>
      </c>
      <c r="O11" s="433" t="s">
        <v>40</v>
      </c>
      <c r="P11" s="261"/>
      <c r="Q11" s="415"/>
      <c r="R11" s="275">
        <v>500000</v>
      </c>
      <c r="S11" s="162">
        <f t="shared" si="3"/>
        <v>1</v>
      </c>
      <c r="T11" s="259"/>
      <c r="U11" s="270">
        <f t="shared" si="1"/>
        <v>500000</v>
      </c>
      <c r="V11" s="386">
        <f t="shared" si="2"/>
        <v>500000</v>
      </c>
      <c r="W11" s="90"/>
      <c r="X11" s="386">
        <f>(Q11+((S11-0)*R11))*((100-P11)/100)</f>
        <v>500000</v>
      </c>
      <c r="Y11" s="90"/>
    </row>
    <row r="12" spans="1:31" s="82" customFormat="1" ht="13" hidden="1">
      <c r="A12" s="81">
        <f t="shared" si="0"/>
        <v>6</v>
      </c>
      <c r="B12" s="81">
        <v>6</v>
      </c>
      <c r="C12" s="94">
        <v>4470</v>
      </c>
      <c r="D12" s="259" t="s">
        <v>32</v>
      </c>
      <c r="E12" s="258" t="s">
        <v>1745</v>
      </c>
      <c r="F12" s="86">
        <v>600</v>
      </c>
      <c r="G12" s="86">
        <v>700</v>
      </c>
      <c r="H12" s="94" t="s">
        <v>1315</v>
      </c>
      <c r="I12" s="140" t="s">
        <v>35</v>
      </c>
      <c r="J12" s="140" t="s">
        <v>36</v>
      </c>
      <c r="K12" s="315" t="s">
        <v>76</v>
      </c>
      <c r="L12" s="412" t="s">
        <v>1209</v>
      </c>
      <c r="M12" s="427"/>
      <c r="N12" s="441" t="s">
        <v>1749</v>
      </c>
      <c r="O12" s="433" t="s">
        <v>174</v>
      </c>
      <c r="P12" s="422"/>
      <c r="Q12" s="415"/>
      <c r="R12" s="275"/>
      <c r="S12" s="162">
        <f t="shared" si="3"/>
        <v>1</v>
      </c>
      <c r="T12" s="94"/>
      <c r="U12" s="270">
        <f t="shared" si="1"/>
        <v>0</v>
      </c>
      <c r="V12" s="386">
        <f t="shared" si="2"/>
        <v>0</v>
      </c>
    </row>
    <row r="13" spans="1:31" s="82" customFormat="1" ht="26">
      <c r="A13" s="81">
        <f t="shared" si="0"/>
        <v>7</v>
      </c>
      <c r="B13" s="81">
        <v>7</v>
      </c>
      <c r="C13" s="258" t="s">
        <v>1750</v>
      </c>
      <c r="D13" s="259" t="s">
        <v>43</v>
      </c>
      <c r="E13" s="258" t="s">
        <v>1751</v>
      </c>
      <c r="F13" s="86">
        <v>1400</v>
      </c>
      <c r="G13" s="86">
        <v>1600</v>
      </c>
      <c r="H13" s="261" t="s">
        <v>1752</v>
      </c>
      <c r="I13" s="140" t="s">
        <v>35</v>
      </c>
      <c r="J13" s="140" t="s">
        <v>36</v>
      </c>
      <c r="K13" s="315" t="s">
        <v>76</v>
      </c>
      <c r="L13" s="412" t="s">
        <v>1753</v>
      </c>
      <c r="M13" s="94"/>
      <c r="N13" s="443" t="s">
        <v>1754</v>
      </c>
      <c r="O13" s="433" t="s">
        <v>40</v>
      </c>
      <c r="P13" s="83"/>
      <c r="Q13" s="415"/>
      <c r="R13" s="275">
        <v>500000</v>
      </c>
      <c r="S13" s="162">
        <f t="shared" si="3"/>
        <v>2</v>
      </c>
      <c r="T13" s="259"/>
      <c r="U13" s="273">
        <f t="shared" si="1"/>
        <v>1000000</v>
      </c>
      <c r="V13" s="386">
        <f t="shared" si="2"/>
        <v>1000000</v>
      </c>
      <c r="W13" s="90"/>
      <c r="X13" s="386">
        <f>(Q13+((S13-0)*R13))*((100-P13)/100)</f>
        <v>1000000</v>
      </c>
      <c r="Y13" s="90"/>
    </row>
    <row r="14" spans="1:31" s="82" customFormat="1" ht="26" hidden="1">
      <c r="A14" s="81">
        <f t="shared" si="0"/>
        <v>8</v>
      </c>
      <c r="B14" s="263">
        <v>8</v>
      </c>
      <c r="C14" s="264" t="s">
        <v>1755</v>
      </c>
      <c r="D14" s="259" t="s">
        <v>32</v>
      </c>
      <c r="E14" s="264" t="s">
        <v>1756</v>
      </c>
      <c r="F14" s="266">
        <v>1600</v>
      </c>
      <c r="G14" s="266">
        <v>1800</v>
      </c>
      <c r="H14" s="267" t="s">
        <v>1757</v>
      </c>
      <c r="I14" s="268" t="s">
        <v>35</v>
      </c>
      <c r="J14" s="268" t="s">
        <v>36</v>
      </c>
      <c r="K14" s="317" t="s">
        <v>37</v>
      </c>
      <c r="L14" s="412" t="s">
        <v>47</v>
      </c>
      <c r="M14" s="428"/>
      <c r="N14" s="444" t="s">
        <v>1758</v>
      </c>
      <c r="O14" s="445" t="s">
        <v>40</v>
      </c>
      <c r="P14" s="423"/>
      <c r="Q14" s="418"/>
      <c r="R14" s="273">
        <v>950000</v>
      </c>
      <c r="S14" s="162">
        <f t="shared" si="3"/>
        <v>2</v>
      </c>
      <c r="T14" s="265"/>
      <c r="U14" s="273">
        <f t="shared" si="1"/>
        <v>1900000</v>
      </c>
      <c r="V14" s="386">
        <f>(Q14+((S14-0)*R14))*((100-P14)/100)</f>
        <v>1900000</v>
      </c>
      <c r="W14" s="90"/>
      <c r="X14" s="91"/>
      <c r="Y14" s="90"/>
    </row>
    <row r="15" spans="1:31" s="82" customFormat="1">
      <c r="A15" s="671">
        <f t="shared" si="0"/>
        <v>9</v>
      </c>
      <c r="B15" s="671">
        <v>9</v>
      </c>
      <c r="C15" s="670" t="s">
        <v>1759</v>
      </c>
      <c r="D15" s="669" t="s">
        <v>43</v>
      </c>
      <c r="E15" s="670" t="s">
        <v>1756</v>
      </c>
      <c r="F15" s="668">
        <v>1315</v>
      </c>
      <c r="G15" s="668">
        <v>1500</v>
      </c>
      <c r="H15" s="667" t="s">
        <v>1760</v>
      </c>
      <c r="I15" s="140" t="s">
        <v>35</v>
      </c>
      <c r="J15" s="140" t="s">
        <v>36</v>
      </c>
      <c r="K15" s="1012" t="s">
        <v>76</v>
      </c>
      <c r="L15" s="1013" t="s">
        <v>255</v>
      </c>
      <c r="M15" s="666"/>
      <c r="N15" s="1024" t="s">
        <v>1761</v>
      </c>
      <c r="O15" s="1015" t="s">
        <v>40</v>
      </c>
      <c r="P15" s="1025"/>
      <c r="Q15" s="1021"/>
      <c r="R15" s="1017">
        <v>500000</v>
      </c>
      <c r="S15" s="1018">
        <f>(G15-1325)/100</f>
        <v>1.75</v>
      </c>
      <c r="T15" s="669"/>
      <c r="U15" s="1019">
        <f t="shared" si="1"/>
        <v>875000</v>
      </c>
      <c r="V15" s="622">
        <f t="shared" si="2"/>
        <v>875000</v>
      </c>
      <c r="W15" s="90"/>
      <c r="X15" s="91"/>
      <c r="Y15" s="90"/>
    </row>
    <row r="16" spans="1:31" s="82" customFormat="1">
      <c r="A16" s="671">
        <f t="shared" si="0"/>
        <v>10</v>
      </c>
      <c r="B16" s="671">
        <v>10</v>
      </c>
      <c r="C16" s="670" t="s">
        <v>1762</v>
      </c>
      <c r="D16" s="669" t="s">
        <v>43</v>
      </c>
      <c r="E16" s="670" t="s">
        <v>1763</v>
      </c>
      <c r="F16" s="668">
        <v>1300</v>
      </c>
      <c r="G16" s="668">
        <v>1400</v>
      </c>
      <c r="H16" s="667" t="s">
        <v>1764</v>
      </c>
      <c r="I16" s="140" t="s">
        <v>259</v>
      </c>
      <c r="J16" s="140" t="s">
        <v>36</v>
      </c>
      <c r="K16" s="1012" t="s">
        <v>76</v>
      </c>
      <c r="L16" s="1026" t="s">
        <v>255</v>
      </c>
      <c r="M16" s="672" t="s">
        <v>255</v>
      </c>
      <c r="N16" s="1027" t="s">
        <v>1765</v>
      </c>
      <c r="O16" s="1015" t="s">
        <v>40</v>
      </c>
      <c r="P16" s="1025"/>
      <c r="Q16" s="623"/>
      <c r="R16" s="1017">
        <v>500000</v>
      </c>
      <c r="S16" s="1018">
        <f t="shared" si="3"/>
        <v>1</v>
      </c>
      <c r="T16" s="669"/>
      <c r="U16" s="1019">
        <f t="shared" si="1"/>
        <v>500000</v>
      </c>
      <c r="V16" s="622">
        <f t="shared" si="2"/>
        <v>500000</v>
      </c>
      <c r="W16" s="90"/>
      <c r="X16" s="91"/>
      <c r="Y16" s="90"/>
    </row>
    <row r="17" spans="1:25" s="82" customFormat="1" hidden="1">
      <c r="A17" s="81">
        <f t="shared" si="0"/>
        <v>11</v>
      </c>
      <c r="B17" s="81">
        <v>11</v>
      </c>
      <c r="C17" s="258" t="s">
        <v>1766</v>
      </c>
      <c r="D17" s="259" t="s">
        <v>32</v>
      </c>
      <c r="E17" s="258" t="s">
        <v>1763</v>
      </c>
      <c r="F17" s="86">
        <v>930</v>
      </c>
      <c r="G17" s="86">
        <v>1130</v>
      </c>
      <c r="H17" s="261" t="s">
        <v>1767</v>
      </c>
      <c r="I17" s="140" t="s">
        <v>35</v>
      </c>
      <c r="J17" s="140" t="s">
        <v>36</v>
      </c>
      <c r="K17" s="315" t="s">
        <v>37</v>
      </c>
      <c r="L17" s="412" t="s">
        <v>255</v>
      </c>
      <c r="M17" s="355"/>
      <c r="N17" s="443" t="s">
        <v>1768</v>
      </c>
      <c r="O17" s="433" t="s">
        <v>40</v>
      </c>
      <c r="P17" s="261"/>
      <c r="Q17" s="273"/>
      <c r="R17" s="273">
        <v>950000</v>
      </c>
      <c r="S17" s="162">
        <f t="shared" si="3"/>
        <v>2</v>
      </c>
      <c r="T17" s="94"/>
      <c r="U17" s="270">
        <f t="shared" si="1"/>
        <v>1900000</v>
      </c>
      <c r="V17" s="386">
        <f t="shared" si="2"/>
        <v>1900000</v>
      </c>
      <c r="X17" s="386">
        <f>(Q17+((S17-0)*R17))*((100-P17)/100)</f>
        <v>1900000</v>
      </c>
    </row>
    <row r="18" spans="1:25" s="82" customFormat="1" ht="26">
      <c r="A18" s="502">
        <f t="shared" si="0"/>
        <v>12</v>
      </c>
      <c r="B18" s="502">
        <v>12</v>
      </c>
      <c r="C18" s="503" t="s">
        <v>1769</v>
      </c>
      <c r="D18" s="504" t="s">
        <v>43</v>
      </c>
      <c r="E18" s="503" t="s">
        <v>1763</v>
      </c>
      <c r="F18" s="505">
        <v>1600</v>
      </c>
      <c r="G18" s="505">
        <v>1700</v>
      </c>
      <c r="H18" s="506" t="s">
        <v>1770</v>
      </c>
      <c r="I18" s="507" t="s">
        <v>35</v>
      </c>
      <c r="J18" s="507" t="s">
        <v>36</v>
      </c>
      <c r="K18" s="508" t="s">
        <v>76</v>
      </c>
      <c r="L18" s="509" t="s">
        <v>47</v>
      </c>
      <c r="M18" s="510"/>
      <c r="N18" s="511" t="s">
        <v>1771</v>
      </c>
      <c r="O18" s="512" t="s">
        <v>1772</v>
      </c>
      <c r="P18" s="506" t="s">
        <v>215</v>
      </c>
      <c r="Q18" s="513"/>
      <c r="R18" s="513">
        <v>500000</v>
      </c>
      <c r="S18" s="514">
        <f t="shared" si="3"/>
        <v>1</v>
      </c>
      <c r="T18" s="504"/>
      <c r="U18" s="515">
        <f t="shared" si="1"/>
        <v>250000</v>
      </c>
      <c r="V18" s="516">
        <f>(Q18+((S18-0)*R18))*((100-P18)/100)</f>
        <v>250000</v>
      </c>
      <c r="W18" s="90"/>
      <c r="X18" s="91"/>
      <c r="Y18" s="90"/>
    </row>
    <row r="19" spans="1:25" s="82" customFormat="1">
      <c r="A19" s="671">
        <f t="shared" si="0"/>
        <v>13</v>
      </c>
      <c r="B19" s="671">
        <v>13</v>
      </c>
      <c r="C19" s="670" t="s">
        <v>1773</v>
      </c>
      <c r="D19" s="669" t="s">
        <v>43</v>
      </c>
      <c r="E19" s="670" t="s">
        <v>1774</v>
      </c>
      <c r="F19" s="668">
        <v>1300</v>
      </c>
      <c r="G19" s="668">
        <v>1700</v>
      </c>
      <c r="H19" s="667" t="s">
        <v>864</v>
      </c>
      <c r="I19" s="140" t="s">
        <v>35</v>
      </c>
      <c r="J19" s="140" t="s">
        <v>36</v>
      </c>
      <c r="K19" s="1012" t="s">
        <v>76</v>
      </c>
      <c r="L19" s="1013" t="s">
        <v>255</v>
      </c>
      <c r="M19" s="666"/>
      <c r="N19" s="1024" t="s">
        <v>1775</v>
      </c>
      <c r="O19" s="1015" t="s">
        <v>40</v>
      </c>
      <c r="P19" s="977"/>
      <c r="Q19" s="1017">
        <f>R19*3</f>
        <v>1500000</v>
      </c>
      <c r="R19" s="1017">
        <v>500000</v>
      </c>
      <c r="S19" s="1018">
        <f t="shared" si="3"/>
        <v>4</v>
      </c>
      <c r="T19" s="669"/>
      <c r="U19" s="1019">
        <f t="shared" si="1"/>
        <v>2000000</v>
      </c>
      <c r="V19" s="622">
        <f>(Q19+((S19-4)*R19))*((100-P19)/100)</f>
        <v>1500000</v>
      </c>
      <c r="W19" s="90"/>
      <c r="X19" s="91"/>
      <c r="Y19" s="90"/>
    </row>
    <row r="20" spans="1:25" s="82" customFormat="1" ht="26">
      <c r="A20" s="81">
        <f t="shared" si="0"/>
        <v>14</v>
      </c>
      <c r="B20" s="81">
        <v>14</v>
      </c>
      <c r="C20" s="258" t="s">
        <v>1776</v>
      </c>
      <c r="D20" s="259" t="s">
        <v>75</v>
      </c>
      <c r="E20" s="258" t="s">
        <v>1777</v>
      </c>
      <c r="F20" s="86">
        <v>1530</v>
      </c>
      <c r="G20" s="86">
        <v>1630</v>
      </c>
      <c r="H20" s="261" t="s">
        <v>1778</v>
      </c>
      <c r="I20" s="140" t="s">
        <v>35</v>
      </c>
      <c r="J20" s="140" t="s">
        <v>36</v>
      </c>
      <c r="K20" s="315" t="s">
        <v>76</v>
      </c>
      <c r="L20" s="297" t="s">
        <v>47</v>
      </c>
      <c r="M20" s="354"/>
      <c r="N20" s="325" t="s">
        <v>1779</v>
      </c>
      <c r="O20" s="433" t="s">
        <v>40</v>
      </c>
      <c r="P20" s="408"/>
      <c r="Q20" s="415"/>
      <c r="R20" s="275">
        <v>500000</v>
      </c>
      <c r="S20" s="162">
        <f t="shared" si="3"/>
        <v>1</v>
      </c>
      <c r="T20" s="259"/>
      <c r="U20" s="270">
        <f t="shared" si="1"/>
        <v>500000</v>
      </c>
      <c r="V20" s="386">
        <f t="shared" ref="V20:V47" si="4">(Q20+((S20-0)*R20))*((100-P20)/100)</f>
        <v>500000</v>
      </c>
      <c r="W20" s="90"/>
      <c r="X20" s="91"/>
      <c r="Y20" s="90"/>
    </row>
    <row r="21" spans="1:25" s="82" customFormat="1" ht="26">
      <c r="A21" s="81">
        <f t="shared" si="0"/>
        <v>15</v>
      </c>
      <c r="B21" s="81">
        <v>15</v>
      </c>
      <c r="C21" s="258" t="s">
        <v>1780</v>
      </c>
      <c r="D21" s="259" t="s">
        <v>75</v>
      </c>
      <c r="E21" s="258" t="s">
        <v>1777</v>
      </c>
      <c r="F21" s="86">
        <v>1400</v>
      </c>
      <c r="G21" s="86">
        <v>1500</v>
      </c>
      <c r="H21" s="261" t="s">
        <v>1778</v>
      </c>
      <c r="I21" s="140" t="s">
        <v>35</v>
      </c>
      <c r="J21" s="140" t="s">
        <v>36</v>
      </c>
      <c r="K21" s="315" t="s">
        <v>76</v>
      </c>
      <c r="L21" s="297" t="s">
        <v>47</v>
      </c>
      <c r="M21" s="132"/>
      <c r="N21" s="325" t="s">
        <v>1781</v>
      </c>
      <c r="O21" s="433" t="s">
        <v>40</v>
      </c>
      <c r="P21" s="83"/>
      <c r="Q21" s="415"/>
      <c r="R21" s="275">
        <v>500000</v>
      </c>
      <c r="S21" s="162">
        <f t="shared" si="3"/>
        <v>1</v>
      </c>
      <c r="T21" s="94"/>
      <c r="U21" s="270">
        <f t="shared" si="1"/>
        <v>500000</v>
      </c>
      <c r="V21" s="386">
        <f t="shared" si="4"/>
        <v>500000</v>
      </c>
    </row>
    <row r="22" spans="1:25" s="82" customFormat="1" ht="26" hidden="1">
      <c r="A22" s="81">
        <f t="shared" si="0"/>
        <v>16</v>
      </c>
      <c r="B22" s="81">
        <v>16</v>
      </c>
      <c r="C22" s="258" t="s">
        <v>1782</v>
      </c>
      <c r="D22" s="259" t="s">
        <v>32</v>
      </c>
      <c r="E22" s="258" t="s">
        <v>1745</v>
      </c>
      <c r="F22" s="86">
        <v>1500</v>
      </c>
      <c r="G22" s="86">
        <v>1600</v>
      </c>
      <c r="H22" s="261" t="s">
        <v>732</v>
      </c>
      <c r="I22" s="140" t="s">
        <v>35</v>
      </c>
      <c r="J22" s="140" t="s">
        <v>36</v>
      </c>
      <c r="K22" s="315" t="s">
        <v>171</v>
      </c>
      <c r="L22" s="297" t="s">
        <v>1221</v>
      </c>
      <c r="M22" s="132"/>
      <c r="N22" s="601" t="s">
        <v>1783</v>
      </c>
      <c r="O22" s="433" t="s">
        <v>40</v>
      </c>
      <c r="P22" s="408"/>
      <c r="Q22" s="415"/>
      <c r="R22" s="275">
        <v>950000</v>
      </c>
      <c r="S22" s="162">
        <f t="shared" si="3"/>
        <v>1</v>
      </c>
      <c r="T22" s="259"/>
      <c r="U22" s="270">
        <f t="shared" si="1"/>
        <v>950000</v>
      </c>
      <c r="V22" s="386">
        <f t="shared" si="4"/>
        <v>950000</v>
      </c>
      <c r="W22" s="90"/>
      <c r="X22" s="91"/>
      <c r="Y22" s="90"/>
    </row>
    <row r="23" spans="1:25" s="82" customFormat="1" hidden="1">
      <c r="A23" s="81">
        <f t="shared" si="0"/>
        <v>17</v>
      </c>
      <c r="B23" s="81">
        <v>17</v>
      </c>
      <c r="C23" s="258" t="s">
        <v>1784</v>
      </c>
      <c r="D23" s="259" t="s">
        <v>32</v>
      </c>
      <c r="E23" s="258" t="s">
        <v>1785</v>
      </c>
      <c r="F23" s="86">
        <v>1100</v>
      </c>
      <c r="G23" s="86">
        <v>1200</v>
      </c>
      <c r="H23" s="261" t="s">
        <v>1786</v>
      </c>
      <c r="I23" s="140" t="s">
        <v>36</v>
      </c>
      <c r="J23" s="140" t="s">
        <v>36</v>
      </c>
      <c r="K23" s="315" t="s">
        <v>37</v>
      </c>
      <c r="L23" s="297" t="s">
        <v>124</v>
      </c>
      <c r="M23" s="132"/>
      <c r="N23" s="325" t="s">
        <v>1787</v>
      </c>
      <c r="O23" s="433" t="s">
        <v>40</v>
      </c>
      <c r="P23" s="424"/>
      <c r="Q23" s="419"/>
      <c r="R23" s="275">
        <v>950000</v>
      </c>
      <c r="S23" s="162">
        <f t="shared" si="3"/>
        <v>1</v>
      </c>
      <c r="T23" s="259"/>
      <c r="U23" s="270">
        <f t="shared" si="1"/>
        <v>950000</v>
      </c>
      <c r="V23" s="386">
        <f t="shared" si="4"/>
        <v>950000</v>
      </c>
      <c r="W23" s="90"/>
      <c r="X23" s="91"/>
      <c r="Y23" s="90"/>
    </row>
    <row r="24" spans="1:25" s="605" customFormat="1">
      <c r="A24" s="81">
        <f t="shared" si="0"/>
        <v>18</v>
      </c>
      <c r="B24" s="81">
        <v>18</v>
      </c>
      <c r="C24" s="258" t="s">
        <v>1788</v>
      </c>
      <c r="D24" s="259" t="s">
        <v>43</v>
      </c>
      <c r="E24" s="258" t="s">
        <v>1135</v>
      </c>
      <c r="F24" s="86">
        <v>1130</v>
      </c>
      <c r="G24" s="86">
        <v>1400</v>
      </c>
      <c r="H24" s="261" t="s">
        <v>1789</v>
      </c>
      <c r="I24" s="140" t="s">
        <v>35</v>
      </c>
      <c r="J24" s="140" t="s">
        <v>36</v>
      </c>
      <c r="K24" s="315" t="s">
        <v>76</v>
      </c>
      <c r="L24" s="297" t="s">
        <v>266</v>
      </c>
      <c r="M24" s="295"/>
      <c r="N24" s="604" t="s">
        <v>1790</v>
      </c>
      <c r="O24" s="433" t="s">
        <v>40</v>
      </c>
      <c r="P24" s="83"/>
      <c r="Q24" s="529"/>
      <c r="R24" s="275">
        <v>500000</v>
      </c>
      <c r="S24" s="162">
        <f>(G24-1150)/100</f>
        <v>2.5</v>
      </c>
      <c r="T24" s="362"/>
      <c r="U24" s="270">
        <f t="shared" si="1"/>
        <v>1250000</v>
      </c>
      <c r="V24" s="386">
        <f t="shared" si="4"/>
        <v>1250000</v>
      </c>
      <c r="X24" s="386">
        <f>(Q24+((S24-0)*R24))*((100-P24)/100)</f>
        <v>1250000</v>
      </c>
    </row>
    <row r="25" spans="1:25" s="605" customFormat="1">
      <c r="A25" s="81">
        <f t="shared" si="0"/>
        <v>19</v>
      </c>
      <c r="B25" s="81">
        <v>19</v>
      </c>
      <c r="C25" s="258" t="s">
        <v>1791</v>
      </c>
      <c r="D25" s="259" t="s">
        <v>43</v>
      </c>
      <c r="E25" s="258" t="s">
        <v>1135</v>
      </c>
      <c r="F25" s="86">
        <v>1500</v>
      </c>
      <c r="G25" s="86">
        <v>1700</v>
      </c>
      <c r="H25" s="261" t="s">
        <v>1792</v>
      </c>
      <c r="I25" s="140" t="s">
        <v>35</v>
      </c>
      <c r="J25" s="140" t="s">
        <v>36</v>
      </c>
      <c r="K25" s="315" t="s">
        <v>76</v>
      </c>
      <c r="L25" s="297" t="s">
        <v>266</v>
      </c>
      <c r="M25" s="309"/>
      <c r="N25" s="604" t="s">
        <v>1793</v>
      </c>
      <c r="O25" s="433" t="s">
        <v>40</v>
      </c>
      <c r="P25" s="602"/>
      <c r="Q25" s="525"/>
      <c r="R25" s="275">
        <v>500000</v>
      </c>
      <c r="S25" s="162">
        <f t="shared" si="3"/>
        <v>2</v>
      </c>
      <c r="T25" s="259"/>
      <c r="U25" s="270">
        <f t="shared" si="1"/>
        <v>1000000</v>
      </c>
      <c r="V25" s="386">
        <f t="shared" si="4"/>
        <v>1000000</v>
      </c>
      <c r="W25" s="90"/>
      <c r="X25" s="91"/>
      <c r="Y25" s="90"/>
    </row>
    <row r="26" spans="1:25" s="605" customFormat="1">
      <c r="A26" s="81">
        <f t="shared" si="0"/>
        <v>20</v>
      </c>
      <c r="B26" s="81">
        <v>20</v>
      </c>
      <c r="C26" s="258" t="s">
        <v>1794</v>
      </c>
      <c r="D26" s="259" t="s">
        <v>43</v>
      </c>
      <c r="E26" s="258" t="s">
        <v>1135</v>
      </c>
      <c r="F26" s="86">
        <v>900</v>
      </c>
      <c r="G26" s="86">
        <v>1130</v>
      </c>
      <c r="H26" s="261" t="s">
        <v>1789</v>
      </c>
      <c r="I26" s="140" t="s">
        <v>35</v>
      </c>
      <c r="J26" s="140" t="s">
        <v>36</v>
      </c>
      <c r="K26" s="315" t="s">
        <v>76</v>
      </c>
      <c r="L26" s="297" t="s">
        <v>266</v>
      </c>
      <c r="M26" s="309"/>
      <c r="N26" s="606" t="s">
        <v>1795</v>
      </c>
      <c r="O26" s="433" t="s">
        <v>40</v>
      </c>
      <c r="P26" s="83"/>
      <c r="Q26" s="603"/>
      <c r="R26" s="275">
        <v>500000</v>
      </c>
      <c r="S26" s="162">
        <f>(1150-F26)/100</f>
        <v>2.5</v>
      </c>
      <c r="T26" s="362"/>
      <c r="U26" s="270">
        <f t="shared" si="1"/>
        <v>1250000</v>
      </c>
      <c r="V26" s="386">
        <f t="shared" si="4"/>
        <v>1250000</v>
      </c>
    </row>
    <row r="27" spans="1:25" s="82" customFormat="1" ht="26" hidden="1">
      <c r="A27" s="81">
        <f t="shared" si="0"/>
        <v>21</v>
      </c>
      <c r="B27" s="81">
        <v>21</v>
      </c>
      <c r="C27" s="258" t="s">
        <v>1796</v>
      </c>
      <c r="D27" s="259" t="s">
        <v>32</v>
      </c>
      <c r="E27" s="258" t="s">
        <v>1135</v>
      </c>
      <c r="F27" s="86">
        <v>1400</v>
      </c>
      <c r="G27" s="86">
        <v>1500</v>
      </c>
      <c r="H27" s="261" t="s">
        <v>1797</v>
      </c>
      <c r="I27" s="140" t="s">
        <v>35</v>
      </c>
      <c r="J27" s="140" t="s">
        <v>36</v>
      </c>
      <c r="K27" s="315" t="s">
        <v>37</v>
      </c>
      <c r="L27" s="297" t="s">
        <v>47</v>
      </c>
      <c r="M27" s="417"/>
      <c r="N27" s="448" t="s">
        <v>1798</v>
      </c>
      <c r="O27" s="433" t="s">
        <v>40</v>
      </c>
      <c r="P27" s="408"/>
      <c r="Q27" s="415"/>
      <c r="R27" s="273">
        <v>950000</v>
      </c>
      <c r="S27" s="162">
        <f t="shared" si="3"/>
        <v>1</v>
      </c>
      <c r="T27" s="259"/>
      <c r="U27" s="270">
        <f t="shared" si="1"/>
        <v>950000</v>
      </c>
      <c r="V27" s="386">
        <f t="shared" si="4"/>
        <v>950000</v>
      </c>
      <c r="W27" s="90"/>
      <c r="X27" s="91"/>
      <c r="Y27" s="90"/>
    </row>
    <row r="28" spans="1:25" s="82" customFormat="1" ht="26">
      <c r="A28" s="81">
        <f t="shared" si="0"/>
        <v>22</v>
      </c>
      <c r="B28" s="81">
        <v>22</v>
      </c>
      <c r="C28" s="258" t="s">
        <v>1799</v>
      </c>
      <c r="D28" s="259" t="s">
        <v>75</v>
      </c>
      <c r="E28" s="258" t="s">
        <v>1800</v>
      </c>
      <c r="F28" s="86">
        <v>1330</v>
      </c>
      <c r="G28" s="86">
        <v>1430</v>
      </c>
      <c r="H28" s="261" t="s">
        <v>1801</v>
      </c>
      <c r="I28" s="140" t="s">
        <v>35</v>
      </c>
      <c r="J28" s="140" t="s">
        <v>36</v>
      </c>
      <c r="K28" s="315" t="s">
        <v>76</v>
      </c>
      <c r="L28" s="412" t="s">
        <v>47</v>
      </c>
      <c r="M28" s="94"/>
      <c r="N28" s="449" t="s">
        <v>1802</v>
      </c>
      <c r="O28" s="433" t="s">
        <v>40</v>
      </c>
      <c r="P28" s="425"/>
      <c r="Q28" s="420"/>
      <c r="R28" s="275">
        <v>500000</v>
      </c>
      <c r="S28" s="162">
        <f t="shared" si="3"/>
        <v>1</v>
      </c>
      <c r="T28" s="94"/>
      <c r="U28" s="270">
        <f t="shared" si="1"/>
        <v>500000</v>
      </c>
      <c r="V28" s="386">
        <f t="shared" si="4"/>
        <v>500000</v>
      </c>
      <c r="X28" s="426">
        <f>V28*((100-P28)/100)</f>
        <v>500000</v>
      </c>
    </row>
    <row r="29" spans="1:25" s="82" customFormat="1" ht="13" hidden="1">
      <c r="A29" s="81">
        <f t="shared" si="0"/>
        <v>23</v>
      </c>
      <c r="B29" s="81">
        <v>23</v>
      </c>
      <c r="C29" s="258" t="s">
        <v>1803</v>
      </c>
      <c r="D29" s="259" t="s">
        <v>32</v>
      </c>
      <c r="E29" s="258" t="s">
        <v>1785</v>
      </c>
      <c r="F29" s="86">
        <v>1000</v>
      </c>
      <c r="G29" s="86">
        <v>1100</v>
      </c>
      <c r="H29" s="261" t="s">
        <v>1804</v>
      </c>
      <c r="I29" s="140" t="s">
        <v>35</v>
      </c>
      <c r="J29" s="140" t="s">
        <v>36</v>
      </c>
      <c r="K29" s="315" t="s">
        <v>37</v>
      </c>
      <c r="L29" s="297" t="s">
        <v>124</v>
      </c>
      <c r="M29" s="354"/>
      <c r="N29" s="451" t="s">
        <v>1805</v>
      </c>
      <c r="O29" s="433" t="s">
        <v>174</v>
      </c>
      <c r="P29" s="425"/>
      <c r="Q29" s="420"/>
      <c r="R29" s="275"/>
      <c r="S29" s="162">
        <f t="shared" si="3"/>
        <v>1</v>
      </c>
      <c r="T29" s="259"/>
      <c r="U29" s="270">
        <f t="shared" si="1"/>
        <v>0</v>
      </c>
      <c r="V29" s="470">
        <f t="shared" si="4"/>
        <v>0</v>
      </c>
      <c r="W29" s="90"/>
      <c r="X29" s="426">
        <f>V29*((100-P29)/100)</f>
        <v>0</v>
      </c>
      <c r="Y29" s="90"/>
    </row>
    <row r="30" spans="1:25" s="82" customFormat="1" ht="26" hidden="1">
      <c r="A30" s="81">
        <f t="shared" si="0"/>
        <v>24</v>
      </c>
      <c r="B30" s="81">
        <v>24</v>
      </c>
      <c r="C30" s="258" t="s">
        <v>1806</v>
      </c>
      <c r="D30" s="259" t="s">
        <v>32</v>
      </c>
      <c r="E30" s="258" t="s">
        <v>1738</v>
      </c>
      <c r="F30" s="86">
        <v>900</v>
      </c>
      <c r="G30" s="86">
        <v>1200</v>
      </c>
      <c r="H30" s="261" t="s">
        <v>1132</v>
      </c>
      <c r="I30" s="140" t="s">
        <v>35</v>
      </c>
      <c r="J30" s="140" t="s">
        <v>36</v>
      </c>
      <c r="K30" s="315" t="s">
        <v>37</v>
      </c>
      <c r="L30" s="297" t="s">
        <v>1221</v>
      </c>
      <c r="M30" s="295"/>
      <c r="N30" s="451" t="s">
        <v>1807</v>
      </c>
      <c r="O30" s="433" t="s">
        <v>174</v>
      </c>
      <c r="P30" s="83"/>
      <c r="Q30" s="416"/>
      <c r="R30" s="273"/>
      <c r="S30" s="162">
        <f t="shared" si="3"/>
        <v>3</v>
      </c>
      <c r="T30" s="259"/>
      <c r="U30" s="270">
        <f t="shared" si="1"/>
        <v>0</v>
      </c>
      <c r="V30" s="470">
        <f t="shared" si="4"/>
        <v>0</v>
      </c>
      <c r="W30" s="90"/>
      <c r="X30" s="426">
        <f>V30*((100-P30)/100)</f>
        <v>0</v>
      </c>
      <c r="Y30" s="90"/>
    </row>
    <row r="31" spans="1:25" s="82" customFormat="1" ht="26" hidden="1">
      <c r="A31" s="81">
        <f t="shared" si="0"/>
        <v>25</v>
      </c>
      <c r="B31" s="81">
        <v>25</v>
      </c>
      <c r="C31" s="258" t="s">
        <v>1808</v>
      </c>
      <c r="D31" s="259" t="s">
        <v>32</v>
      </c>
      <c r="E31" s="258" t="s">
        <v>1809</v>
      </c>
      <c r="F31" s="86">
        <v>1045</v>
      </c>
      <c r="G31" s="86">
        <v>1145</v>
      </c>
      <c r="H31" s="261" t="s">
        <v>1636</v>
      </c>
      <c r="I31" s="140" t="s">
        <v>35</v>
      </c>
      <c r="J31" s="140" t="s">
        <v>36</v>
      </c>
      <c r="K31" s="315" t="s">
        <v>37</v>
      </c>
      <c r="L31" s="297" t="s">
        <v>72</v>
      </c>
      <c r="M31" s="132"/>
      <c r="N31" s="448" t="s">
        <v>1810</v>
      </c>
      <c r="O31" s="433" t="s">
        <v>40</v>
      </c>
      <c r="P31" s="408"/>
      <c r="Q31" s="275"/>
      <c r="R31" s="275">
        <v>950000</v>
      </c>
      <c r="S31" s="162">
        <f t="shared" si="3"/>
        <v>1</v>
      </c>
      <c r="T31" s="259"/>
      <c r="U31" s="270">
        <f t="shared" si="1"/>
        <v>950000</v>
      </c>
      <c r="V31" s="386">
        <f t="shared" si="4"/>
        <v>950000</v>
      </c>
      <c r="W31" s="90"/>
      <c r="X31" s="91"/>
      <c r="Y31" s="90"/>
    </row>
    <row r="32" spans="1:25" s="82" customFormat="1" ht="14" hidden="1">
      <c r="A32" s="81">
        <f t="shared" si="0"/>
        <v>26</v>
      </c>
      <c r="B32" s="81">
        <v>26</v>
      </c>
      <c r="C32" s="258" t="s">
        <v>1811</v>
      </c>
      <c r="D32" s="259" t="s">
        <v>32</v>
      </c>
      <c r="E32" s="258" t="s">
        <v>1135</v>
      </c>
      <c r="F32" s="86">
        <v>830</v>
      </c>
      <c r="G32" s="86">
        <v>1100</v>
      </c>
      <c r="H32" s="261" t="s">
        <v>1812</v>
      </c>
      <c r="I32" s="140" t="s">
        <v>35</v>
      </c>
      <c r="J32" s="140" t="s">
        <v>36</v>
      </c>
      <c r="K32" s="315" t="s">
        <v>37</v>
      </c>
      <c r="L32" s="297" t="s">
        <v>218</v>
      </c>
      <c r="M32" s="132"/>
      <c r="N32" s="451" t="s">
        <v>1813</v>
      </c>
      <c r="O32" s="433" t="s">
        <v>40</v>
      </c>
      <c r="P32" s="408"/>
      <c r="Q32" s="415"/>
      <c r="R32" s="275">
        <v>950000</v>
      </c>
      <c r="S32" s="162">
        <f>(G32-850)/100</f>
        <v>2.5</v>
      </c>
      <c r="T32" s="259"/>
      <c r="U32" s="270">
        <f t="shared" si="1"/>
        <v>2375000</v>
      </c>
      <c r="V32" s="386">
        <f t="shared" si="4"/>
        <v>2375000</v>
      </c>
      <c r="W32" s="90"/>
      <c r="X32" s="91"/>
      <c r="Y32" s="90"/>
    </row>
    <row r="33" spans="1:25" s="82" customFormat="1" ht="13" hidden="1">
      <c r="A33" s="81">
        <f t="shared" si="0"/>
        <v>27</v>
      </c>
      <c r="B33" s="81">
        <v>27</v>
      </c>
      <c r="C33" s="258" t="s">
        <v>1814</v>
      </c>
      <c r="D33" s="259" t="s">
        <v>32</v>
      </c>
      <c r="E33" s="258" t="s">
        <v>1815</v>
      </c>
      <c r="F33" s="86">
        <v>830</v>
      </c>
      <c r="G33" s="86">
        <v>1100</v>
      </c>
      <c r="H33" s="261" t="s">
        <v>1812</v>
      </c>
      <c r="I33" s="140" t="s">
        <v>35</v>
      </c>
      <c r="J33" s="140" t="s">
        <v>36</v>
      </c>
      <c r="K33" s="315" t="s">
        <v>37</v>
      </c>
      <c r="L33" s="297" t="s">
        <v>218</v>
      </c>
      <c r="M33" s="132"/>
      <c r="N33" s="451" t="s">
        <v>1816</v>
      </c>
      <c r="O33" s="433" t="s">
        <v>174</v>
      </c>
      <c r="P33" s="261"/>
      <c r="Q33" s="275"/>
      <c r="R33" s="275"/>
      <c r="S33" s="162">
        <f t="shared" si="3"/>
        <v>2.7</v>
      </c>
      <c r="T33" s="259"/>
      <c r="U33" s="270">
        <f t="shared" si="1"/>
        <v>0</v>
      </c>
      <c r="V33" s="470">
        <f t="shared" si="4"/>
        <v>0</v>
      </c>
      <c r="W33" s="90"/>
      <c r="X33" s="91"/>
      <c r="Y33" s="90"/>
    </row>
    <row r="34" spans="1:25" s="82" customFormat="1" ht="13">
      <c r="A34" s="671">
        <f t="shared" si="0"/>
        <v>28</v>
      </c>
      <c r="B34" s="671">
        <v>28</v>
      </c>
      <c r="C34" s="670" t="s">
        <v>1817</v>
      </c>
      <c r="D34" s="669" t="s">
        <v>43</v>
      </c>
      <c r="E34" s="670" t="s">
        <v>1815</v>
      </c>
      <c r="F34" s="668">
        <v>1000</v>
      </c>
      <c r="G34" s="668">
        <v>1130</v>
      </c>
      <c r="H34" s="667" t="s">
        <v>1041</v>
      </c>
      <c r="I34" s="140" t="s">
        <v>35</v>
      </c>
      <c r="J34" s="140" t="s">
        <v>36</v>
      </c>
      <c r="K34" s="1012" t="s">
        <v>76</v>
      </c>
      <c r="L34" s="1026" t="s">
        <v>255</v>
      </c>
      <c r="M34" s="1028"/>
      <c r="N34" s="1029" t="s">
        <v>1818</v>
      </c>
      <c r="O34" s="1015" t="s">
        <v>40</v>
      </c>
      <c r="P34" s="674"/>
      <c r="Q34" s="1021"/>
      <c r="R34" s="1017">
        <v>500000</v>
      </c>
      <c r="S34" s="1018">
        <f>(1150-F34)/100</f>
        <v>1.5</v>
      </c>
      <c r="T34" s="669"/>
      <c r="U34" s="1019">
        <f t="shared" si="1"/>
        <v>750000</v>
      </c>
      <c r="V34" s="622">
        <f t="shared" si="4"/>
        <v>750000</v>
      </c>
      <c r="W34" s="90"/>
      <c r="X34" s="91"/>
      <c r="Y34" s="90"/>
    </row>
    <row r="35" spans="1:25" s="82" customFormat="1">
      <c r="A35" s="671">
        <f t="shared" si="0"/>
        <v>29</v>
      </c>
      <c r="B35" s="671">
        <v>29</v>
      </c>
      <c r="C35" s="670" t="s">
        <v>1819</v>
      </c>
      <c r="D35" s="669" t="s">
        <v>75</v>
      </c>
      <c r="E35" s="260">
        <v>45270</v>
      </c>
      <c r="F35" s="668">
        <v>1700</v>
      </c>
      <c r="G35" s="668">
        <v>1800</v>
      </c>
      <c r="H35" s="667" t="s">
        <v>861</v>
      </c>
      <c r="I35" s="140" t="s">
        <v>35</v>
      </c>
      <c r="J35" s="140" t="s">
        <v>36</v>
      </c>
      <c r="K35" s="1012" t="s">
        <v>76</v>
      </c>
      <c r="L35" s="1026" t="s">
        <v>255</v>
      </c>
      <c r="M35" s="1028"/>
      <c r="N35" s="1030">
        <v>45270.700208333335</v>
      </c>
      <c r="O35" s="1015" t="s">
        <v>40</v>
      </c>
      <c r="P35" s="667"/>
      <c r="Q35" s="1021"/>
      <c r="R35" s="1017">
        <v>500000</v>
      </c>
      <c r="S35" s="1018">
        <f t="shared" si="3"/>
        <v>1</v>
      </c>
      <c r="T35" s="669"/>
      <c r="U35" s="1019">
        <f t="shared" si="1"/>
        <v>500000</v>
      </c>
      <c r="V35" s="622">
        <f t="shared" si="4"/>
        <v>500000</v>
      </c>
      <c r="W35" s="90"/>
      <c r="X35" s="91"/>
      <c r="Y35" s="90"/>
    </row>
    <row r="36" spans="1:25" s="82" customFormat="1" hidden="1">
      <c r="A36" s="81">
        <f t="shared" si="0"/>
        <v>30</v>
      </c>
      <c r="B36" s="81">
        <v>30</v>
      </c>
      <c r="C36" s="258" t="s">
        <v>1820</v>
      </c>
      <c r="D36" s="259" t="s">
        <v>32</v>
      </c>
      <c r="E36" s="258" t="s">
        <v>1821</v>
      </c>
      <c r="F36" s="86">
        <v>1430</v>
      </c>
      <c r="G36" s="86">
        <v>1530</v>
      </c>
      <c r="H36" s="261" t="s">
        <v>1822</v>
      </c>
      <c r="I36" s="140" t="s">
        <v>35</v>
      </c>
      <c r="J36" s="140" t="s">
        <v>36</v>
      </c>
      <c r="K36" s="315" t="s">
        <v>37</v>
      </c>
      <c r="L36" s="297" t="s">
        <v>72</v>
      </c>
      <c r="M36" s="295"/>
      <c r="N36" s="448">
        <v>45270.635891203703</v>
      </c>
      <c r="O36" s="433" t="s">
        <v>40</v>
      </c>
      <c r="P36" s="261"/>
      <c r="Q36" s="415"/>
      <c r="R36" s="275">
        <v>950000</v>
      </c>
      <c r="S36" s="162">
        <f t="shared" si="3"/>
        <v>1</v>
      </c>
      <c r="T36" s="259"/>
      <c r="U36" s="270">
        <f t="shared" si="1"/>
        <v>950000</v>
      </c>
      <c r="V36" s="386">
        <f t="shared" si="4"/>
        <v>950000</v>
      </c>
      <c r="W36" s="90"/>
      <c r="X36" s="91"/>
      <c r="Y36" s="90"/>
    </row>
    <row r="37" spans="1:25" s="82" customFormat="1" ht="26">
      <c r="A37" s="81">
        <f t="shared" si="0"/>
        <v>31</v>
      </c>
      <c r="B37" s="81">
        <v>31</v>
      </c>
      <c r="C37" s="258" t="s">
        <v>1823</v>
      </c>
      <c r="D37" s="259" t="s">
        <v>43</v>
      </c>
      <c r="E37" s="258" t="s">
        <v>1751</v>
      </c>
      <c r="F37" s="86">
        <v>900</v>
      </c>
      <c r="G37" s="86">
        <v>1100</v>
      </c>
      <c r="H37" s="261" t="s">
        <v>1824</v>
      </c>
      <c r="I37" s="140" t="s">
        <v>35</v>
      </c>
      <c r="J37" s="140" t="s">
        <v>36</v>
      </c>
      <c r="K37" s="315" t="s">
        <v>76</v>
      </c>
      <c r="L37" s="297" t="s">
        <v>47</v>
      </c>
      <c r="M37" s="295"/>
      <c r="N37" s="448">
        <v>45270.631111111114</v>
      </c>
      <c r="O37" s="433" t="s">
        <v>174</v>
      </c>
      <c r="P37" s="261"/>
      <c r="Q37" s="415"/>
      <c r="R37" s="275">
        <v>500000</v>
      </c>
      <c r="S37" s="162">
        <f t="shared" si="3"/>
        <v>2</v>
      </c>
      <c r="T37" s="259"/>
      <c r="U37" s="270">
        <f t="shared" si="1"/>
        <v>1000000</v>
      </c>
      <c r="V37" s="470">
        <f t="shared" si="4"/>
        <v>1000000</v>
      </c>
      <c r="W37" s="90"/>
      <c r="X37" s="91"/>
      <c r="Y37" s="90"/>
    </row>
    <row r="38" spans="1:25" s="82" customFormat="1" ht="26" hidden="1">
      <c r="A38" s="502">
        <f t="shared" si="0"/>
        <v>32</v>
      </c>
      <c r="B38" s="502">
        <v>32</v>
      </c>
      <c r="C38" s="503" t="s">
        <v>1825</v>
      </c>
      <c r="D38" s="504" t="s">
        <v>32</v>
      </c>
      <c r="E38" s="503" t="s">
        <v>1756</v>
      </c>
      <c r="F38" s="505">
        <v>1600</v>
      </c>
      <c r="G38" s="505">
        <v>1800</v>
      </c>
      <c r="H38" s="506" t="s">
        <v>1757</v>
      </c>
      <c r="I38" s="507" t="s">
        <v>35</v>
      </c>
      <c r="J38" s="507" t="s">
        <v>36</v>
      </c>
      <c r="K38" s="508" t="s">
        <v>37</v>
      </c>
      <c r="L38" s="517" t="s">
        <v>47</v>
      </c>
      <c r="M38" s="518"/>
      <c r="N38" s="519">
        <v>45270.630682870367</v>
      </c>
      <c r="O38" s="512" t="s">
        <v>174</v>
      </c>
      <c r="P38" s="506" t="s">
        <v>215</v>
      </c>
      <c r="Q38" s="513"/>
      <c r="R38" s="513">
        <v>950000</v>
      </c>
      <c r="S38" s="514">
        <f t="shared" si="3"/>
        <v>2</v>
      </c>
      <c r="T38" s="504"/>
      <c r="U38" s="515">
        <f t="shared" si="1"/>
        <v>950000</v>
      </c>
      <c r="V38" s="516">
        <f t="shared" si="4"/>
        <v>950000</v>
      </c>
      <c r="W38" s="90"/>
      <c r="X38" s="386">
        <f>(Q38+((S38-4)*R38))*((100-P38)/100)</f>
        <v>-950000</v>
      </c>
      <c r="Y38" s="90"/>
    </row>
    <row r="39" spans="1:25" s="82" customFormat="1" ht="26" hidden="1">
      <c r="A39" s="81">
        <f t="shared" si="0"/>
        <v>33</v>
      </c>
      <c r="B39" s="81">
        <v>33</v>
      </c>
      <c r="C39" s="258" t="s">
        <v>1826</v>
      </c>
      <c r="D39" s="259" t="s">
        <v>32</v>
      </c>
      <c r="E39" s="258" t="s">
        <v>1756</v>
      </c>
      <c r="F39" s="86">
        <v>1030</v>
      </c>
      <c r="G39" s="86">
        <v>1130</v>
      </c>
      <c r="H39" s="261" t="s">
        <v>1827</v>
      </c>
      <c r="I39" s="140" t="s">
        <v>35</v>
      </c>
      <c r="J39" s="140" t="s">
        <v>36</v>
      </c>
      <c r="K39" s="315" t="s">
        <v>37</v>
      </c>
      <c r="L39" s="261" t="s">
        <v>47</v>
      </c>
      <c r="M39" s="430"/>
      <c r="N39" s="453">
        <v>45270.630393518521</v>
      </c>
      <c r="O39" s="433" t="s">
        <v>40</v>
      </c>
      <c r="P39" s="261"/>
      <c r="Q39" s="415"/>
      <c r="R39" s="273">
        <v>950000</v>
      </c>
      <c r="S39" s="162">
        <f t="shared" si="3"/>
        <v>1</v>
      </c>
      <c r="T39" s="94"/>
      <c r="U39" s="270">
        <f t="shared" si="1"/>
        <v>950000</v>
      </c>
      <c r="V39" s="386">
        <f t="shared" si="4"/>
        <v>950000</v>
      </c>
    </row>
    <row r="40" spans="1:25" s="82" customFormat="1">
      <c r="A40" s="671">
        <f t="shared" si="0"/>
        <v>34</v>
      </c>
      <c r="B40" s="671">
        <v>34</v>
      </c>
      <c r="C40" s="670" t="s">
        <v>1828</v>
      </c>
      <c r="D40" s="669" t="s">
        <v>75</v>
      </c>
      <c r="E40" s="1031">
        <v>45270</v>
      </c>
      <c r="F40" s="668">
        <v>1400</v>
      </c>
      <c r="G40" s="668">
        <v>1700</v>
      </c>
      <c r="H40" s="667" t="s">
        <v>861</v>
      </c>
      <c r="I40" s="140" t="s">
        <v>35</v>
      </c>
      <c r="J40" s="140" t="s">
        <v>36</v>
      </c>
      <c r="K40" s="1012" t="s">
        <v>76</v>
      </c>
      <c r="L40" s="667" t="s">
        <v>255</v>
      </c>
      <c r="M40" s="1025"/>
      <c r="N40" s="803">
        <v>45270.628784722219</v>
      </c>
      <c r="O40" s="1032" t="s">
        <v>40</v>
      </c>
      <c r="P40" s="667"/>
      <c r="Q40" s="1021"/>
      <c r="R40" s="1017">
        <v>500000</v>
      </c>
      <c r="S40" s="1018">
        <f t="shared" si="3"/>
        <v>3</v>
      </c>
      <c r="T40" s="666"/>
      <c r="U40" s="1019">
        <f t="shared" si="1"/>
        <v>1500000</v>
      </c>
      <c r="V40" s="622">
        <f t="shared" si="4"/>
        <v>1500000</v>
      </c>
    </row>
    <row r="41" spans="1:25" s="82" customFormat="1" ht="26">
      <c r="A41" s="81">
        <f t="shared" si="0"/>
        <v>35</v>
      </c>
      <c r="B41" s="81">
        <v>35</v>
      </c>
      <c r="C41" s="258" t="s">
        <v>1829</v>
      </c>
      <c r="D41" s="259" t="s">
        <v>43</v>
      </c>
      <c r="E41" s="479" t="s">
        <v>1777</v>
      </c>
      <c r="F41" s="86">
        <v>1400</v>
      </c>
      <c r="G41" s="86">
        <v>1500</v>
      </c>
      <c r="H41" s="261" t="s">
        <v>1830</v>
      </c>
      <c r="I41" s="140" t="s">
        <v>35</v>
      </c>
      <c r="J41" s="140" t="s">
        <v>36</v>
      </c>
      <c r="K41" s="315" t="s">
        <v>76</v>
      </c>
      <c r="L41" s="261" t="s">
        <v>47</v>
      </c>
      <c r="M41" s="408"/>
      <c r="N41" s="480">
        <v>45270.50409722222</v>
      </c>
      <c r="O41" s="454" t="s">
        <v>40</v>
      </c>
      <c r="P41" s="261"/>
      <c r="Q41" s="415"/>
      <c r="R41" s="275">
        <v>500000</v>
      </c>
      <c r="S41" s="162">
        <f t="shared" si="3"/>
        <v>1</v>
      </c>
      <c r="T41" s="94"/>
      <c r="U41" s="270">
        <f t="shared" si="1"/>
        <v>500000</v>
      </c>
      <c r="V41" s="386">
        <f t="shared" si="4"/>
        <v>500000</v>
      </c>
    </row>
    <row r="42" spans="1:25" s="82" customFormat="1" ht="26">
      <c r="A42" s="81">
        <f t="shared" si="0"/>
        <v>36</v>
      </c>
      <c r="B42" s="81">
        <v>36</v>
      </c>
      <c r="C42" s="258" t="s">
        <v>1831</v>
      </c>
      <c r="D42" s="259" t="s">
        <v>43</v>
      </c>
      <c r="E42" s="479" t="s">
        <v>1800</v>
      </c>
      <c r="F42" s="86">
        <v>1500</v>
      </c>
      <c r="G42" s="86">
        <v>1800</v>
      </c>
      <c r="H42" s="261" t="s">
        <v>1832</v>
      </c>
      <c r="I42" s="140" t="s">
        <v>35</v>
      </c>
      <c r="J42" s="140" t="s">
        <v>36</v>
      </c>
      <c r="K42" s="315" t="s">
        <v>76</v>
      </c>
      <c r="L42" s="261" t="s">
        <v>47</v>
      </c>
      <c r="M42" s="408"/>
      <c r="N42" s="480">
        <v>45270.503680555557</v>
      </c>
      <c r="O42" s="454" t="s">
        <v>40</v>
      </c>
      <c r="P42" s="261"/>
      <c r="Q42" s="415"/>
      <c r="R42" s="275">
        <v>500000</v>
      </c>
      <c r="S42" s="162">
        <f t="shared" si="3"/>
        <v>3</v>
      </c>
      <c r="T42" s="46"/>
      <c r="U42" s="270">
        <f t="shared" si="1"/>
        <v>1500000</v>
      </c>
      <c r="V42" s="386">
        <f t="shared" si="4"/>
        <v>1500000</v>
      </c>
    </row>
    <row r="43" spans="1:25" s="631" customFormat="1">
      <c r="A43" s="671">
        <f t="shared" si="0"/>
        <v>37</v>
      </c>
      <c r="B43" s="671">
        <v>37</v>
      </c>
      <c r="C43" s="670" t="s">
        <v>1833</v>
      </c>
      <c r="D43" s="669" t="s">
        <v>43</v>
      </c>
      <c r="E43" s="1031">
        <v>45270</v>
      </c>
      <c r="F43" s="668">
        <v>1400</v>
      </c>
      <c r="G43" s="668">
        <v>1500</v>
      </c>
      <c r="H43" s="667" t="s">
        <v>916</v>
      </c>
      <c r="I43" s="140" t="s">
        <v>35</v>
      </c>
      <c r="J43" s="140" t="s">
        <v>36</v>
      </c>
      <c r="K43" s="1012" t="s">
        <v>56</v>
      </c>
      <c r="L43" s="667" t="s">
        <v>124</v>
      </c>
      <c r="M43" s="1025"/>
      <c r="N43" s="803">
        <v>45240.780578703707</v>
      </c>
      <c r="O43" s="1032" t="s">
        <v>40</v>
      </c>
      <c r="P43" s="667"/>
      <c r="Q43" s="1021"/>
      <c r="R43" s="1017">
        <v>500000</v>
      </c>
      <c r="S43" s="1018">
        <f t="shared" si="3"/>
        <v>1</v>
      </c>
      <c r="T43" s="669"/>
      <c r="U43" s="1019">
        <f t="shared" si="1"/>
        <v>500000</v>
      </c>
      <c r="V43" s="622">
        <f t="shared" si="4"/>
        <v>500000</v>
      </c>
      <c r="W43" s="995"/>
      <c r="X43" s="849"/>
      <c r="Y43" s="995"/>
    </row>
    <row r="44" spans="1:25" s="82" customFormat="1">
      <c r="A44" s="671">
        <f t="shared" si="0"/>
        <v>38</v>
      </c>
      <c r="B44" s="671">
        <v>38</v>
      </c>
      <c r="C44" s="670" t="s">
        <v>1834</v>
      </c>
      <c r="D44" s="669" t="s">
        <v>43</v>
      </c>
      <c r="E44" s="1031">
        <v>45240</v>
      </c>
      <c r="F44" s="668">
        <v>900</v>
      </c>
      <c r="G44" s="668">
        <v>1030</v>
      </c>
      <c r="H44" s="667" t="s">
        <v>1041</v>
      </c>
      <c r="I44" s="140" t="s">
        <v>35</v>
      </c>
      <c r="J44" s="140" t="s">
        <v>36</v>
      </c>
      <c r="K44" s="1012" t="s">
        <v>76</v>
      </c>
      <c r="L44" s="667" t="s">
        <v>255</v>
      </c>
      <c r="M44" s="1025"/>
      <c r="N44" s="803">
        <v>45240.414583333331</v>
      </c>
      <c r="O44" s="1032" t="s">
        <v>40</v>
      </c>
      <c r="P44" s="667"/>
      <c r="Q44" s="1017"/>
      <c r="R44" s="1017">
        <v>500000</v>
      </c>
      <c r="S44" s="1018">
        <f>(1050-F44)/100</f>
        <v>1.5</v>
      </c>
      <c r="T44" s="669"/>
      <c r="U44" s="1019">
        <f t="shared" si="1"/>
        <v>750000</v>
      </c>
      <c r="V44" s="622">
        <f t="shared" si="4"/>
        <v>750000</v>
      </c>
      <c r="W44" s="90"/>
      <c r="X44" s="91"/>
      <c r="Y44" s="90"/>
    </row>
    <row r="45" spans="1:25" s="82" customFormat="1">
      <c r="A45" s="671">
        <f t="shared" si="0"/>
        <v>39</v>
      </c>
      <c r="B45" s="671">
        <v>39</v>
      </c>
      <c r="C45" s="670" t="s">
        <v>1835</v>
      </c>
      <c r="D45" s="669" t="s">
        <v>43</v>
      </c>
      <c r="E45" s="1031">
        <v>45209</v>
      </c>
      <c r="F45" s="668">
        <v>1300</v>
      </c>
      <c r="G45" s="668">
        <v>1500</v>
      </c>
      <c r="H45" s="667" t="s">
        <v>811</v>
      </c>
      <c r="I45" s="140" t="s">
        <v>35</v>
      </c>
      <c r="J45" s="140" t="s">
        <v>36</v>
      </c>
      <c r="K45" s="1012" t="s">
        <v>76</v>
      </c>
      <c r="L45" s="667" t="s">
        <v>255</v>
      </c>
      <c r="M45" s="1025"/>
      <c r="N45" s="803">
        <v>45209.520856481482</v>
      </c>
      <c r="O45" s="1032" t="s">
        <v>40</v>
      </c>
      <c r="P45" s="667"/>
      <c r="Q45" s="623"/>
      <c r="R45" s="1017">
        <v>500000</v>
      </c>
      <c r="S45" s="1033">
        <f t="shared" si="3"/>
        <v>2</v>
      </c>
      <c r="T45" s="624"/>
      <c r="U45" s="985">
        <f t="shared" si="1"/>
        <v>1000000</v>
      </c>
      <c r="V45" s="625">
        <f t="shared" si="4"/>
        <v>1000000</v>
      </c>
    </row>
    <row r="46" spans="1:25" s="82" customFormat="1" ht="26">
      <c r="A46" s="81">
        <f t="shared" si="0"/>
        <v>40</v>
      </c>
      <c r="B46" s="81">
        <v>40</v>
      </c>
      <c r="C46" s="258" t="s">
        <v>1836</v>
      </c>
      <c r="D46" s="259" t="s">
        <v>43</v>
      </c>
      <c r="E46" s="479">
        <v>45209</v>
      </c>
      <c r="F46" s="86">
        <v>915</v>
      </c>
      <c r="G46" s="86">
        <v>1015</v>
      </c>
      <c r="H46" s="261" t="s">
        <v>1837</v>
      </c>
      <c r="I46" s="140" t="s">
        <v>35</v>
      </c>
      <c r="J46" s="140" t="s">
        <v>36</v>
      </c>
      <c r="K46" s="315" t="s">
        <v>76</v>
      </c>
      <c r="L46" s="261" t="s">
        <v>47</v>
      </c>
      <c r="M46" s="408"/>
      <c r="N46" s="480">
        <v>45209.411874999998</v>
      </c>
      <c r="O46" s="454" t="s">
        <v>40</v>
      </c>
      <c r="P46" s="261"/>
      <c r="Q46" s="273"/>
      <c r="R46" s="298">
        <v>500000</v>
      </c>
      <c r="S46" s="520">
        <f t="shared" si="3"/>
        <v>1</v>
      </c>
      <c r="T46" s="132"/>
      <c r="U46" s="521">
        <f t="shared" si="1"/>
        <v>500000</v>
      </c>
      <c r="V46" s="386">
        <f t="shared" si="4"/>
        <v>500000</v>
      </c>
      <c r="X46" s="386">
        <f>(Q46+((S46-0)*R46))*((100-P46)/100)</f>
        <v>500000</v>
      </c>
    </row>
    <row r="47" spans="1:25" s="82" customFormat="1" ht="26">
      <c r="A47" s="81">
        <f t="shared" si="0"/>
        <v>41</v>
      </c>
      <c r="B47" s="81">
        <v>41</v>
      </c>
      <c r="C47" s="258" t="s">
        <v>1838</v>
      </c>
      <c r="D47" s="259" t="s">
        <v>43</v>
      </c>
      <c r="E47" s="479">
        <v>45209</v>
      </c>
      <c r="F47" s="86">
        <v>1030</v>
      </c>
      <c r="G47" s="86">
        <v>1130</v>
      </c>
      <c r="H47" s="261" t="s">
        <v>1839</v>
      </c>
      <c r="I47" s="140" t="s">
        <v>35</v>
      </c>
      <c r="J47" s="140" t="s">
        <v>36</v>
      </c>
      <c r="K47" s="315" t="s">
        <v>76</v>
      </c>
      <c r="L47" s="261" t="s">
        <v>47</v>
      </c>
      <c r="M47" s="408"/>
      <c r="N47" s="480">
        <v>45179.75104166667</v>
      </c>
      <c r="O47" s="454" t="s">
        <v>40</v>
      </c>
      <c r="P47" s="261"/>
      <c r="Q47" s="526"/>
      <c r="R47" s="298">
        <v>500000</v>
      </c>
      <c r="S47" s="520">
        <f t="shared" si="3"/>
        <v>1</v>
      </c>
      <c r="T47" s="276"/>
      <c r="U47" s="521">
        <f t="shared" si="1"/>
        <v>500000</v>
      </c>
      <c r="V47" s="386">
        <f t="shared" si="4"/>
        <v>500000</v>
      </c>
      <c r="W47" s="90"/>
      <c r="X47" s="91"/>
      <c r="Y47" s="90"/>
    </row>
    <row r="48" spans="1:25" s="82" customFormat="1">
      <c r="A48" s="671">
        <f t="shared" si="0"/>
        <v>42</v>
      </c>
      <c r="B48" s="671">
        <v>42</v>
      </c>
      <c r="C48" s="670" t="s">
        <v>1840</v>
      </c>
      <c r="D48" s="669" t="s">
        <v>43</v>
      </c>
      <c r="E48" s="1031">
        <v>45179</v>
      </c>
      <c r="F48" s="668">
        <v>1300</v>
      </c>
      <c r="G48" s="668">
        <v>1700</v>
      </c>
      <c r="H48" s="667" t="s">
        <v>811</v>
      </c>
      <c r="I48" s="140" t="s">
        <v>35</v>
      </c>
      <c r="J48" s="140" t="s">
        <v>36</v>
      </c>
      <c r="K48" s="1012" t="s">
        <v>366</v>
      </c>
      <c r="L48" s="667" t="s">
        <v>255</v>
      </c>
      <c r="M48" s="1025"/>
      <c r="N48" s="803">
        <v>45179.502141203702</v>
      </c>
      <c r="O48" s="1032" t="s">
        <v>40</v>
      </c>
      <c r="P48" s="667"/>
      <c r="Q48" s="1017">
        <f>R48*3</f>
        <v>1500000</v>
      </c>
      <c r="R48" s="1017">
        <v>500000</v>
      </c>
      <c r="S48" s="1034">
        <f t="shared" si="3"/>
        <v>4</v>
      </c>
      <c r="T48" s="734"/>
      <c r="U48" s="979">
        <f t="shared" si="1"/>
        <v>2000000</v>
      </c>
      <c r="V48" s="626">
        <f>Q48+((S48-4)*R48)</f>
        <v>1500000</v>
      </c>
      <c r="W48" s="90"/>
      <c r="X48" s="91"/>
      <c r="Y48" s="90"/>
    </row>
    <row r="49" spans="1:25" s="82" customFormat="1">
      <c r="A49" s="671">
        <f t="shared" si="0"/>
        <v>43</v>
      </c>
      <c r="B49" s="671">
        <v>43</v>
      </c>
      <c r="C49" s="670" t="s">
        <v>1841</v>
      </c>
      <c r="D49" s="669" t="s">
        <v>43</v>
      </c>
      <c r="E49" s="1031">
        <v>45087</v>
      </c>
      <c r="F49" s="668">
        <v>1130</v>
      </c>
      <c r="G49" s="668">
        <v>1230</v>
      </c>
      <c r="H49" s="667" t="s">
        <v>861</v>
      </c>
      <c r="I49" s="140" t="s">
        <v>35</v>
      </c>
      <c r="J49" s="140" t="s">
        <v>36</v>
      </c>
      <c r="K49" s="1012" t="s">
        <v>133</v>
      </c>
      <c r="L49" s="667" t="s">
        <v>255</v>
      </c>
      <c r="M49" s="1025"/>
      <c r="N49" s="803">
        <v>45087.513622685183</v>
      </c>
      <c r="O49" s="1032" t="s">
        <v>40</v>
      </c>
      <c r="P49" s="667"/>
      <c r="Q49" s="1017"/>
      <c r="R49" s="1017">
        <v>500000</v>
      </c>
      <c r="S49" s="1018">
        <f t="shared" si="3"/>
        <v>1</v>
      </c>
      <c r="T49" s="666"/>
      <c r="U49" s="1019">
        <f t="shared" si="1"/>
        <v>500000</v>
      </c>
      <c r="V49" s="622">
        <f t="shared" ref="V49" si="5">(Q49+((S49-0)*R49))*((100-P49)/100)</f>
        <v>500000</v>
      </c>
    </row>
    <row r="50" spans="1:25" s="82" customFormat="1" ht="26" hidden="1">
      <c r="A50" s="634">
        <f t="shared" si="0"/>
        <v>44</v>
      </c>
      <c r="B50" s="634">
        <v>44</v>
      </c>
      <c r="C50" s="635" t="s">
        <v>1842</v>
      </c>
      <c r="D50" s="636" t="s">
        <v>32</v>
      </c>
      <c r="E50" s="637">
        <v>45209</v>
      </c>
      <c r="F50" s="638">
        <v>830</v>
      </c>
      <c r="G50" s="638">
        <v>1730</v>
      </c>
      <c r="H50" s="639" t="s">
        <v>1843</v>
      </c>
      <c r="I50" s="140" t="s">
        <v>35</v>
      </c>
      <c r="J50" s="140" t="s">
        <v>36</v>
      </c>
      <c r="K50" s="640" t="s">
        <v>1844</v>
      </c>
      <c r="L50" s="639" t="s">
        <v>1845</v>
      </c>
      <c r="M50" s="641"/>
      <c r="N50" s="642">
        <v>45087.42796296296</v>
      </c>
      <c r="O50" s="643" t="s">
        <v>40</v>
      </c>
      <c r="P50" s="639"/>
      <c r="Q50" s="644">
        <f>R50*6</f>
        <v>7125000</v>
      </c>
      <c r="R50" s="645">
        <f>950000*1.25</f>
        <v>1187500</v>
      </c>
      <c r="S50" s="646">
        <f t="shared" si="3"/>
        <v>9</v>
      </c>
      <c r="T50" s="647"/>
      <c r="U50" s="645">
        <f t="shared" si="1"/>
        <v>10687500</v>
      </c>
      <c r="V50" s="648">
        <f>Q50+((S50-8)*R50)</f>
        <v>8312500</v>
      </c>
    </row>
    <row r="51" spans="1:25" s="82" customFormat="1" ht="26" hidden="1">
      <c r="A51" s="634">
        <f t="shared" si="0"/>
        <v>45</v>
      </c>
      <c r="B51" s="634">
        <v>45</v>
      </c>
      <c r="C51" s="635" t="s">
        <v>1846</v>
      </c>
      <c r="D51" s="636" t="s">
        <v>32</v>
      </c>
      <c r="E51" s="637">
        <v>45179</v>
      </c>
      <c r="F51" s="638">
        <v>830</v>
      </c>
      <c r="G51" s="638">
        <v>1730</v>
      </c>
      <c r="H51" s="639" t="s">
        <v>1843</v>
      </c>
      <c r="I51" s="140" t="s">
        <v>35</v>
      </c>
      <c r="J51" s="140" t="s">
        <v>36</v>
      </c>
      <c r="K51" s="640" t="s">
        <v>1844</v>
      </c>
      <c r="L51" s="639" t="s">
        <v>1845</v>
      </c>
      <c r="M51" s="641"/>
      <c r="N51" s="642">
        <v>45087.427604166667</v>
      </c>
      <c r="O51" s="643" t="s">
        <v>40</v>
      </c>
      <c r="P51" s="639"/>
      <c r="Q51" s="644">
        <f>R51*6</f>
        <v>7125000</v>
      </c>
      <c r="R51" s="645">
        <f>950000*1.25</f>
        <v>1187500</v>
      </c>
      <c r="S51" s="646">
        <f t="shared" si="3"/>
        <v>9</v>
      </c>
      <c r="T51" s="647"/>
      <c r="U51" s="645">
        <f t="shared" si="1"/>
        <v>10687500</v>
      </c>
      <c r="V51" s="648">
        <f>Q51+((S51-8)*R51)</f>
        <v>8312500</v>
      </c>
    </row>
    <row r="52" spans="1:25" s="82" customFormat="1" ht="14" hidden="1">
      <c r="A52" s="81">
        <f t="shared" si="0"/>
        <v>46</v>
      </c>
      <c r="B52" s="81">
        <v>46</v>
      </c>
      <c r="C52" s="258" t="s">
        <v>1847</v>
      </c>
      <c r="D52" s="259" t="s">
        <v>375</v>
      </c>
      <c r="E52" s="479">
        <v>45056</v>
      </c>
      <c r="F52" s="86">
        <v>1300</v>
      </c>
      <c r="G52" s="86">
        <v>1400</v>
      </c>
      <c r="H52" s="261" t="s">
        <v>858</v>
      </c>
      <c r="I52" s="140" t="s">
        <v>35</v>
      </c>
      <c r="J52" s="140" t="s">
        <v>36</v>
      </c>
      <c r="K52" s="315" t="s">
        <v>76</v>
      </c>
      <c r="L52" s="261" t="s">
        <v>255</v>
      </c>
      <c r="M52" s="408"/>
      <c r="N52" s="480">
        <v>45056.578912037039</v>
      </c>
      <c r="O52" s="454" t="s">
        <v>40</v>
      </c>
      <c r="P52" s="261"/>
      <c r="Q52" s="415"/>
      <c r="R52" s="275">
        <v>180000</v>
      </c>
      <c r="S52" s="162">
        <f t="shared" si="3"/>
        <v>1</v>
      </c>
      <c r="T52" s="259"/>
      <c r="U52" s="270">
        <f t="shared" si="1"/>
        <v>180000</v>
      </c>
      <c r="V52" s="386">
        <f>Q52+((S52-0)*R52)</f>
        <v>180000</v>
      </c>
      <c r="W52" s="388"/>
      <c r="X52" s="386">
        <f>(Q52+((S52-0)*R52))*((100-P52)/100)</f>
        <v>180000</v>
      </c>
      <c r="Y52" s="90"/>
    </row>
    <row r="53" spans="1:25" s="82" customFormat="1">
      <c r="A53" s="671">
        <f t="shared" si="0"/>
        <v>47</v>
      </c>
      <c r="B53" s="671">
        <v>47</v>
      </c>
      <c r="C53" s="670" t="s">
        <v>1848</v>
      </c>
      <c r="D53" s="669" t="s">
        <v>75</v>
      </c>
      <c r="E53" s="1031">
        <v>45056</v>
      </c>
      <c r="F53" s="668">
        <v>1145</v>
      </c>
      <c r="G53" s="668">
        <v>1230</v>
      </c>
      <c r="H53" s="667" t="s">
        <v>851</v>
      </c>
      <c r="I53" s="140" t="s">
        <v>35</v>
      </c>
      <c r="J53" s="140" t="s">
        <v>36</v>
      </c>
      <c r="K53" s="1012" t="s">
        <v>76</v>
      </c>
      <c r="L53" s="667" t="s">
        <v>255</v>
      </c>
      <c r="M53" s="1025"/>
      <c r="N53" s="803">
        <v>45056.528356481482</v>
      </c>
      <c r="O53" s="1032" t="s">
        <v>40</v>
      </c>
      <c r="P53" s="667"/>
      <c r="Q53" s="627"/>
      <c r="R53" s="1017">
        <v>500000</v>
      </c>
      <c r="S53" s="1018">
        <f>(1250-1175)/100</f>
        <v>0.75</v>
      </c>
      <c r="T53" s="669"/>
      <c r="U53" s="1019">
        <f t="shared" si="1"/>
        <v>375000</v>
      </c>
      <c r="V53" s="622">
        <f>Q53+((S53-0)*R53)</f>
        <v>375000</v>
      </c>
      <c r="W53" s="90"/>
      <c r="X53" s="91"/>
      <c r="Y53" s="90"/>
    </row>
    <row r="54" spans="1:25" s="82" customFormat="1">
      <c r="A54" s="671">
        <f t="shared" si="0"/>
        <v>48</v>
      </c>
      <c r="B54" s="671">
        <v>48</v>
      </c>
      <c r="C54" s="670" t="s">
        <v>1849</v>
      </c>
      <c r="D54" s="669" t="s">
        <v>75</v>
      </c>
      <c r="E54" s="1031">
        <v>45087</v>
      </c>
      <c r="F54" s="668">
        <v>1300</v>
      </c>
      <c r="G54" s="668">
        <v>1430</v>
      </c>
      <c r="H54" s="667" t="s">
        <v>1850</v>
      </c>
      <c r="I54" s="140" t="s">
        <v>35</v>
      </c>
      <c r="J54" s="140" t="s">
        <v>36</v>
      </c>
      <c r="K54" s="1012" t="s">
        <v>133</v>
      </c>
      <c r="L54" s="667" t="s">
        <v>255</v>
      </c>
      <c r="M54" s="1025"/>
      <c r="N54" s="803">
        <v>45056.509131944447</v>
      </c>
      <c r="O54" s="1032" t="s">
        <v>40</v>
      </c>
      <c r="P54" s="667"/>
      <c r="Q54" s="1017"/>
      <c r="R54" s="1017">
        <v>500000</v>
      </c>
      <c r="S54" s="1018">
        <f>(1450-F54)/100</f>
        <v>1.5</v>
      </c>
      <c r="T54" s="666"/>
      <c r="U54" s="1019">
        <f t="shared" si="1"/>
        <v>750000</v>
      </c>
      <c r="V54" s="628">
        <f>Q54+((S54-0)*R54)</f>
        <v>750000</v>
      </c>
      <c r="X54" s="386">
        <f>(Q54+((S54-0)*R54))*((100-P54)/100)</f>
        <v>750000</v>
      </c>
    </row>
    <row r="55" spans="1:25" s="82" customFormat="1" ht="26">
      <c r="A55" s="81">
        <f t="shared" si="0"/>
        <v>49</v>
      </c>
      <c r="B55" s="81">
        <v>49</v>
      </c>
      <c r="C55" s="258" t="s">
        <v>1851</v>
      </c>
      <c r="D55" s="259" t="s">
        <v>43</v>
      </c>
      <c r="E55" s="479">
        <v>45087</v>
      </c>
      <c r="F55" s="86">
        <v>1300</v>
      </c>
      <c r="G55" s="86">
        <v>1700</v>
      </c>
      <c r="H55" s="261" t="s">
        <v>1852</v>
      </c>
      <c r="I55" s="140" t="s">
        <v>35</v>
      </c>
      <c r="J55" s="140" t="s">
        <v>36</v>
      </c>
      <c r="K55" s="315" t="s">
        <v>76</v>
      </c>
      <c r="L55" s="261" t="s">
        <v>1753</v>
      </c>
      <c r="M55" s="408"/>
      <c r="N55" s="480">
        <v>45056.464050925926</v>
      </c>
      <c r="O55" s="454" t="s">
        <v>40</v>
      </c>
      <c r="P55" s="261"/>
      <c r="Q55" s="275">
        <f>R55*3</f>
        <v>1500000</v>
      </c>
      <c r="R55" s="273">
        <v>500000</v>
      </c>
      <c r="S55" s="162">
        <f t="shared" si="3"/>
        <v>4</v>
      </c>
      <c r="T55" s="94"/>
      <c r="U55" s="270">
        <f t="shared" si="1"/>
        <v>2000000</v>
      </c>
      <c r="V55" s="386">
        <f>(Q55+((S55-4)*R55))*((100-P55)/100)</f>
        <v>1500000</v>
      </c>
    </row>
    <row r="56" spans="1:25" s="620" customFormat="1">
      <c r="A56" s="607">
        <f t="shared" si="0"/>
        <v>50</v>
      </c>
      <c r="B56" s="607">
        <v>50</v>
      </c>
      <c r="C56" s="608" t="s">
        <v>1853</v>
      </c>
      <c r="D56" s="609" t="s">
        <v>43</v>
      </c>
      <c r="E56" s="610">
        <v>45056</v>
      </c>
      <c r="F56" s="611">
        <v>930</v>
      </c>
      <c r="G56" s="611">
        <v>1030</v>
      </c>
      <c r="H56" s="612" t="s">
        <v>969</v>
      </c>
      <c r="I56" s="140" t="s">
        <v>35</v>
      </c>
      <c r="J56" s="140" t="s">
        <v>36</v>
      </c>
      <c r="K56" s="613" t="s">
        <v>76</v>
      </c>
      <c r="L56" s="612" t="s">
        <v>284</v>
      </c>
      <c r="M56" s="614"/>
      <c r="N56" s="621">
        <v>45056.438321759262</v>
      </c>
      <c r="O56" s="615" t="s">
        <v>40</v>
      </c>
      <c r="P56" s="612"/>
      <c r="Q56" s="657"/>
      <c r="R56" s="658">
        <v>500000</v>
      </c>
      <c r="S56" s="616">
        <f t="shared" si="3"/>
        <v>1</v>
      </c>
      <c r="T56" s="617"/>
      <c r="U56" s="618">
        <f t="shared" si="1"/>
        <v>500000</v>
      </c>
      <c r="V56" s="619">
        <f>Q56+((S56-0)*R56)</f>
        <v>500000</v>
      </c>
    </row>
    <row r="57" spans="1:25" s="82" customFormat="1" ht="29.15" customHeight="1">
      <c r="A57" s="671">
        <f t="shared" si="0"/>
        <v>51</v>
      </c>
      <c r="B57" s="671">
        <v>51</v>
      </c>
      <c r="C57" s="670" t="s">
        <v>1854</v>
      </c>
      <c r="D57" s="669" t="s">
        <v>43</v>
      </c>
      <c r="E57" s="1031">
        <v>45026</v>
      </c>
      <c r="F57" s="668">
        <v>1500</v>
      </c>
      <c r="G57" s="668">
        <v>1600</v>
      </c>
      <c r="H57" s="667" t="s">
        <v>851</v>
      </c>
      <c r="I57" s="140" t="s">
        <v>35</v>
      </c>
      <c r="J57" s="140" t="s">
        <v>36</v>
      </c>
      <c r="K57" s="1012" t="s">
        <v>76</v>
      </c>
      <c r="L57" s="667" t="s">
        <v>255</v>
      </c>
      <c r="M57" s="754"/>
      <c r="N57" s="803">
        <v>45026.632337962961</v>
      </c>
      <c r="O57" s="1032" t="s">
        <v>40</v>
      </c>
      <c r="P57" s="1035"/>
      <c r="Q57" s="1036"/>
      <c r="R57" s="1036">
        <v>500000</v>
      </c>
      <c r="S57" s="1037">
        <f t="shared" si="3"/>
        <v>1</v>
      </c>
      <c r="T57" s="669"/>
      <c r="U57" s="1019">
        <f t="shared" si="1"/>
        <v>500000</v>
      </c>
      <c r="V57" s="622">
        <f t="shared" ref="V57:V58" si="6">(Q57+((S57-0)*R57))*((100-P57)/100)</f>
        <v>500000</v>
      </c>
      <c r="W57" s="90"/>
      <c r="X57" s="386">
        <f>(Q57+((S57-0)*R57))*((100-P57)/100)</f>
        <v>500000</v>
      </c>
      <c r="Y57" s="90"/>
    </row>
    <row r="58" spans="1:25" s="82" customFormat="1" ht="13">
      <c r="A58" s="671">
        <f t="shared" si="0"/>
        <v>52</v>
      </c>
      <c r="B58" s="671">
        <v>52</v>
      </c>
      <c r="C58" s="670" t="s">
        <v>1855</v>
      </c>
      <c r="D58" s="669" t="s">
        <v>43</v>
      </c>
      <c r="E58" s="1031">
        <v>45026</v>
      </c>
      <c r="F58" s="673" t="s">
        <v>1856</v>
      </c>
      <c r="G58" s="673" t="s">
        <v>1857</v>
      </c>
      <c r="H58" s="293" t="s">
        <v>851</v>
      </c>
      <c r="I58" s="412" t="s">
        <v>35</v>
      </c>
      <c r="J58" s="82" t="s">
        <v>36</v>
      </c>
      <c r="K58" s="1038" t="s">
        <v>76</v>
      </c>
      <c r="L58" s="1035" t="s">
        <v>255</v>
      </c>
      <c r="M58" s="1039"/>
      <c r="N58" s="1040">
        <v>45026.624178240738</v>
      </c>
      <c r="O58" s="1032" t="s">
        <v>40</v>
      </c>
      <c r="P58" s="1035"/>
      <c r="Q58" s="656"/>
      <c r="R58" s="1036">
        <v>500000</v>
      </c>
      <c r="S58" s="1041">
        <f t="shared" si="3"/>
        <v>1</v>
      </c>
      <c r="T58" s="847"/>
      <c r="U58" s="985">
        <f t="shared" si="1"/>
        <v>500000</v>
      </c>
      <c r="V58" s="622">
        <f t="shared" si="6"/>
        <v>500000</v>
      </c>
      <c r="X58" s="386">
        <f>(Q58+((S58-0)*R58))*((100-P58)/100)</f>
        <v>500000</v>
      </c>
    </row>
    <row r="59" spans="1:25" s="82" customFormat="1" ht="13">
      <c r="A59" s="81">
        <f t="shared" si="0"/>
        <v>53</v>
      </c>
      <c r="B59" s="81">
        <v>53</v>
      </c>
      <c r="C59" s="103">
        <v>4413</v>
      </c>
      <c r="D59" s="94" t="s">
        <v>43</v>
      </c>
      <c r="E59" s="102">
        <v>44995</v>
      </c>
      <c r="F59" s="86">
        <v>1600</v>
      </c>
      <c r="G59" s="86">
        <v>1730</v>
      </c>
      <c r="H59" s="94" t="s">
        <v>1698</v>
      </c>
      <c r="I59" s="140" t="s">
        <v>35</v>
      </c>
      <c r="J59" s="140" t="s">
        <v>36</v>
      </c>
      <c r="K59" s="316">
        <v>6</v>
      </c>
      <c r="L59" s="654" t="s">
        <v>47</v>
      </c>
      <c r="M59" s="132"/>
      <c r="N59" s="655">
        <v>44995.658368055556</v>
      </c>
      <c r="O59" s="349" t="s">
        <v>40</v>
      </c>
      <c r="P59" s="261"/>
      <c r="Q59" s="659"/>
      <c r="R59" s="660">
        <v>500000</v>
      </c>
      <c r="S59" s="520">
        <f>(1750-F59)/100</f>
        <v>1.5</v>
      </c>
      <c r="T59" s="132"/>
      <c r="U59" s="521">
        <f t="shared" si="1"/>
        <v>750000</v>
      </c>
      <c r="V59" s="386">
        <f>(Q59+((S59-0)*R59))*((100-P59)/100)</f>
        <v>750000</v>
      </c>
      <c r="X59" s="386">
        <f>(Q59+((S59-0)*R59))*((100-P59)/100)</f>
        <v>750000</v>
      </c>
    </row>
    <row r="60" spans="1:25" s="82" customFormat="1" ht="13" hidden="1">
      <c r="A60" s="81">
        <f t="shared" si="0"/>
        <v>54</v>
      </c>
      <c r="B60" s="81">
        <v>54</v>
      </c>
      <c r="C60" s="103">
        <v>4412</v>
      </c>
      <c r="D60" s="94" t="s">
        <v>32</v>
      </c>
      <c r="E60" s="102">
        <v>45026</v>
      </c>
      <c r="F60" s="86">
        <v>1330</v>
      </c>
      <c r="G60" s="86">
        <v>1430</v>
      </c>
      <c r="H60" s="94" t="s">
        <v>1858</v>
      </c>
      <c r="I60" s="140" t="s">
        <v>35</v>
      </c>
      <c r="J60" s="140" t="s">
        <v>36</v>
      </c>
      <c r="K60" s="316">
        <v>6</v>
      </c>
      <c r="L60" s="297" t="s">
        <v>89</v>
      </c>
      <c r="M60" s="354"/>
      <c r="N60" s="281">
        <v>44995.48877314815</v>
      </c>
      <c r="O60" s="349" t="s">
        <v>40</v>
      </c>
      <c r="P60" s="261"/>
      <c r="Q60" s="275"/>
      <c r="R60" s="530"/>
      <c r="S60" s="531">
        <f t="shared" si="3"/>
        <v>1</v>
      </c>
      <c r="T60" s="282"/>
      <c r="U60" s="532">
        <f t="shared" si="1"/>
        <v>0</v>
      </c>
      <c r="V60" s="534">
        <f t="shared" ref="V60:V64" si="7">Q60+((S60-0)*R60)</f>
        <v>0</v>
      </c>
      <c r="X60" s="386">
        <f>(Q60+((S60-0)*R60))*((100-P60)/100)</f>
        <v>0</v>
      </c>
    </row>
    <row r="61" spans="1:25" s="82" customFormat="1" ht="13">
      <c r="A61" s="671">
        <f t="shared" si="0"/>
        <v>55</v>
      </c>
      <c r="B61" s="671">
        <v>55</v>
      </c>
      <c r="C61" s="862">
        <v>4411</v>
      </c>
      <c r="D61" s="666" t="s">
        <v>43</v>
      </c>
      <c r="E61" s="1042">
        <v>44995</v>
      </c>
      <c r="F61" s="668">
        <v>930</v>
      </c>
      <c r="G61" s="668">
        <v>1200</v>
      </c>
      <c r="H61" s="666" t="s">
        <v>861</v>
      </c>
      <c r="I61" s="140" t="s">
        <v>35</v>
      </c>
      <c r="J61" s="140" t="s">
        <v>36</v>
      </c>
      <c r="K61" s="1022">
        <v>6</v>
      </c>
      <c r="L61" s="1026" t="s">
        <v>255</v>
      </c>
      <c r="M61" s="1028"/>
      <c r="N61" s="1043">
        <v>44995.424328703702</v>
      </c>
      <c r="O61" s="1044" t="s">
        <v>40</v>
      </c>
      <c r="P61" s="667"/>
      <c r="Q61" s="1017"/>
      <c r="R61" s="1017">
        <v>500000</v>
      </c>
      <c r="S61" s="1018">
        <f>(G61-950)/100</f>
        <v>2.5</v>
      </c>
      <c r="T61" s="666"/>
      <c r="U61" s="1019">
        <f t="shared" si="1"/>
        <v>1250000</v>
      </c>
      <c r="V61" s="622">
        <f t="shared" si="7"/>
        <v>1250000</v>
      </c>
    </row>
    <row r="62" spans="1:25" s="82" customFormat="1" ht="13" hidden="1">
      <c r="A62" s="81">
        <f t="shared" si="0"/>
        <v>56</v>
      </c>
      <c r="B62" s="81">
        <v>56</v>
      </c>
      <c r="C62" s="103">
        <v>4410</v>
      </c>
      <c r="D62" s="94" t="s">
        <v>32</v>
      </c>
      <c r="E62" s="102">
        <v>45087</v>
      </c>
      <c r="F62" s="86">
        <v>1400</v>
      </c>
      <c r="G62" s="86">
        <v>1700</v>
      </c>
      <c r="H62" s="94" t="s">
        <v>1579</v>
      </c>
      <c r="I62" s="140" t="s">
        <v>35</v>
      </c>
      <c r="J62" s="140" t="s">
        <v>36</v>
      </c>
      <c r="K62" s="316">
        <v>14</v>
      </c>
      <c r="L62" s="297" t="s">
        <v>1221</v>
      </c>
      <c r="M62" s="132" t="s">
        <v>1332</v>
      </c>
      <c r="N62" s="281">
        <v>44967.672719907408</v>
      </c>
      <c r="O62" s="433" t="s">
        <v>40</v>
      </c>
      <c r="P62" s="261"/>
      <c r="Q62" s="275"/>
      <c r="R62" s="275">
        <v>950000</v>
      </c>
      <c r="S62" s="162">
        <f t="shared" si="3"/>
        <v>3</v>
      </c>
      <c r="T62" s="94"/>
      <c r="U62" s="270">
        <f t="shared" si="1"/>
        <v>2850000</v>
      </c>
      <c r="V62" s="386">
        <f t="shared" ref="V62" si="8">(Q62+((S62-0)*R62))*((100-P62)/100)</f>
        <v>2850000</v>
      </c>
      <c r="X62" s="386">
        <f>(Q62+((S62-0)*R62))*((100-P62)/100)</f>
        <v>2850000</v>
      </c>
    </row>
    <row r="63" spans="1:25" s="82" customFormat="1" ht="13">
      <c r="A63" s="81">
        <f t="shared" si="0"/>
        <v>57</v>
      </c>
      <c r="B63" s="81">
        <v>57</v>
      </c>
      <c r="C63" s="103">
        <v>4409</v>
      </c>
      <c r="D63" s="94" t="s">
        <v>43</v>
      </c>
      <c r="E63" s="102">
        <v>45056</v>
      </c>
      <c r="F63" s="86">
        <v>1300</v>
      </c>
      <c r="G63" s="86">
        <v>1400</v>
      </c>
      <c r="H63" s="94" t="s">
        <v>1859</v>
      </c>
      <c r="I63" s="140" t="s">
        <v>35</v>
      </c>
      <c r="J63" s="140" t="s">
        <v>36</v>
      </c>
      <c r="K63" s="316">
        <v>6</v>
      </c>
      <c r="L63" s="297" t="s">
        <v>72</v>
      </c>
      <c r="M63" s="132"/>
      <c r="N63" s="281">
        <v>44967.649502314816</v>
      </c>
      <c r="O63" s="433" t="s">
        <v>40</v>
      </c>
      <c r="P63" s="261"/>
      <c r="Q63" s="275"/>
      <c r="R63" s="275">
        <v>500000</v>
      </c>
      <c r="S63" s="162">
        <f t="shared" si="3"/>
        <v>1</v>
      </c>
      <c r="T63" s="94"/>
      <c r="U63" s="270">
        <f t="shared" si="1"/>
        <v>500000</v>
      </c>
      <c r="V63" s="386">
        <f>(Q63+((S63-0)*R63))*((100-P63)/100)</f>
        <v>500000</v>
      </c>
      <c r="X63" s="386">
        <f>(Q63+((S63-0)*R63))*((100-P63)/100)</f>
        <v>500000</v>
      </c>
    </row>
    <row r="64" spans="1:25" s="82" customFormat="1" ht="13">
      <c r="A64" s="81">
        <f t="shared" si="0"/>
        <v>58</v>
      </c>
      <c r="B64" s="81">
        <v>58</v>
      </c>
      <c r="C64" s="103">
        <v>4408</v>
      </c>
      <c r="D64" s="94" t="s">
        <v>43</v>
      </c>
      <c r="E64" s="102">
        <v>45026</v>
      </c>
      <c r="F64" s="86">
        <v>1400</v>
      </c>
      <c r="G64" s="86">
        <v>1600</v>
      </c>
      <c r="H64" s="94" t="s">
        <v>1859</v>
      </c>
      <c r="I64" s="140" t="s">
        <v>35</v>
      </c>
      <c r="J64" s="140" t="s">
        <v>36</v>
      </c>
      <c r="K64" s="316">
        <v>6</v>
      </c>
      <c r="L64" s="297" t="s">
        <v>72</v>
      </c>
      <c r="M64" s="132"/>
      <c r="N64" s="281">
        <v>44967.649305555555</v>
      </c>
      <c r="O64" s="433" t="s">
        <v>174</v>
      </c>
      <c r="P64" s="261"/>
      <c r="Q64" s="275"/>
      <c r="R64" s="275">
        <v>500000</v>
      </c>
      <c r="S64" s="162">
        <f t="shared" si="3"/>
        <v>2</v>
      </c>
      <c r="T64" s="94"/>
      <c r="U64" s="270">
        <f t="shared" si="1"/>
        <v>1000000</v>
      </c>
      <c r="V64" s="386">
        <f t="shared" si="7"/>
        <v>1000000</v>
      </c>
    </row>
    <row r="65" spans="1:25" s="82" customFormat="1" ht="14" hidden="1">
      <c r="A65" s="81">
        <f t="shared" si="0"/>
        <v>59</v>
      </c>
      <c r="B65" s="81">
        <v>59</v>
      </c>
      <c r="C65" s="258" t="s">
        <v>1860</v>
      </c>
      <c r="D65" s="259" t="s">
        <v>43</v>
      </c>
      <c r="E65" s="479">
        <v>44995</v>
      </c>
      <c r="F65" s="86">
        <v>1430</v>
      </c>
      <c r="G65" s="86">
        <v>1530</v>
      </c>
      <c r="H65" s="261" t="s">
        <v>1859</v>
      </c>
      <c r="I65" s="140" t="s">
        <v>35</v>
      </c>
      <c r="J65" s="140" t="s">
        <v>36</v>
      </c>
      <c r="K65" s="315" t="s">
        <v>76</v>
      </c>
      <c r="L65" s="261" t="s">
        <v>72</v>
      </c>
      <c r="M65" s="408"/>
      <c r="N65" s="480">
        <v>44967.649143518516</v>
      </c>
      <c r="O65" s="454" t="s">
        <v>40</v>
      </c>
      <c r="P65" s="261" t="s">
        <v>41</v>
      </c>
      <c r="Q65" s="275"/>
      <c r="R65" s="275">
        <v>500000</v>
      </c>
      <c r="S65" s="162">
        <f t="shared" ref="S65:S74" si="9">(G65-F65)/100</f>
        <v>1</v>
      </c>
      <c r="T65" s="94"/>
      <c r="U65" s="270">
        <f t="shared" ref="U65:U74" si="10">S65*R65*(100-P65)/100</f>
        <v>0</v>
      </c>
      <c r="V65" s="386">
        <f>(Q65+((S65-0)*R65))*((100-P65)/100)</f>
        <v>0</v>
      </c>
    </row>
    <row r="66" spans="1:25" s="82" customFormat="1">
      <c r="A66" s="671">
        <f t="shared" si="0"/>
        <v>60</v>
      </c>
      <c r="B66" s="671">
        <v>60</v>
      </c>
      <c r="C66" s="670" t="s">
        <v>1861</v>
      </c>
      <c r="D66" s="669" t="s">
        <v>75</v>
      </c>
      <c r="E66" s="1031">
        <v>44967</v>
      </c>
      <c r="F66" s="668">
        <v>1330</v>
      </c>
      <c r="G66" s="668">
        <v>1700</v>
      </c>
      <c r="H66" s="667" t="s">
        <v>1862</v>
      </c>
      <c r="I66" s="140" t="s">
        <v>35</v>
      </c>
      <c r="J66" s="140" t="s">
        <v>36</v>
      </c>
      <c r="K66" s="1012" t="s">
        <v>76</v>
      </c>
      <c r="L66" s="667" t="s">
        <v>255</v>
      </c>
      <c r="M66" s="1025"/>
      <c r="N66" s="803">
        <v>44967.578622685185</v>
      </c>
      <c r="O66" s="1032" t="s">
        <v>40</v>
      </c>
      <c r="P66" s="667"/>
      <c r="Q66" s="1017"/>
      <c r="R66" s="1017">
        <v>500000</v>
      </c>
      <c r="S66" s="1033">
        <f>(G66-1350)/100</f>
        <v>3.5</v>
      </c>
      <c r="T66" s="847"/>
      <c r="U66" s="985">
        <f t="shared" si="10"/>
        <v>1750000</v>
      </c>
      <c r="V66" s="622">
        <f t="shared" ref="V66" si="11">(Q66+((S66-0)*R66))*((100-P66)/100)</f>
        <v>1750000</v>
      </c>
    </row>
    <row r="67" spans="1:25" s="82" customFormat="1" ht="29.15" customHeight="1">
      <c r="A67" s="499">
        <f t="shared" si="0"/>
        <v>61</v>
      </c>
      <c r="B67" s="499">
        <v>61</v>
      </c>
      <c r="C67" s="500" t="s">
        <v>1863</v>
      </c>
      <c r="D67" s="497" t="s">
        <v>43</v>
      </c>
      <c r="E67" s="501" t="s">
        <v>1785</v>
      </c>
      <c r="F67" s="498">
        <v>900</v>
      </c>
      <c r="G67" s="498">
        <v>1800</v>
      </c>
      <c r="H67" s="493" t="s">
        <v>1864</v>
      </c>
      <c r="I67" s="140" t="s">
        <v>35</v>
      </c>
      <c r="J67" s="140" t="s">
        <v>36</v>
      </c>
      <c r="K67" s="492" t="s">
        <v>366</v>
      </c>
      <c r="L67" s="493" t="s">
        <v>47</v>
      </c>
      <c r="M67" s="482"/>
      <c r="N67" s="495" t="s">
        <v>1865</v>
      </c>
      <c r="O67" s="490" t="s">
        <v>40</v>
      </c>
      <c r="P67" s="488"/>
      <c r="Q67" s="527">
        <f>R67*6</f>
        <v>3000000</v>
      </c>
      <c r="R67" s="298">
        <v>500000</v>
      </c>
      <c r="S67" s="522">
        <f t="shared" si="9"/>
        <v>9</v>
      </c>
      <c r="T67" s="523"/>
      <c r="U67" s="524">
        <f t="shared" si="10"/>
        <v>4500000</v>
      </c>
      <c r="V67" s="386">
        <f>(Q67+((S67-8)*R67))*((100-P67)/100)</f>
        <v>3500000</v>
      </c>
      <c r="W67" s="90"/>
      <c r="X67" s="386">
        <f>(Q67+((S67-0)*R67))*((100-P67)/100)</f>
        <v>7500000</v>
      </c>
      <c r="Y67" s="90"/>
    </row>
    <row r="68" spans="1:25" s="82" customFormat="1" ht="13">
      <c r="A68" s="81">
        <f t="shared" si="0"/>
        <v>62</v>
      </c>
      <c r="B68" s="81">
        <v>62</v>
      </c>
      <c r="C68" s="258" t="s">
        <v>1866</v>
      </c>
      <c r="D68" s="259" t="s">
        <v>75</v>
      </c>
      <c r="E68" s="479" t="s">
        <v>1785</v>
      </c>
      <c r="F68" s="410" t="s">
        <v>1484</v>
      </c>
      <c r="G68" s="410" t="s">
        <v>1296</v>
      </c>
      <c r="H68" s="496" t="s">
        <v>1827</v>
      </c>
      <c r="I68" s="412" t="s">
        <v>35</v>
      </c>
      <c r="J68" s="82" t="s">
        <v>36</v>
      </c>
      <c r="K68" s="481" t="s">
        <v>366</v>
      </c>
      <c r="L68" s="261" t="s">
        <v>47</v>
      </c>
      <c r="M68" s="432"/>
      <c r="N68" s="409" t="s">
        <v>1867</v>
      </c>
      <c r="O68" s="454" t="s">
        <v>40</v>
      </c>
      <c r="P68" s="261"/>
      <c r="Q68" s="273">
        <f>R68*6</f>
        <v>3000000</v>
      </c>
      <c r="R68" s="298">
        <v>500000</v>
      </c>
      <c r="S68" s="520">
        <f t="shared" si="9"/>
        <v>9</v>
      </c>
      <c r="T68" s="132"/>
      <c r="U68" s="521">
        <f t="shared" si="10"/>
        <v>4500000</v>
      </c>
      <c r="V68" s="386">
        <f>(Q68+((S68-8)*R68))*((100-P68)/100)</f>
        <v>3500000</v>
      </c>
      <c r="X68" s="386">
        <f>(Q68+((S68-0)*R68))*((100-P68)/100)</f>
        <v>7500000</v>
      </c>
    </row>
    <row r="69" spans="1:25" s="82" customFormat="1" ht="13">
      <c r="A69" s="81">
        <f t="shared" si="0"/>
        <v>63</v>
      </c>
      <c r="B69" s="81">
        <v>63</v>
      </c>
      <c r="C69" s="103">
        <v>4402</v>
      </c>
      <c r="D69" s="94" t="s">
        <v>43</v>
      </c>
      <c r="E69" s="102" t="s">
        <v>1785</v>
      </c>
      <c r="F69" s="86">
        <v>900</v>
      </c>
      <c r="G69" s="86">
        <v>1800</v>
      </c>
      <c r="H69" s="94" t="s">
        <v>1827</v>
      </c>
      <c r="I69" s="140" t="s">
        <v>35</v>
      </c>
      <c r="J69" s="140" t="s">
        <v>36</v>
      </c>
      <c r="K69" s="316">
        <v>4</v>
      </c>
      <c r="L69" s="414" t="s">
        <v>47</v>
      </c>
      <c r="M69" s="354"/>
      <c r="N69" s="456" t="s">
        <v>1868</v>
      </c>
      <c r="O69" s="349" t="s">
        <v>174</v>
      </c>
      <c r="P69" s="261"/>
      <c r="Q69" s="416"/>
      <c r="R69" s="535">
        <v>500000</v>
      </c>
      <c r="S69" s="536">
        <f t="shared" si="9"/>
        <v>9</v>
      </c>
      <c r="T69" s="537"/>
      <c r="U69" s="538">
        <f t="shared" si="10"/>
        <v>4500000</v>
      </c>
      <c r="V69" s="539">
        <f t="shared" ref="V69:V74" si="12">Q69+((S69-0)*R69)</f>
        <v>4500000</v>
      </c>
      <c r="X69" s="386">
        <f>(Q69+((S69-0)*R69))*((100-P69)/100)</f>
        <v>4500000</v>
      </c>
    </row>
    <row r="70" spans="1:25" s="82" customFormat="1" ht="13">
      <c r="A70" s="81">
        <f t="shared" si="0"/>
        <v>64</v>
      </c>
      <c r="B70" s="81">
        <v>64</v>
      </c>
      <c r="C70" s="103">
        <v>4401</v>
      </c>
      <c r="D70" s="94" t="s">
        <v>75</v>
      </c>
      <c r="E70" s="102" t="s">
        <v>1777</v>
      </c>
      <c r="F70" s="86">
        <v>900</v>
      </c>
      <c r="G70" s="86">
        <v>1200</v>
      </c>
      <c r="H70" s="94" t="s">
        <v>1869</v>
      </c>
      <c r="I70" s="140" t="s">
        <v>35</v>
      </c>
      <c r="J70" s="140" t="s">
        <v>36</v>
      </c>
      <c r="K70" s="316">
        <v>6</v>
      </c>
      <c r="L70" s="297" t="s">
        <v>47</v>
      </c>
      <c r="M70" s="132"/>
      <c r="N70" s="281" t="s">
        <v>1870</v>
      </c>
      <c r="O70" s="349" t="s">
        <v>40</v>
      </c>
      <c r="P70" s="261"/>
      <c r="Q70" s="528"/>
      <c r="R70" s="298">
        <v>500000</v>
      </c>
      <c r="S70" s="520">
        <f t="shared" si="9"/>
        <v>3</v>
      </c>
      <c r="T70" s="132"/>
      <c r="U70" s="521">
        <f t="shared" si="10"/>
        <v>1500000</v>
      </c>
      <c r="V70" s="386">
        <f t="shared" ref="V70:V72" si="13">(Q70+((S70-0)*R70))*((100-P70)/100)</f>
        <v>1500000</v>
      </c>
      <c r="X70" s="386">
        <f>(Q70+((S70-0)*R70))*((100-P70)/100)</f>
        <v>1500000</v>
      </c>
    </row>
    <row r="71" spans="1:25" s="82" customFormat="1" ht="13">
      <c r="A71" s="81">
        <f t="shared" si="0"/>
        <v>65</v>
      </c>
      <c r="B71" s="81">
        <v>65</v>
      </c>
      <c r="C71" s="103">
        <v>4400</v>
      </c>
      <c r="D71" s="94" t="s">
        <v>43</v>
      </c>
      <c r="E71" s="102" t="s">
        <v>1777</v>
      </c>
      <c r="F71" s="86">
        <v>900</v>
      </c>
      <c r="G71" s="86">
        <v>1200</v>
      </c>
      <c r="H71" s="94" t="s">
        <v>1869</v>
      </c>
      <c r="I71" s="140" t="s">
        <v>35</v>
      </c>
      <c r="J71" s="140" t="s">
        <v>36</v>
      </c>
      <c r="K71" s="316">
        <v>6</v>
      </c>
      <c r="L71" s="297" t="s">
        <v>47</v>
      </c>
      <c r="M71" s="132"/>
      <c r="N71" s="281" t="s">
        <v>1871</v>
      </c>
      <c r="O71" s="349" t="s">
        <v>40</v>
      </c>
      <c r="P71" s="261"/>
      <c r="Q71" s="528"/>
      <c r="R71" s="298">
        <v>500000</v>
      </c>
      <c r="S71" s="520">
        <f t="shared" si="9"/>
        <v>3</v>
      </c>
      <c r="T71" s="132"/>
      <c r="U71" s="521">
        <f t="shared" si="10"/>
        <v>1500000</v>
      </c>
      <c r="V71" s="386">
        <f t="shared" si="13"/>
        <v>1500000</v>
      </c>
    </row>
    <row r="72" spans="1:25" s="82" customFormat="1" ht="13" hidden="1">
      <c r="A72" s="81">
        <f t="shared" si="0"/>
        <v>66</v>
      </c>
      <c r="B72" s="81">
        <v>66</v>
      </c>
      <c r="C72" s="103">
        <v>4399</v>
      </c>
      <c r="D72" s="94" t="s">
        <v>32</v>
      </c>
      <c r="E72" s="102" t="s">
        <v>1777</v>
      </c>
      <c r="F72" s="86">
        <v>815</v>
      </c>
      <c r="G72" s="86">
        <v>915</v>
      </c>
      <c r="H72" s="94" t="s">
        <v>732</v>
      </c>
      <c r="I72" s="140" t="s">
        <v>35</v>
      </c>
      <c r="J72" s="140" t="s">
        <v>36</v>
      </c>
      <c r="K72" s="316">
        <v>22</v>
      </c>
      <c r="L72" s="297" t="s">
        <v>1221</v>
      </c>
      <c r="M72" s="132"/>
      <c r="N72" s="281" t="s">
        <v>1872</v>
      </c>
      <c r="O72" s="433" t="s">
        <v>40</v>
      </c>
      <c r="P72" s="261"/>
      <c r="Q72" s="275"/>
      <c r="R72" s="275">
        <v>950000</v>
      </c>
      <c r="S72" s="536">
        <f t="shared" si="9"/>
        <v>1</v>
      </c>
      <c r="T72" s="537"/>
      <c r="U72" s="538">
        <f t="shared" si="10"/>
        <v>950000</v>
      </c>
      <c r="V72" s="386">
        <f t="shared" si="13"/>
        <v>950000</v>
      </c>
      <c r="X72" s="386">
        <f>(Q72+((S72-0)*R72))*((100-P72)/100)</f>
        <v>950000</v>
      </c>
    </row>
    <row r="73" spans="1:25" s="82" customFormat="1" ht="13" hidden="1">
      <c r="A73" s="81">
        <f t="shared" si="0"/>
        <v>67</v>
      </c>
      <c r="B73" s="81">
        <v>67</v>
      </c>
      <c r="C73" s="103">
        <v>4395</v>
      </c>
      <c r="D73" s="94" t="s">
        <v>32</v>
      </c>
      <c r="E73" s="102" t="s">
        <v>1800</v>
      </c>
      <c r="F73" s="86">
        <v>900</v>
      </c>
      <c r="G73" s="86">
        <v>1200</v>
      </c>
      <c r="H73" s="94" t="s">
        <v>1873</v>
      </c>
      <c r="I73" s="140" t="s">
        <v>35</v>
      </c>
      <c r="J73" s="140" t="s">
        <v>36</v>
      </c>
      <c r="K73" s="316">
        <v>12</v>
      </c>
      <c r="L73" s="297" t="s">
        <v>47</v>
      </c>
      <c r="M73" s="132"/>
      <c r="N73" s="281" t="s">
        <v>1874</v>
      </c>
      <c r="O73" s="433" t="s">
        <v>40</v>
      </c>
      <c r="P73" s="261"/>
      <c r="Q73" s="528"/>
      <c r="R73" s="525">
        <v>950000</v>
      </c>
      <c r="S73" s="520">
        <f t="shared" si="9"/>
        <v>3</v>
      </c>
      <c r="T73" s="132"/>
      <c r="U73" s="521">
        <f t="shared" si="10"/>
        <v>2850000</v>
      </c>
      <c r="V73" s="386">
        <f>(Q73+((S73-0)*R73))*((100-P73)/100)</f>
        <v>2850000</v>
      </c>
      <c r="X73" s="386">
        <f>(Q73+((S73-0)*R73))*((100-P73)/100)</f>
        <v>2850000</v>
      </c>
    </row>
    <row r="74" spans="1:25" s="82" customFormat="1" ht="13">
      <c r="A74" s="81">
        <f t="shared" si="0"/>
        <v>68</v>
      </c>
      <c r="B74" s="81">
        <v>68</v>
      </c>
      <c r="C74" s="103">
        <v>4394</v>
      </c>
      <c r="D74" s="94" t="s">
        <v>43</v>
      </c>
      <c r="E74" s="102">
        <v>44967</v>
      </c>
      <c r="F74" s="86">
        <v>1100</v>
      </c>
      <c r="G74" s="86">
        <v>1200</v>
      </c>
      <c r="H74" s="94" t="s">
        <v>1804</v>
      </c>
      <c r="I74" s="140" t="s">
        <v>35</v>
      </c>
      <c r="J74" s="140" t="s">
        <v>36</v>
      </c>
      <c r="K74" s="316">
        <v>6</v>
      </c>
      <c r="L74" s="297" t="s">
        <v>124</v>
      </c>
      <c r="M74" s="132"/>
      <c r="N74" s="281" t="s">
        <v>1875</v>
      </c>
      <c r="O74" s="433" t="s">
        <v>40</v>
      </c>
      <c r="P74" s="261"/>
      <c r="Q74" s="275"/>
      <c r="R74" s="275">
        <v>500000</v>
      </c>
      <c r="S74" s="531">
        <f t="shared" si="9"/>
        <v>1</v>
      </c>
      <c r="T74" s="282"/>
      <c r="U74" s="532">
        <f t="shared" si="10"/>
        <v>500000</v>
      </c>
      <c r="V74" s="533">
        <f t="shared" si="12"/>
        <v>500000</v>
      </c>
    </row>
    <row r="75" spans="1:25" s="82" customFormat="1" ht="13" hidden="1">
      <c r="A75" s="81">
        <f t="shared" si="0"/>
        <v>69</v>
      </c>
      <c r="B75" s="81">
        <v>69</v>
      </c>
      <c r="C75" s="258" t="s">
        <v>1876</v>
      </c>
      <c r="D75" s="259" t="s">
        <v>32</v>
      </c>
      <c r="E75" s="479" t="s">
        <v>1745</v>
      </c>
      <c r="F75" s="86">
        <v>1600</v>
      </c>
      <c r="G75" s="86">
        <v>1730</v>
      </c>
      <c r="H75" s="488" t="s">
        <v>1579</v>
      </c>
      <c r="I75" s="140" t="s">
        <v>35</v>
      </c>
      <c r="J75" s="140" t="s">
        <v>36</v>
      </c>
      <c r="K75" s="315" t="s">
        <v>37</v>
      </c>
      <c r="L75" s="261" t="s">
        <v>1221</v>
      </c>
      <c r="M75" s="132" t="s">
        <v>1717</v>
      </c>
      <c r="N75" s="281" t="s">
        <v>1877</v>
      </c>
      <c r="O75" s="454" t="s">
        <v>40</v>
      </c>
      <c r="P75" s="261"/>
      <c r="Q75" s="275"/>
      <c r="R75" s="275">
        <v>950000</v>
      </c>
      <c r="S75" s="162">
        <f>(1750-F75)/100</f>
        <v>1.5</v>
      </c>
      <c r="T75" s="94"/>
      <c r="U75" s="270">
        <f t="shared" si="1"/>
        <v>1425000</v>
      </c>
      <c r="V75" s="386">
        <f t="shared" ref="V75" si="14">(Q75+((S75-0)*R75))*((100-P75)/100)</f>
        <v>1425000</v>
      </c>
    </row>
    <row r="76" spans="1:25" s="82" customFormat="1" ht="14" hidden="1">
      <c r="A76" s="81">
        <f t="shared" si="0"/>
        <v>70</v>
      </c>
      <c r="B76" s="81">
        <v>70</v>
      </c>
      <c r="C76" s="258" t="s">
        <v>1878</v>
      </c>
      <c r="D76" s="259" t="s">
        <v>32</v>
      </c>
      <c r="E76" s="479" t="s">
        <v>1777</v>
      </c>
      <c r="F76" s="86">
        <v>1600</v>
      </c>
      <c r="G76" s="86">
        <v>1730</v>
      </c>
      <c r="H76" s="488" t="s">
        <v>1579</v>
      </c>
      <c r="I76" s="140" t="s">
        <v>35</v>
      </c>
      <c r="J76" s="140" t="s">
        <v>36</v>
      </c>
      <c r="K76" s="315" t="s">
        <v>37</v>
      </c>
      <c r="L76" s="261" t="s">
        <v>1221</v>
      </c>
      <c r="M76" s="482" t="s">
        <v>1717</v>
      </c>
      <c r="N76" s="409" t="s">
        <v>1879</v>
      </c>
      <c r="O76" s="454" t="s">
        <v>174</v>
      </c>
      <c r="P76" s="261"/>
      <c r="Q76" s="275"/>
      <c r="R76" s="273"/>
      <c r="S76" s="162">
        <f t="shared" si="3"/>
        <v>1.3</v>
      </c>
      <c r="T76" s="94"/>
      <c r="U76" s="270">
        <f t="shared" si="1"/>
        <v>0</v>
      </c>
      <c r="V76" s="386">
        <f>Q76+((S76-4)*R76)</f>
        <v>0</v>
      </c>
    </row>
    <row r="77" spans="1:25" s="82" customFormat="1" ht="17.25" hidden="1" customHeight="1">
      <c r="A77" s="81">
        <f t="shared" si="0"/>
        <v>71</v>
      </c>
      <c r="B77" s="81">
        <v>71</v>
      </c>
      <c r="C77" s="258" t="s">
        <v>1880</v>
      </c>
      <c r="D77" s="259" t="s">
        <v>32</v>
      </c>
      <c r="E77" s="479" t="s">
        <v>1815</v>
      </c>
      <c r="F77" s="86">
        <v>1600</v>
      </c>
      <c r="G77" s="86">
        <v>1730</v>
      </c>
      <c r="H77" s="488" t="s">
        <v>1579</v>
      </c>
      <c r="I77" s="491" t="s">
        <v>35</v>
      </c>
      <c r="J77" s="491" t="s">
        <v>36</v>
      </c>
      <c r="K77" s="492" t="s">
        <v>37</v>
      </c>
      <c r="L77" s="493" t="s">
        <v>1221</v>
      </c>
      <c r="M77" s="494" t="s">
        <v>1717</v>
      </c>
      <c r="N77" s="495" t="s">
        <v>1881</v>
      </c>
      <c r="O77" s="490" t="s">
        <v>174</v>
      </c>
      <c r="P77" s="261"/>
      <c r="Q77" s="415"/>
      <c r="R77" s="273"/>
      <c r="S77" s="162">
        <f t="shared" si="3"/>
        <v>1.3</v>
      </c>
      <c r="T77" s="259"/>
      <c r="U77" s="270">
        <f t="shared" si="1"/>
        <v>0</v>
      </c>
      <c r="V77" s="386">
        <f>Q77+((S77-4)*R77)</f>
        <v>0</v>
      </c>
      <c r="W77" s="90"/>
      <c r="X77" s="386">
        <f>(Q77+((S77-0)*R77))*((100-P77)/100)</f>
        <v>0</v>
      </c>
      <c r="Y77" s="90"/>
    </row>
    <row r="78" spans="1:25" s="82" customFormat="1" ht="13" hidden="1">
      <c r="A78" s="81">
        <f t="shared" si="0"/>
        <v>72</v>
      </c>
      <c r="B78" s="81">
        <v>72</v>
      </c>
      <c r="C78" s="258" t="s">
        <v>1882</v>
      </c>
      <c r="D78" s="259" t="s">
        <v>32</v>
      </c>
      <c r="E78" s="479">
        <v>45087</v>
      </c>
      <c r="F78" s="410" t="s">
        <v>1295</v>
      </c>
      <c r="G78" s="410" t="s">
        <v>1712</v>
      </c>
      <c r="H78" s="489" t="s">
        <v>1579</v>
      </c>
      <c r="I78" s="412" t="s">
        <v>35</v>
      </c>
      <c r="J78" s="82" t="s">
        <v>36</v>
      </c>
      <c r="K78" s="481" t="s">
        <v>37</v>
      </c>
      <c r="L78" s="261" t="s">
        <v>1221</v>
      </c>
      <c r="M78" s="483" t="s">
        <v>1717</v>
      </c>
      <c r="N78" s="409" t="s">
        <v>1883</v>
      </c>
      <c r="O78" s="454" t="s">
        <v>174</v>
      </c>
      <c r="P78" s="261"/>
      <c r="Q78" s="273"/>
      <c r="R78" s="275"/>
      <c r="S78" s="162">
        <f t="shared" si="3"/>
        <v>1.3</v>
      </c>
      <c r="T78" s="94"/>
      <c r="U78" s="270">
        <f t="shared" si="1"/>
        <v>0</v>
      </c>
      <c r="V78" s="386">
        <f t="shared" ref="V78:V84" si="15">Q78+((S78-0)*R78)</f>
        <v>0</v>
      </c>
      <c r="X78" s="386">
        <f>(Q78+((S78-0)*R78))*((100-P78)/100)</f>
        <v>0</v>
      </c>
    </row>
    <row r="79" spans="1:25" s="82" customFormat="1" ht="26" hidden="1">
      <c r="A79" s="81">
        <f t="shared" si="0"/>
        <v>73</v>
      </c>
      <c r="B79" s="484" t="s">
        <v>197</v>
      </c>
      <c r="C79" s="484" t="s">
        <v>197</v>
      </c>
      <c r="D79" s="259" t="s">
        <v>198</v>
      </c>
      <c r="E79" s="479">
        <v>45026</v>
      </c>
      <c r="F79" s="410">
        <v>900</v>
      </c>
      <c r="G79" s="410">
        <v>1800</v>
      </c>
      <c r="H79" s="487" t="s">
        <v>1132</v>
      </c>
      <c r="I79" s="412" t="s">
        <v>35</v>
      </c>
      <c r="J79" s="140"/>
      <c r="K79" s="316"/>
      <c r="L79" s="414" t="s">
        <v>1221</v>
      </c>
      <c r="M79" s="132" t="s">
        <v>1133</v>
      </c>
      <c r="N79" s="456"/>
      <c r="O79" s="433" t="s">
        <v>40</v>
      </c>
      <c r="P79" s="261"/>
      <c r="Q79" s="275">
        <f>R79*6</f>
        <v>13200000</v>
      </c>
      <c r="R79" s="275">
        <v>2200000</v>
      </c>
      <c r="S79" s="162">
        <f t="shared" si="3"/>
        <v>9</v>
      </c>
      <c r="T79" s="94"/>
      <c r="U79" s="270">
        <f t="shared" si="1"/>
        <v>19800000</v>
      </c>
      <c r="V79" s="386">
        <f>(Q79+((S79-8)*R79))*((100-P79)/100)</f>
        <v>15400000</v>
      </c>
      <c r="X79" s="386">
        <f>(Q79+((S79-0)*R79))*((100-P79)/100)</f>
        <v>33000000</v>
      </c>
    </row>
    <row r="80" spans="1:25" s="82" customFormat="1" ht="13">
      <c r="A80" s="81">
        <f t="shared" si="0"/>
        <v>74</v>
      </c>
      <c r="B80" s="484" t="s">
        <v>197</v>
      </c>
      <c r="C80" s="484" t="s">
        <v>197</v>
      </c>
      <c r="D80" s="259" t="s">
        <v>1134</v>
      </c>
      <c r="E80" s="479">
        <v>45026</v>
      </c>
      <c r="F80" s="410">
        <v>1400</v>
      </c>
      <c r="G80" s="410">
        <v>1600</v>
      </c>
      <c r="H80" s="485" t="s">
        <v>892</v>
      </c>
      <c r="I80" s="412" t="s">
        <v>35</v>
      </c>
      <c r="J80" s="140"/>
      <c r="K80" s="316"/>
      <c r="L80" s="297" t="s">
        <v>72</v>
      </c>
      <c r="M80" s="486" t="s">
        <v>323</v>
      </c>
      <c r="N80" s="281"/>
      <c r="O80" s="433" t="s">
        <v>40</v>
      </c>
      <c r="P80" s="261" t="s">
        <v>215</v>
      </c>
      <c r="Q80" s="275"/>
      <c r="R80" s="275">
        <v>500000</v>
      </c>
      <c r="S80" s="162">
        <f t="shared" si="3"/>
        <v>2</v>
      </c>
      <c r="T80" s="94"/>
      <c r="U80" s="270">
        <f t="shared" si="1"/>
        <v>500000</v>
      </c>
      <c r="V80" s="386">
        <f>(Q80+((S80-0)*R80))*((100-P80)/100)</f>
        <v>500000</v>
      </c>
      <c r="X80" s="386">
        <f>(Q80+((S80-0)*R80))*((100-P80)/100)</f>
        <v>500000</v>
      </c>
    </row>
    <row r="81" spans="1:25" s="82" customFormat="1" ht="13" hidden="1">
      <c r="A81" s="81">
        <f t="shared" si="0"/>
        <v>75</v>
      </c>
      <c r="B81" s="484" t="s">
        <v>197</v>
      </c>
      <c r="C81" s="484" t="s">
        <v>197</v>
      </c>
      <c r="D81" s="259" t="s">
        <v>198</v>
      </c>
      <c r="E81" s="479" t="s">
        <v>1135</v>
      </c>
      <c r="F81" s="410">
        <v>800</v>
      </c>
      <c r="G81" s="410">
        <v>1100</v>
      </c>
      <c r="H81" s="487" t="s">
        <v>1137</v>
      </c>
      <c r="I81" s="412" t="s">
        <v>35</v>
      </c>
      <c r="J81" s="140"/>
      <c r="K81" s="316"/>
      <c r="L81" s="297" t="s">
        <v>218</v>
      </c>
      <c r="M81" s="140" t="s">
        <v>1139</v>
      </c>
      <c r="N81" s="281"/>
      <c r="O81" s="433" t="s">
        <v>40</v>
      </c>
      <c r="P81" s="261"/>
      <c r="Q81" s="275"/>
      <c r="R81" s="275">
        <v>2200000</v>
      </c>
      <c r="S81" s="162">
        <f t="shared" si="3"/>
        <v>3</v>
      </c>
      <c r="T81" s="94"/>
      <c r="U81" s="270">
        <f t="shared" si="1"/>
        <v>6600000</v>
      </c>
      <c r="V81" s="386">
        <f t="shared" si="15"/>
        <v>6600000</v>
      </c>
    </row>
    <row r="82" spans="1:25" s="82" customFormat="1" ht="13" hidden="1">
      <c r="A82" s="81">
        <f t="shared" si="0"/>
        <v>76</v>
      </c>
      <c r="B82" s="81"/>
      <c r="C82" s="103"/>
      <c r="D82" s="94"/>
      <c r="E82" s="102"/>
      <c r="F82" s="86"/>
      <c r="G82" s="86"/>
      <c r="H82" s="94"/>
      <c r="I82" s="140"/>
      <c r="J82" s="140"/>
      <c r="K82" s="316"/>
      <c r="L82" s="297"/>
      <c r="M82" s="132"/>
      <c r="N82" s="281"/>
      <c r="O82" s="433"/>
      <c r="P82" s="261"/>
      <c r="Q82" s="275"/>
      <c r="R82" s="275"/>
      <c r="S82" s="162">
        <f t="shared" si="3"/>
        <v>0</v>
      </c>
      <c r="T82" s="94"/>
      <c r="U82" s="270">
        <f t="shared" si="1"/>
        <v>0</v>
      </c>
      <c r="V82" s="470">
        <f t="shared" si="15"/>
        <v>0</v>
      </c>
      <c r="X82" s="386">
        <f>(Q82+((S82-0)*R82))*((100-P82)/100)</f>
        <v>0</v>
      </c>
    </row>
    <row r="83" spans="1:25" s="82" customFormat="1" ht="13" hidden="1">
      <c r="A83" s="81">
        <f t="shared" si="0"/>
        <v>77</v>
      </c>
      <c r="B83" s="81"/>
      <c r="C83" s="103"/>
      <c r="D83" s="94"/>
      <c r="E83" s="102"/>
      <c r="F83" s="86"/>
      <c r="G83" s="86"/>
      <c r="H83" s="94"/>
      <c r="I83" s="140"/>
      <c r="J83" s="140"/>
      <c r="K83" s="316"/>
      <c r="L83" s="297"/>
      <c r="M83" s="132"/>
      <c r="N83" s="281"/>
      <c r="O83" s="457"/>
      <c r="P83" s="261"/>
      <c r="Q83" s="437"/>
      <c r="R83" s="437"/>
      <c r="S83" s="162">
        <f t="shared" si="3"/>
        <v>0</v>
      </c>
      <c r="T83" s="94"/>
      <c r="U83" s="122">
        <f t="shared" si="1"/>
        <v>0</v>
      </c>
      <c r="V83" s="470">
        <f t="shared" si="15"/>
        <v>0</v>
      </c>
      <c r="X83" s="386">
        <f>(Q83+((S83-0)*R83))*((100-P83)/100)</f>
        <v>0</v>
      </c>
    </row>
    <row r="84" spans="1:25" s="82" customFormat="1" ht="13" hidden="1">
      <c r="A84" s="81">
        <f t="shared" si="0"/>
        <v>78</v>
      </c>
      <c r="B84" s="81"/>
      <c r="C84" s="103"/>
      <c r="D84" s="94"/>
      <c r="E84" s="102"/>
      <c r="F84" s="86"/>
      <c r="G84" s="86"/>
      <c r="H84" s="94"/>
      <c r="I84" s="140"/>
      <c r="J84" s="140"/>
      <c r="K84" s="316"/>
      <c r="L84" s="297"/>
      <c r="M84" s="132"/>
      <c r="N84" s="281"/>
      <c r="O84" s="457"/>
      <c r="P84" s="261"/>
      <c r="Q84" s="437"/>
      <c r="R84" s="437"/>
      <c r="S84" s="162">
        <f t="shared" si="3"/>
        <v>0</v>
      </c>
      <c r="T84" s="94"/>
      <c r="U84" s="122">
        <f t="shared" si="1"/>
        <v>0</v>
      </c>
      <c r="V84" s="470">
        <f t="shared" si="15"/>
        <v>0</v>
      </c>
    </row>
    <row r="85" spans="1:25" s="82" customFormat="1" ht="13">
      <c r="A85" s="666"/>
      <c r="B85" s="666"/>
      <c r="C85" s="666"/>
      <c r="D85" s="666"/>
      <c r="E85" s="862"/>
      <c r="F85" s="666"/>
      <c r="G85" s="666"/>
      <c r="H85" s="666"/>
      <c r="I85" s="140"/>
      <c r="J85" s="140"/>
      <c r="K85" s="862"/>
      <c r="L85" s="1045"/>
      <c r="M85" s="666"/>
      <c r="N85" s="1046"/>
      <c r="O85" s="766"/>
      <c r="P85" s="667"/>
      <c r="Q85" s="1047"/>
      <c r="R85" s="675"/>
      <c r="S85" s="666"/>
      <c r="T85" s="666"/>
      <c r="U85" s="629">
        <f>SUBTOTAL(109,U7:U84)</f>
        <v>54000000</v>
      </c>
      <c r="V85" s="630">
        <f>SUBTOTAL(109,V7:V84)</f>
        <v>50500000</v>
      </c>
      <c r="Y85" s="376">
        <f>V85*1.1</f>
        <v>55550000.000000007</v>
      </c>
    </row>
    <row r="86" spans="1:25" s="82" customFormat="1" ht="13">
      <c r="E86" s="104"/>
      <c r="I86" s="160"/>
      <c r="J86" s="160"/>
      <c r="K86" s="104"/>
      <c r="N86" s="104"/>
      <c r="Q86" s="99"/>
      <c r="V86" s="99"/>
    </row>
    <row r="87" spans="1:25">
      <c r="V87" s="101">
        <f>V85*1.1</f>
        <v>55550000.000000007</v>
      </c>
    </row>
    <row r="88" spans="1:25">
      <c r="R88" s="356"/>
    </row>
    <row r="89" spans="1:25">
      <c r="Q89" s="100"/>
      <c r="R89" s="356"/>
      <c r="V89" s="100"/>
    </row>
    <row r="90" spans="1:25">
      <c r="Q90" s="100"/>
      <c r="V90" s="100">
        <f>14250000-2850000</f>
        <v>11400000</v>
      </c>
    </row>
    <row r="91" spans="1:25">
      <c r="Q91" s="100"/>
      <c r="V91" s="100"/>
    </row>
  </sheetData>
  <autoFilter ref="A6:AE84" xr:uid="{1028D278-910A-4D41-890F-0D5DC76C3F25}">
    <filterColumn colId="3">
      <filters>
        <filter val="The Library 1"/>
        <filter val="VN Thư Viện 1 - The Library 1"/>
        <filter val="VN Thư Viện 2 - The Library 2"/>
      </filters>
    </filterColumn>
    <filterColumn colId="21">
      <filters>
        <filter val="1,000,000"/>
        <filter val="1,250,000"/>
        <filter val="1,425,000"/>
        <filter val="1,500,000"/>
        <filter val="1,750,000"/>
        <filter val="1,900,000"/>
        <filter val="15,400,000"/>
        <filter val="180,000"/>
        <filter val="2,375,000"/>
        <filter val="2,850,000"/>
        <filter val="250,000"/>
        <filter val="3,500,000"/>
        <filter val="375,000"/>
        <filter val="4,500,000"/>
        <filter val="500,000"/>
        <filter val="6,600,000"/>
        <filter val="750,000"/>
        <filter val="8,312,500"/>
        <filter val="875,000"/>
        <filter val="950,000"/>
      </filters>
    </filterColumn>
  </autoFilter>
  <pageMargins left="0.7" right="0.7" top="0.75" bottom="0.75" header="0.3" footer="0.3"/>
  <pageSetup scale="37" fitToHeight="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FFC5E-072B-4A2F-A3DC-8B88FB34038A}">
  <sheetPr codeName="Sheet23"/>
  <dimension ref="A1:R10"/>
  <sheetViews>
    <sheetView zoomScale="70" zoomScaleNormal="70" workbookViewId="0">
      <selection activeCell="D14" sqref="D14"/>
    </sheetView>
  </sheetViews>
  <sheetFormatPr defaultRowHeight="14.5"/>
  <cols>
    <col min="4" max="4" width="16.453125" customWidth="1"/>
    <col min="5" max="5" width="22.26953125" customWidth="1"/>
    <col min="6" max="6" width="10.453125" bestFit="1" customWidth="1"/>
    <col min="8" max="8" width="25.453125" customWidth="1"/>
    <col min="10" max="10" width="15.453125" customWidth="1"/>
    <col min="17" max="17" width="12.26953125" customWidth="1"/>
  </cols>
  <sheetData>
    <row r="1" spans="1:18">
      <c r="A1" s="100"/>
      <c r="B1" s="100"/>
      <c r="C1" s="100"/>
      <c r="D1" s="100"/>
      <c r="E1" s="68"/>
      <c r="F1" s="100"/>
      <c r="G1" s="100"/>
      <c r="H1" s="100"/>
      <c r="I1" s="100"/>
      <c r="J1" s="100"/>
      <c r="K1" s="100"/>
      <c r="L1" s="100"/>
      <c r="M1" s="101"/>
      <c r="N1" s="100"/>
      <c r="O1" s="100"/>
      <c r="P1" s="100"/>
      <c r="Q1" s="100"/>
      <c r="R1" s="101"/>
    </row>
    <row r="2" spans="1:18" ht="21">
      <c r="A2" s="52" t="s">
        <v>0</v>
      </c>
      <c r="B2" s="52"/>
      <c r="C2" s="52"/>
      <c r="D2" s="52"/>
      <c r="E2" s="52"/>
      <c r="F2" s="52"/>
      <c r="G2" s="52"/>
      <c r="H2" s="52"/>
      <c r="I2" s="52"/>
      <c r="J2" s="390"/>
      <c r="K2" s="52"/>
      <c r="L2" s="52"/>
      <c r="M2" s="52"/>
      <c r="N2" s="52"/>
      <c r="O2" s="52"/>
      <c r="P2" s="52"/>
      <c r="Q2" s="52"/>
      <c r="R2" s="53"/>
    </row>
    <row r="3" spans="1:18">
      <c r="A3" s="60" t="s">
        <v>2</v>
      </c>
      <c r="B3" s="60"/>
      <c r="C3" s="60"/>
      <c r="D3" s="60"/>
      <c r="E3" s="60"/>
      <c r="F3" s="60"/>
      <c r="G3" s="60"/>
      <c r="H3" s="60"/>
      <c r="I3" s="60"/>
      <c r="J3" s="393"/>
      <c r="K3" s="60"/>
      <c r="L3" s="60"/>
      <c r="M3" s="60"/>
      <c r="N3" s="60"/>
      <c r="O3" s="60"/>
      <c r="P3" s="60"/>
      <c r="Q3" s="60"/>
      <c r="R3" s="61"/>
    </row>
    <row r="4" spans="1:18">
      <c r="A4" s="60" t="s">
        <v>1884</v>
      </c>
      <c r="B4" s="60"/>
      <c r="C4" s="60"/>
      <c r="D4" s="60"/>
      <c r="E4" s="60"/>
      <c r="F4" s="60"/>
      <c r="G4" s="60"/>
      <c r="H4" s="60"/>
      <c r="I4" s="60"/>
      <c r="J4" s="393"/>
      <c r="K4" s="60"/>
      <c r="L4" s="60"/>
      <c r="M4" s="60"/>
      <c r="N4" s="60"/>
      <c r="O4" s="60"/>
      <c r="P4" s="60"/>
      <c r="Q4" s="60"/>
      <c r="R4" s="61"/>
    </row>
    <row r="5" spans="1:18">
      <c r="A5" s="57"/>
      <c r="B5" s="57"/>
      <c r="C5" s="57"/>
      <c r="D5" s="66"/>
      <c r="E5" s="67"/>
      <c r="F5" s="67"/>
      <c r="G5" s="67"/>
      <c r="H5" s="66"/>
      <c r="I5" s="66"/>
      <c r="J5" s="59"/>
      <c r="K5" s="68"/>
      <c r="L5" s="66"/>
      <c r="M5" s="69"/>
      <c r="N5" s="56"/>
      <c r="O5" s="56"/>
      <c r="P5" s="56"/>
      <c r="Q5" s="67"/>
      <c r="R5" s="69"/>
    </row>
    <row r="6" spans="1:18" ht="62.9" customHeight="1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74" t="s">
        <v>16</v>
      </c>
      <c r="J6" s="74" t="s">
        <v>17</v>
      </c>
      <c r="K6" s="76" t="s">
        <v>19</v>
      </c>
      <c r="L6" s="74" t="s">
        <v>20</v>
      </c>
      <c r="M6" s="136" t="s">
        <v>21</v>
      </c>
      <c r="N6" s="74" t="s">
        <v>22</v>
      </c>
      <c r="O6" s="74" t="s">
        <v>23</v>
      </c>
      <c r="P6" s="74" t="s">
        <v>24</v>
      </c>
      <c r="Q6" s="663" t="s">
        <v>25</v>
      </c>
      <c r="R6" s="661" t="s">
        <v>26</v>
      </c>
    </row>
    <row r="7" spans="1:18" s="873" customFormat="1" ht="31.75" customHeight="1">
      <c r="A7" s="677"/>
      <c r="B7" s="677"/>
      <c r="C7" s="368"/>
      <c r="D7" s="368" t="s">
        <v>198</v>
      </c>
      <c r="E7" s="678" t="s">
        <v>1582</v>
      </c>
      <c r="F7" s="368" t="s">
        <v>421</v>
      </c>
      <c r="G7" s="368" t="s">
        <v>427</v>
      </c>
      <c r="H7" s="869" t="s">
        <v>1472</v>
      </c>
      <c r="I7" s="368"/>
      <c r="J7" s="368"/>
      <c r="K7" s="368" t="s">
        <v>547</v>
      </c>
      <c r="L7" s="368"/>
      <c r="M7" s="870"/>
      <c r="N7" s="870"/>
      <c r="O7" s="684"/>
      <c r="P7" s="368"/>
      <c r="Q7" s="871"/>
      <c r="R7" s="872"/>
    </row>
    <row r="8" spans="1:18">
      <c r="A8" s="81"/>
      <c r="B8" s="81"/>
      <c r="C8" s="94"/>
      <c r="D8" s="259" t="s">
        <v>1134</v>
      </c>
      <c r="E8" s="411">
        <v>45210</v>
      </c>
      <c r="F8" s="410" t="s">
        <v>1885</v>
      </c>
      <c r="G8" s="410" t="s">
        <v>426</v>
      </c>
      <c r="H8" s="94" t="s">
        <v>1886</v>
      </c>
      <c r="I8" s="261"/>
      <c r="J8" s="664" t="s">
        <v>1887</v>
      </c>
      <c r="K8" s="259" t="s">
        <v>1220</v>
      </c>
      <c r="L8" s="434"/>
      <c r="M8" s="83"/>
      <c r="N8" s="83"/>
      <c r="O8" s="162"/>
      <c r="P8" s="94"/>
      <c r="Q8" s="665"/>
      <c r="R8" s="662"/>
    </row>
    <row r="9" spans="1:18">
      <c r="A9" s="81"/>
      <c r="B9" s="81"/>
      <c r="C9" s="258"/>
      <c r="D9" s="259" t="s">
        <v>1134</v>
      </c>
      <c r="E9" s="258" t="s">
        <v>1888</v>
      </c>
      <c r="F9" s="410" t="s">
        <v>1885</v>
      </c>
      <c r="G9" s="86" t="s">
        <v>1889</v>
      </c>
      <c r="H9" s="94" t="s">
        <v>1886</v>
      </c>
      <c r="I9" s="261"/>
      <c r="J9" s="664" t="s">
        <v>1887</v>
      </c>
      <c r="K9" s="259" t="s">
        <v>1220</v>
      </c>
      <c r="L9" s="261"/>
      <c r="M9" s="83"/>
      <c r="N9" s="83"/>
      <c r="O9" s="162"/>
      <c r="P9" s="259"/>
      <c r="Q9" s="665"/>
      <c r="R9" s="662"/>
    </row>
    <row r="10" spans="1:18" s="468" customFormat="1" ht="33" customHeight="1">
      <c r="A10" s="1048"/>
      <c r="B10" s="1048"/>
      <c r="C10" s="1048"/>
      <c r="D10" s="368" t="s">
        <v>198</v>
      </c>
      <c r="E10" s="1049">
        <v>45242</v>
      </c>
      <c r="F10" s="1050">
        <v>0.35416666666666669</v>
      </c>
      <c r="G10" s="1050">
        <v>0.45833333333333331</v>
      </c>
      <c r="H10" s="1048" t="s">
        <v>1137</v>
      </c>
      <c r="I10" s="1048"/>
      <c r="J10" s="1051" t="s">
        <v>1890</v>
      </c>
      <c r="K10" s="1048" t="s">
        <v>547</v>
      </c>
      <c r="L10" s="1052"/>
      <c r="M10" s="1052"/>
      <c r="N10" s="1052"/>
      <c r="O10" s="1052"/>
      <c r="P10" s="1052"/>
      <c r="Q10" s="1052"/>
    </row>
  </sheetData>
  <pageMargins left="0.7" right="0.7" top="0.75" bottom="0.75" header="0.3" footer="0.3"/>
  <pageSetup paperSize="9"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ECDCD-9977-4058-BA93-219A21E23D8C}">
  <sheetPr codeName="Sheet24" filterMode="1">
    <pageSetUpPr fitToPage="1"/>
  </sheetPr>
  <dimension ref="A2:AE71"/>
  <sheetViews>
    <sheetView zoomScale="80" zoomScaleNormal="70" workbookViewId="0">
      <selection activeCell="V7" sqref="V7"/>
    </sheetView>
  </sheetViews>
  <sheetFormatPr defaultColWidth="9.1796875" defaultRowHeight="14.5"/>
  <cols>
    <col min="1" max="2" width="8.81640625" style="100" customWidth="1"/>
    <col min="3" max="3" width="8.81640625" style="100" bestFit="1" customWidth="1"/>
    <col min="4" max="4" width="27.26953125" style="100" customWidth="1"/>
    <col min="5" max="5" width="13.81640625" style="68" customWidth="1"/>
    <col min="6" max="6" width="10.81640625" style="100" bestFit="1" customWidth="1"/>
    <col min="7" max="7" width="10" style="100" customWidth="1"/>
    <col min="8" max="8" width="25.54296875" style="100" customWidth="1"/>
    <col min="9" max="9" width="11.26953125" style="59" customWidth="1"/>
    <col min="10" max="10" width="12" style="59" customWidth="1"/>
    <col min="11" max="11" width="9.26953125" style="100" customWidth="1"/>
    <col min="12" max="12" width="14.1796875" style="100" customWidth="1"/>
    <col min="13" max="13" width="10.26953125" style="100" customWidth="1"/>
    <col min="14" max="14" width="22.26953125" style="68" customWidth="1"/>
    <col min="15" max="15" width="12.54296875" style="100" customWidth="1"/>
    <col min="16" max="16" width="9.1796875" style="100" bestFit="1" customWidth="1"/>
    <col min="17" max="17" width="13.26953125" style="101" customWidth="1"/>
    <col min="18" max="18" width="11.26953125" style="100" bestFit="1" customWidth="1"/>
    <col min="19" max="20" width="9.1796875" style="100" bestFit="1" customWidth="1"/>
    <col min="21" max="21" width="16.54296875" style="100" customWidth="1"/>
    <col min="22" max="22" width="14.26953125" style="101" customWidth="1"/>
    <col min="23" max="23" width="10.26953125" style="100" bestFit="1" customWidth="1"/>
    <col min="24" max="24" width="14.54296875" style="100" customWidth="1"/>
    <col min="25" max="25" width="13.7265625" style="100" customWidth="1"/>
    <col min="26" max="16384" width="9.1796875" style="100"/>
  </cols>
  <sheetData>
    <row r="2" spans="1:31" s="57" customFormat="1" ht="20.25" customHeight="1">
      <c r="A2" s="52" t="s">
        <v>0</v>
      </c>
      <c r="B2" s="52"/>
      <c r="C2" s="52"/>
      <c r="D2" s="52"/>
      <c r="E2" s="391"/>
      <c r="F2" s="52"/>
      <c r="G2" s="52"/>
      <c r="H2" s="52"/>
      <c r="I2" s="52"/>
      <c r="J2" s="389"/>
      <c r="K2" s="52"/>
      <c r="L2" s="52"/>
      <c r="M2" s="390"/>
      <c r="N2" s="391"/>
      <c r="O2" s="52"/>
      <c r="P2" s="52"/>
      <c r="Q2" s="52"/>
      <c r="R2" s="52"/>
      <c r="S2" s="52"/>
      <c r="T2" s="52"/>
      <c r="U2" s="52"/>
      <c r="V2" s="53"/>
      <c r="W2" s="54"/>
      <c r="X2" s="52"/>
      <c r="Y2" s="435">
        <f>18287500+30500000</f>
        <v>48787500</v>
      </c>
      <c r="Z2" s="56"/>
      <c r="AD2" s="58"/>
      <c r="AE2" s="59" t="s">
        <v>1</v>
      </c>
    </row>
    <row r="3" spans="1:31" s="57" customFormat="1" ht="20.25" customHeight="1">
      <c r="A3" s="60" t="s">
        <v>2</v>
      </c>
      <c r="B3" s="60"/>
      <c r="C3" s="60"/>
      <c r="D3" s="60"/>
      <c r="E3" s="394"/>
      <c r="F3" s="60"/>
      <c r="G3" s="60"/>
      <c r="H3" s="60"/>
      <c r="I3" s="60"/>
      <c r="J3" s="392"/>
      <c r="K3" s="60"/>
      <c r="L3" s="60"/>
      <c r="M3" s="393"/>
      <c r="N3" s="394"/>
      <c r="O3" s="60"/>
      <c r="P3" s="60"/>
      <c r="Q3" s="60"/>
      <c r="R3" s="60"/>
      <c r="S3" s="60"/>
      <c r="T3" s="60"/>
      <c r="U3" s="60"/>
      <c r="V3" s="61"/>
      <c r="W3" s="62"/>
      <c r="X3" s="60"/>
      <c r="Y3" s="63"/>
      <c r="Z3" s="56"/>
      <c r="AD3" s="64"/>
      <c r="AE3" s="59" t="s">
        <v>3</v>
      </c>
    </row>
    <row r="4" spans="1:31" s="57" customFormat="1" ht="20.25" customHeight="1">
      <c r="A4" s="60" t="s">
        <v>1891</v>
      </c>
      <c r="B4" s="60"/>
      <c r="C4" s="60"/>
      <c r="D4" s="60"/>
      <c r="E4" s="394"/>
      <c r="F4" s="60"/>
      <c r="G4" s="60"/>
      <c r="H4" s="60"/>
      <c r="I4" s="60"/>
      <c r="J4" s="392"/>
      <c r="K4" s="60"/>
      <c r="L4" s="60"/>
      <c r="M4" s="393"/>
      <c r="N4" s="394"/>
      <c r="O4" s="60"/>
      <c r="P4" s="60"/>
      <c r="Q4" s="60"/>
      <c r="R4" s="60"/>
      <c r="S4" s="60"/>
      <c r="T4" s="60"/>
      <c r="U4" s="60"/>
      <c r="V4" s="61"/>
      <c r="W4" s="62"/>
      <c r="X4" s="60"/>
      <c r="Y4" s="63"/>
      <c r="Z4" s="56"/>
      <c r="AD4" s="65"/>
      <c r="AE4" s="59" t="s">
        <v>5</v>
      </c>
    </row>
    <row r="5" spans="1:31" s="57" customFormat="1" ht="6" customHeight="1">
      <c r="D5" s="66"/>
      <c r="E5" s="67"/>
      <c r="F5" s="67"/>
      <c r="G5" s="67"/>
      <c r="H5" s="66"/>
      <c r="I5" s="66"/>
      <c r="J5" s="66"/>
      <c r="L5" s="66"/>
      <c r="M5" s="59"/>
      <c r="N5" s="68"/>
      <c r="O5" s="68"/>
      <c r="P5" s="66"/>
      <c r="Q5" s="69"/>
      <c r="R5" s="56"/>
      <c r="S5" s="56"/>
      <c r="T5" s="56"/>
      <c r="U5" s="67"/>
      <c r="V5" s="69"/>
      <c r="W5" s="70"/>
      <c r="X5" s="56"/>
      <c r="Y5" s="71"/>
      <c r="Z5" s="56"/>
    </row>
    <row r="6" spans="1:31" s="79" customFormat="1" ht="52">
      <c r="A6" s="72" t="s">
        <v>6</v>
      </c>
      <c r="B6" s="72" t="s">
        <v>6</v>
      </c>
      <c r="C6" s="73" t="s">
        <v>7</v>
      </c>
      <c r="D6" s="72" t="s">
        <v>8</v>
      </c>
      <c r="E6" s="75" t="s">
        <v>9</v>
      </c>
      <c r="F6" s="72" t="s">
        <v>10</v>
      </c>
      <c r="G6" s="74" t="s">
        <v>11</v>
      </c>
      <c r="H6" s="72" t="s">
        <v>12</v>
      </c>
      <c r="I6" s="161" t="s">
        <v>13</v>
      </c>
      <c r="J6" s="159" t="s">
        <v>14</v>
      </c>
      <c r="K6" s="159" t="s">
        <v>15</v>
      </c>
      <c r="L6" s="134" t="s">
        <v>16</v>
      </c>
      <c r="M6" s="134" t="s">
        <v>17</v>
      </c>
      <c r="N6" s="319" t="s">
        <v>18</v>
      </c>
      <c r="O6" s="320" t="s">
        <v>19</v>
      </c>
      <c r="P6" s="134" t="s">
        <v>20</v>
      </c>
      <c r="Q6" s="321" t="s">
        <v>21</v>
      </c>
      <c r="R6" s="74" t="s">
        <v>22</v>
      </c>
      <c r="S6" s="74" t="s">
        <v>23</v>
      </c>
      <c r="T6" s="74" t="s">
        <v>24</v>
      </c>
      <c r="U6" s="78" t="s">
        <v>25</v>
      </c>
      <c r="V6" s="134" t="s">
        <v>26</v>
      </c>
      <c r="Z6" s="72" t="s">
        <v>27</v>
      </c>
      <c r="AA6" s="80" t="s">
        <v>28</v>
      </c>
      <c r="AB6" s="74" t="s">
        <v>29</v>
      </c>
      <c r="AC6" s="72" t="s">
        <v>30</v>
      </c>
    </row>
    <row r="7" spans="1:31" s="82" customFormat="1" ht="13">
      <c r="A7" s="81">
        <f t="shared" ref="A7:A38" si="0">ROW()-6</f>
        <v>1</v>
      </c>
      <c r="B7" s="81">
        <v>1</v>
      </c>
      <c r="C7" s="258" t="s">
        <v>1892</v>
      </c>
      <c r="D7" s="259" t="s">
        <v>43</v>
      </c>
      <c r="E7" s="260" t="s">
        <v>1893</v>
      </c>
      <c r="F7" s="86">
        <v>1400</v>
      </c>
      <c r="G7" s="86">
        <v>1700</v>
      </c>
      <c r="H7" s="261" t="s">
        <v>861</v>
      </c>
      <c r="I7" s="261" t="s">
        <v>35</v>
      </c>
      <c r="J7" s="261" t="s">
        <v>36</v>
      </c>
      <c r="K7" s="315" t="s">
        <v>76</v>
      </c>
      <c r="L7" s="412" t="s">
        <v>255</v>
      </c>
      <c r="M7" s="355"/>
      <c r="N7" s="436" t="s">
        <v>1894</v>
      </c>
      <c r="O7" s="433" t="s">
        <v>40</v>
      </c>
      <c r="P7" s="297"/>
      <c r="Q7" s="437"/>
      <c r="R7" s="437">
        <v>500000</v>
      </c>
      <c r="S7" s="162">
        <f>(G7-F7)/100</f>
        <v>3</v>
      </c>
      <c r="T7" s="259"/>
      <c r="U7" s="438">
        <f t="shared" ref="U7:U38" si="1">S7*R7*(100-P7)/100</f>
        <v>1500000</v>
      </c>
      <c r="V7" s="386">
        <f>Q7+((S7-0)*R7)</f>
        <v>1500000</v>
      </c>
      <c r="W7" s="439"/>
      <c r="X7" s="91"/>
      <c r="Y7" s="439"/>
    </row>
    <row r="8" spans="1:31" s="82" customFormat="1" ht="13" hidden="1">
      <c r="A8" s="81">
        <f t="shared" si="0"/>
        <v>2</v>
      </c>
      <c r="B8" s="81">
        <v>2</v>
      </c>
      <c r="C8" s="258" t="s">
        <v>1895</v>
      </c>
      <c r="D8" s="259" t="s">
        <v>75</v>
      </c>
      <c r="E8" s="260" t="s">
        <v>1896</v>
      </c>
      <c r="F8" s="86">
        <v>1500</v>
      </c>
      <c r="G8" s="86">
        <v>1600</v>
      </c>
      <c r="H8" s="261" t="s">
        <v>1897</v>
      </c>
      <c r="I8" s="261" t="s">
        <v>35</v>
      </c>
      <c r="J8" s="261" t="s">
        <v>36</v>
      </c>
      <c r="K8" s="315" t="s">
        <v>76</v>
      </c>
      <c r="L8" s="412" t="s">
        <v>484</v>
      </c>
      <c r="M8" s="355"/>
      <c r="N8" s="436" t="s">
        <v>1898</v>
      </c>
      <c r="O8" s="433" t="s">
        <v>40</v>
      </c>
      <c r="P8" s="413" t="s">
        <v>41</v>
      </c>
      <c r="Q8" s="274"/>
      <c r="R8" s="437">
        <v>500000</v>
      </c>
      <c r="S8" s="162">
        <f>(G8-F8)/100</f>
        <v>1</v>
      </c>
      <c r="T8" s="259"/>
      <c r="U8" s="438">
        <f t="shared" si="1"/>
        <v>0</v>
      </c>
      <c r="V8" s="386">
        <f>U8</f>
        <v>0</v>
      </c>
      <c r="W8" s="439"/>
      <c r="X8" s="91"/>
      <c r="Y8" s="439"/>
    </row>
    <row r="9" spans="1:31" s="82" customFormat="1" ht="26">
      <c r="A9" s="81">
        <f t="shared" si="0"/>
        <v>3</v>
      </c>
      <c r="B9" s="81">
        <v>3</v>
      </c>
      <c r="C9" s="258" t="s">
        <v>1899</v>
      </c>
      <c r="D9" s="259" t="s">
        <v>43</v>
      </c>
      <c r="E9" s="411" t="s">
        <v>1893</v>
      </c>
      <c r="F9" s="410" t="s">
        <v>1485</v>
      </c>
      <c r="G9" s="410" t="s">
        <v>1398</v>
      </c>
      <c r="H9" s="293" t="s">
        <v>1120</v>
      </c>
      <c r="I9" s="262" t="s">
        <v>35</v>
      </c>
      <c r="J9" s="262" t="s">
        <v>36</v>
      </c>
      <c r="K9" s="315" t="s">
        <v>76</v>
      </c>
      <c r="L9" s="412" t="s">
        <v>47</v>
      </c>
      <c r="M9" s="432"/>
      <c r="N9" s="436" t="s">
        <v>1900</v>
      </c>
      <c r="O9" s="433" t="s">
        <v>40</v>
      </c>
      <c r="P9" s="261"/>
      <c r="Q9" s="440"/>
      <c r="R9" s="437">
        <v>500000</v>
      </c>
      <c r="S9" s="162">
        <f>(G9-1050)/100</f>
        <v>1.5</v>
      </c>
      <c r="T9" s="259"/>
      <c r="U9" s="438">
        <f t="shared" si="1"/>
        <v>750000</v>
      </c>
      <c r="V9" s="386">
        <f t="shared" ref="V9:V16" si="2">Q9+((S9-0)*R9)</f>
        <v>750000</v>
      </c>
      <c r="W9" s="439"/>
      <c r="X9" s="386">
        <f>(Q9+((S9-0)*R9))*((100-P9)/100)</f>
        <v>750000</v>
      </c>
      <c r="Y9" s="439"/>
    </row>
    <row r="10" spans="1:31" s="82" customFormat="1" ht="13">
      <c r="A10" s="81">
        <f t="shared" si="0"/>
        <v>4</v>
      </c>
      <c r="B10" s="81">
        <v>4</v>
      </c>
      <c r="C10" s="94">
        <v>4396</v>
      </c>
      <c r="D10" s="259" t="s">
        <v>43</v>
      </c>
      <c r="E10" s="258" t="s">
        <v>1901</v>
      </c>
      <c r="F10" s="86">
        <v>1600</v>
      </c>
      <c r="G10" s="86">
        <v>1700</v>
      </c>
      <c r="H10" s="94" t="s">
        <v>1902</v>
      </c>
      <c r="I10" s="140" t="s">
        <v>35</v>
      </c>
      <c r="J10" s="140" t="s">
        <v>36</v>
      </c>
      <c r="K10" s="316">
        <v>6</v>
      </c>
      <c r="L10" s="412" t="s">
        <v>47</v>
      </c>
      <c r="M10" s="355"/>
      <c r="N10" s="441" t="s">
        <v>1903</v>
      </c>
      <c r="O10" s="433" t="s">
        <v>40</v>
      </c>
      <c r="P10" s="94"/>
      <c r="Q10" s="440"/>
      <c r="R10" s="437">
        <v>500000</v>
      </c>
      <c r="S10" s="162">
        <f>(G10-F10)/100</f>
        <v>1</v>
      </c>
      <c r="T10" s="94"/>
      <c r="U10" s="438">
        <f t="shared" si="1"/>
        <v>500000</v>
      </c>
      <c r="V10" s="386">
        <f t="shared" si="2"/>
        <v>500000</v>
      </c>
      <c r="W10" s="442"/>
      <c r="X10" s="386">
        <f>(Q10+((S10-0)*R10))*((100-P10)/100)</f>
        <v>500000</v>
      </c>
    </row>
    <row r="11" spans="1:31" s="82" customFormat="1" ht="26">
      <c r="A11" s="81">
        <f t="shared" si="0"/>
        <v>5</v>
      </c>
      <c r="B11" s="81">
        <v>5</v>
      </c>
      <c r="C11" s="258" t="s">
        <v>1904</v>
      </c>
      <c r="D11" s="259" t="s">
        <v>43</v>
      </c>
      <c r="E11" s="258" t="s">
        <v>1896</v>
      </c>
      <c r="F11" s="86">
        <v>1430</v>
      </c>
      <c r="G11" s="86">
        <v>1600</v>
      </c>
      <c r="H11" s="261" t="s">
        <v>1770</v>
      </c>
      <c r="I11" s="261" t="s">
        <v>35</v>
      </c>
      <c r="J11" s="261" t="s">
        <v>36</v>
      </c>
      <c r="K11" s="315" t="s">
        <v>76</v>
      </c>
      <c r="L11" s="412" t="s">
        <v>47</v>
      </c>
      <c r="M11" s="355"/>
      <c r="N11" s="350" t="s">
        <v>1905</v>
      </c>
      <c r="O11" s="433" t="s">
        <v>40</v>
      </c>
      <c r="P11" s="261"/>
      <c r="Q11" s="440"/>
      <c r="R11" s="437">
        <v>500000</v>
      </c>
      <c r="S11" s="162">
        <f>(G11-1450)/100</f>
        <v>1.5</v>
      </c>
      <c r="T11" s="259"/>
      <c r="U11" s="438">
        <f t="shared" si="1"/>
        <v>750000</v>
      </c>
      <c r="V11" s="386">
        <f t="shared" si="2"/>
        <v>750000</v>
      </c>
      <c r="W11" s="439"/>
      <c r="X11" s="386">
        <f>(Q11+((S11-0)*R11))*((100-P11)/100)</f>
        <v>750000</v>
      </c>
      <c r="Y11" s="439"/>
    </row>
    <row r="12" spans="1:31" s="82" customFormat="1" ht="13">
      <c r="A12" s="81">
        <f t="shared" si="0"/>
        <v>6</v>
      </c>
      <c r="B12" s="81">
        <v>6</v>
      </c>
      <c r="C12" s="94">
        <v>4392</v>
      </c>
      <c r="D12" s="259" t="s">
        <v>43</v>
      </c>
      <c r="E12" s="258" t="s">
        <v>1906</v>
      </c>
      <c r="F12" s="86">
        <v>1600</v>
      </c>
      <c r="G12" s="86">
        <v>1730</v>
      </c>
      <c r="H12" s="94" t="s">
        <v>1850</v>
      </c>
      <c r="I12" s="140" t="s">
        <v>35</v>
      </c>
      <c r="J12" s="140" t="s">
        <v>36</v>
      </c>
      <c r="K12" s="315" t="s">
        <v>76</v>
      </c>
      <c r="L12" s="412" t="s">
        <v>255</v>
      </c>
      <c r="M12" s="427"/>
      <c r="N12" s="441" t="s">
        <v>1907</v>
      </c>
      <c r="O12" s="433" t="s">
        <v>40</v>
      </c>
      <c r="P12" s="422"/>
      <c r="Q12" s="440"/>
      <c r="R12" s="437">
        <v>500000</v>
      </c>
      <c r="S12" s="162">
        <f>(1750-F12)/100</f>
        <v>1.5</v>
      </c>
      <c r="T12" s="94"/>
      <c r="U12" s="438">
        <f t="shared" si="1"/>
        <v>750000</v>
      </c>
      <c r="V12" s="386">
        <f t="shared" si="2"/>
        <v>750000</v>
      </c>
    </row>
    <row r="13" spans="1:31" s="82" customFormat="1">
      <c r="A13" s="81">
        <f t="shared" si="0"/>
        <v>7</v>
      </c>
      <c r="B13" s="81">
        <v>7</v>
      </c>
      <c r="C13" s="258" t="s">
        <v>1908</v>
      </c>
      <c r="D13" s="259" t="s">
        <v>43</v>
      </c>
      <c r="E13" s="258" t="s">
        <v>1906</v>
      </c>
      <c r="F13" s="86">
        <v>1500</v>
      </c>
      <c r="G13" s="86">
        <v>1600</v>
      </c>
      <c r="H13" s="261" t="s">
        <v>1850</v>
      </c>
      <c r="I13" s="140" t="s">
        <v>35</v>
      </c>
      <c r="J13" s="140" t="s">
        <v>36</v>
      </c>
      <c r="K13" s="315" t="s">
        <v>76</v>
      </c>
      <c r="L13" s="412" t="s">
        <v>255</v>
      </c>
      <c r="M13" s="94"/>
      <c r="N13" s="443" t="s">
        <v>1909</v>
      </c>
      <c r="O13" s="433" t="s">
        <v>40</v>
      </c>
      <c r="P13" s="442"/>
      <c r="Q13" s="440"/>
      <c r="R13" s="437">
        <v>500000</v>
      </c>
      <c r="S13" s="162">
        <f>(G13-F13)/100</f>
        <v>1</v>
      </c>
      <c r="T13" s="259"/>
      <c r="U13" s="438">
        <f t="shared" si="1"/>
        <v>500000</v>
      </c>
      <c r="V13" s="386">
        <f t="shared" si="2"/>
        <v>500000</v>
      </c>
      <c r="W13" s="439"/>
      <c r="X13" s="386">
        <f>(Q13+((S13-0)*R13))*((100-P13)/100)</f>
        <v>500000</v>
      </c>
      <c r="Y13" s="439"/>
    </row>
    <row r="14" spans="1:31" s="82" customFormat="1" ht="14" hidden="1">
      <c r="A14" s="81">
        <f t="shared" si="0"/>
        <v>8</v>
      </c>
      <c r="B14" s="263">
        <v>8</v>
      </c>
      <c r="C14" s="264" t="s">
        <v>1910</v>
      </c>
      <c r="D14" s="259" t="s">
        <v>32</v>
      </c>
      <c r="E14" s="264" t="s">
        <v>1906</v>
      </c>
      <c r="F14" s="266">
        <v>930</v>
      </c>
      <c r="G14" s="266">
        <v>1030</v>
      </c>
      <c r="H14" s="267" t="s">
        <v>1850</v>
      </c>
      <c r="I14" s="268" t="s">
        <v>35</v>
      </c>
      <c r="J14" s="268" t="s">
        <v>36</v>
      </c>
      <c r="K14" s="317" t="s">
        <v>76</v>
      </c>
      <c r="L14" s="412" t="s">
        <v>255</v>
      </c>
      <c r="M14" s="428"/>
      <c r="N14" s="444" t="s">
        <v>1911</v>
      </c>
      <c r="O14" s="445" t="s">
        <v>40</v>
      </c>
      <c r="P14" s="423"/>
      <c r="Q14" s="446"/>
      <c r="R14" s="447">
        <v>950000</v>
      </c>
      <c r="S14" s="162">
        <f>(G14-F14)/100</f>
        <v>1</v>
      </c>
      <c r="T14" s="265"/>
      <c r="U14" s="447">
        <f t="shared" si="1"/>
        <v>950000</v>
      </c>
      <c r="V14" s="386">
        <f t="shared" si="2"/>
        <v>950000</v>
      </c>
      <c r="W14" s="439"/>
      <c r="X14" s="91"/>
      <c r="Y14" s="439"/>
    </row>
    <row r="15" spans="1:31" s="82" customFormat="1" ht="26">
      <c r="A15" s="81">
        <f t="shared" si="0"/>
        <v>9</v>
      </c>
      <c r="B15" s="81">
        <v>9</v>
      </c>
      <c r="C15" s="258" t="s">
        <v>1912</v>
      </c>
      <c r="D15" s="259" t="s">
        <v>43</v>
      </c>
      <c r="E15" s="258" t="s">
        <v>1913</v>
      </c>
      <c r="F15" s="86">
        <v>1415</v>
      </c>
      <c r="G15" s="86">
        <v>1515</v>
      </c>
      <c r="H15" s="261" t="s">
        <v>1914</v>
      </c>
      <c r="I15" s="140" t="s">
        <v>35</v>
      </c>
      <c r="J15" s="140" t="s">
        <v>36</v>
      </c>
      <c r="K15" s="315" t="s">
        <v>133</v>
      </c>
      <c r="L15" s="412" t="s">
        <v>284</v>
      </c>
      <c r="M15" s="94"/>
      <c r="N15" s="443" t="s">
        <v>1915</v>
      </c>
      <c r="O15" s="433" t="s">
        <v>40</v>
      </c>
      <c r="P15" s="408"/>
      <c r="Q15" s="440"/>
      <c r="R15" s="437">
        <v>500000</v>
      </c>
      <c r="S15" s="162">
        <f>(G15-F15)/100</f>
        <v>1</v>
      </c>
      <c r="T15" s="259"/>
      <c r="U15" s="438">
        <f t="shared" si="1"/>
        <v>500000</v>
      </c>
      <c r="V15" s="386">
        <f t="shared" si="2"/>
        <v>500000</v>
      </c>
      <c r="W15" s="439"/>
      <c r="X15" s="91"/>
      <c r="Y15" s="439"/>
    </row>
    <row r="16" spans="1:31" s="82" customFormat="1" ht="26" hidden="1">
      <c r="A16" s="81">
        <f t="shared" si="0"/>
        <v>10</v>
      </c>
      <c r="B16" s="81">
        <v>10</v>
      </c>
      <c r="C16" s="258" t="s">
        <v>1916</v>
      </c>
      <c r="D16" s="259" t="s">
        <v>32</v>
      </c>
      <c r="E16" s="258" t="s">
        <v>1893</v>
      </c>
      <c r="F16" s="86">
        <v>1600</v>
      </c>
      <c r="G16" s="86">
        <v>1730</v>
      </c>
      <c r="H16" s="261" t="s">
        <v>1579</v>
      </c>
      <c r="I16" s="140" t="s">
        <v>35</v>
      </c>
      <c r="J16" s="140" t="s">
        <v>36</v>
      </c>
      <c r="K16" s="315" t="s">
        <v>167</v>
      </c>
      <c r="L16" s="297" t="s">
        <v>172</v>
      </c>
      <c r="M16" s="431" t="s">
        <v>1717</v>
      </c>
      <c r="N16" s="325" t="s">
        <v>1917</v>
      </c>
      <c r="O16" s="433" t="s">
        <v>40</v>
      </c>
      <c r="P16" s="408"/>
      <c r="Q16" s="447"/>
      <c r="R16" s="447">
        <v>950000</v>
      </c>
      <c r="S16" s="162">
        <f>(1750-F16)/100</f>
        <v>1.5</v>
      </c>
      <c r="T16" s="259"/>
      <c r="U16" s="438">
        <f t="shared" si="1"/>
        <v>1425000</v>
      </c>
      <c r="V16" s="386">
        <f t="shared" si="2"/>
        <v>1425000</v>
      </c>
      <c r="W16" s="439"/>
      <c r="X16" s="91"/>
      <c r="Y16" s="439"/>
    </row>
    <row r="17" spans="1:25" s="82" customFormat="1" ht="26" hidden="1">
      <c r="A17" s="81">
        <f t="shared" si="0"/>
        <v>11</v>
      </c>
      <c r="B17" s="81">
        <v>11</v>
      </c>
      <c r="C17" s="258" t="s">
        <v>1918</v>
      </c>
      <c r="D17" s="259" t="s">
        <v>32</v>
      </c>
      <c r="E17" s="258" t="s">
        <v>1906</v>
      </c>
      <c r="F17" s="86">
        <v>1330</v>
      </c>
      <c r="G17" s="86">
        <v>1730</v>
      </c>
      <c r="H17" s="261" t="s">
        <v>1919</v>
      </c>
      <c r="I17" s="140" t="s">
        <v>35</v>
      </c>
      <c r="J17" s="140" t="s">
        <v>36</v>
      </c>
      <c r="K17" s="315" t="s">
        <v>167</v>
      </c>
      <c r="L17" s="412" t="s">
        <v>172</v>
      </c>
      <c r="M17" s="355" t="s">
        <v>1920</v>
      </c>
      <c r="N17" s="443" t="s">
        <v>1921</v>
      </c>
      <c r="O17" s="433" t="s">
        <v>40</v>
      </c>
      <c r="P17" s="261">
        <v>50</v>
      </c>
      <c r="Q17" s="447">
        <f>R17*3</f>
        <v>2850000</v>
      </c>
      <c r="R17" s="447">
        <v>950000</v>
      </c>
      <c r="S17" s="162">
        <f>(G17-F17)/100</f>
        <v>4</v>
      </c>
      <c r="T17" s="94"/>
      <c r="U17" s="438">
        <f t="shared" si="1"/>
        <v>1900000</v>
      </c>
      <c r="V17" s="386">
        <f>U17</f>
        <v>1900000</v>
      </c>
      <c r="X17" s="386">
        <f>(Q17+((S17-0)*R17))*((100-P17)/100)</f>
        <v>3325000</v>
      </c>
    </row>
    <row r="18" spans="1:25" s="82" customFormat="1">
      <c r="A18" s="81">
        <f t="shared" si="0"/>
        <v>12</v>
      </c>
      <c r="B18" s="81">
        <v>12</v>
      </c>
      <c r="C18" s="258" t="s">
        <v>1922</v>
      </c>
      <c r="D18" s="259" t="s">
        <v>43</v>
      </c>
      <c r="E18" s="258" t="s">
        <v>1923</v>
      </c>
      <c r="F18" s="86">
        <v>1000</v>
      </c>
      <c r="G18" s="86">
        <v>1100</v>
      </c>
      <c r="H18" s="261" t="s">
        <v>1850</v>
      </c>
      <c r="I18" s="140" t="s">
        <v>35</v>
      </c>
      <c r="J18" s="140" t="s">
        <v>36</v>
      </c>
      <c r="K18" s="315" t="s">
        <v>76</v>
      </c>
      <c r="L18" s="412" t="s">
        <v>255</v>
      </c>
      <c r="M18" s="355"/>
      <c r="N18" s="443" t="s">
        <v>1924</v>
      </c>
      <c r="O18" s="433" t="s">
        <v>40</v>
      </c>
      <c r="P18" s="261"/>
      <c r="Q18" s="437"/>
      <c r="R18" s="437">
        <v>500000</v>
      </c>
      <c r="S18" s="162">
        <f>(G18-F18)/100</f>
        <v>1</v>
      </c>
      <c r="T18" s="259"/>
      <c r="U18" s="438">
        <f t="shared" si="1"/>
        <v>500000</v>
      </c>
      <c r="V18" s="386">
        <f>Q18+((S18-0)*R18)</f>
        <v>500000</v>
      </c>
      <c r="W18" s="439"/>
      <c r="X18" s="91"/>
      <c r="Y18" s="439"/>
    </row>
    <row r="19" spans="1:25" s="82" customFormat="1" ht="26" hidden="1">
      <c r="A19" s="81">
        <f t="shared" si="0"/>
        <v>13</v>
      </c>
      <c r="B19" s="81">
        <v>13</v>
      </c>
      <c r="C19" s="258" t="s">
        <v>1925</v>
      </c>
      <c r="D19" s="259" t="s">
        <v>32</v>
      </c>
      <c r="E19" s="258" t="s">
        <v>1923</v>
      </c>
      <c r="F19" s="86">
        <v>1030</v>
      </c>
      <c r="G19" s="86">
        <v>1200</v>
      </c>
      <c r="H19" s="261" t="s">
        <v>1926</v>
      </c>
      <c r="I19" s="140" t="s">
        <v>259</v>
      </c>
      <c r="J19" s="140" t="s">
        <v>36</v>
      </c>
      <c r="K19" s="315" t="s">
        <v>37</v>
      </c>
      <c r="L19" s="412" t="s">
        <v>47</v>
      </c>
      <c r="M19" s="94" t="s">
        <v>1187</v>
      </c>
      <c r="N19" s="443" t="s">
        <v>1927</v>
      </c>
      <c r="O19" s="433" t="s">
        <v>40</v>
      </c>
      <c r="P19" s="442"/>
      <c r="Q19" s="419"/>
      <c r="R19" s="447">
        <v>950000</v>
      </c>
      <c r="S19" s="162">
        <f>(G19-1050)/100</f>
        <v>1.5</v>
      </c>
      <c r="T19" s="259"/>
      <c r="U19" s="438">
        <f t="shared" si="1"/>
        <v>1425000</v>
      </c>
      <c r="V19" s="386">
        <f>Q19+((S19-0)*R19)</f>
        <v>1425000</v>
      </c>
      <c r="W19" s="439"/>
      <c r="X19" s="91"/>
      <c r="Y19" s="439"/>
    </row>
    <row r="20" spans="1:25" s="82" customFormat="1" ht="26">
      <c r="A20" s="81">
        <f t="shared" si="0"/>
        <v>14</v>
      </c>
      <c r="B20" s="81">
        <v>14</v>
      </c>
      <c r="C20" s="258" t="s">
        <v>1928</v>
      </c>
      <c r="D20" s="259" t="s">
        <v>75</v>
      </c>
      <c r="E20" s="258" t="s">
        <v>1923</v>
      </c>
      <c r="F20" s="86">
        <v>1000</v>
      </c>
      <c r="G20" s="86">
        <v>1200</v>
      </c>
      <c r="H20" s="261" t="s">
        <v>1929</v>
      </c>
      <c r="I20" s="140" t="s">
        <v>36</v>
      </c>
      <c r="J20" s="140" t="s">
        <v>36</v>
      </c>
      <c r="K20" s="315" t="s">
        <v>76</v>
      </c>
      <c r="L20" s="297" t="s">
        <v>1930</v>
      </c>
      <c r="M20" s="354"/>
      <c r="N20" s="325" t="s">
        <v>1931</v>
      </c>
      <c r="O20" s="433" t="s">
        <v>40</v>
      </c>
      <c r="P20" s="408"/>
      <c r="Q20" s="440"/>
      <c r="R20" s="437">
        <v>500000</v>
      </c>
      <c r="S20" s="162">
        <f t="shared" ref="S20:S27" si="3">(G20-F20)/100</f>
        <v>2</v>
      </c>
      <c r="T20" s="259"/>
      <c r="U20" s="438">
        <f t="shared" si="1"/>
        <v>1000000</v>
      </c>
      <c r="V20" s="386">
        <f>Q20+((S20-0)*R20)</f>
        <v>1000000</v>
      </c>
      <c r="W20" s="439"/>
      <c r="X20" s="91"/>
      <c r="Y20" s="439"/>
    </row>
    <row r="21" spans="1:25" s="82" customFormat="1" hidden="1">
      <c r="A21" s="81">
        <f t="shared" si="0"/>
        <v>15</v>
      </c>
      <c r="B21" s="81">
        <v>15</v>
      </c>
      <c r="C21" s="258" t="s">
        <v>1932</v>
      </c>
      <c r="D21" s="259" t="s">
        <v>43</v>
      </c>
      <c r="E21" s="258" t="s">
        <v>1923</v>
      </c>
      <c r="F21" s="86">
        <v>1700</v>
      </c>
      <c r="G21" s="86">
        <v>1800</v>
      </c>
      <c r="H21" s="261" t="s">
        <v>1933</v>
      </c>
      <c r="I21" s="140" t="s">
        <v>36</v>
      </c>
      <c r="J21" s="140" t="s">
        <v>36</v>
      </c>
      <c r="K21" s="315" t="s">
        <v>76</v>
      </c>
      <c r="L21" s="297" t="s">
        <v>72</v>
      </c>
      <c r="M21" s="132"/>
      <c r="N21" s="325" t="s">
        <v>1934</v>
      </c>
      <c r="O21" s="433" t="s">
        <v>40</v>
      </c>
      <c r="P21" s="442">
        <v>100</v>
      </c>
      <c r="Q21" s="440"/>
      <c r="R21" s="437">
        <v>500000</v>
      </c>
      <c r="S21" s="162">
        <f t="shared" si="3"/>
        <v>1</v>
      </c>
      <c r="T21" s="94"/>
      <c r="U21" s="438">
        <f t="shared" si="1"/>
        <v>0</v>
      </c>
      <c r="V21" s="386">
        <f>U21</f>
        <v>0</v>
      </c>
    </row>
    <row r="22" spans="1:25" s="82" customFormat="1" hidden="1">
      <c r="A22" s="81">
        <f t="shared" si="0"/>
        <v>16</v>
      </c>
      <c r="B22" s="81">
        <v>16</v>
      </c>
      <c r="C22" s="258" t="s">
        <v>1935</v>
      </c>
      <c r="D22" s="259" t="s">
        <v>43</v>
      </c>
      <c r="E22" s="258" t="s">
        <v>1923</v>
      </c>
      <c r="F22" s="86">
        <v>1330</v>
      </c>
      <c r="G22" s="86">
        <v>1430</v>
      </c>
      <c r="H22" s="261" t="s">
        <v>1933</v>
      </c>
      <c r="I22" s="140" t="s">
        <v>36</v>
      </c>
      <c r="J22" s="140" t="s">
        <v>36</v>
      </c>
      <c r="K22" s="315" t="s">
        <v>76</v>
      </c>
      <c r="L22" s="297" t="s">
        <v>72</v>
      </c>
      <c r="M22" s="295"/>
      <c r="N22" s="325" t="s">
        <v>1936</v>
      </c>
      <c r="O22" s="433" t="s">
        <v>40</v>
      </c>
      <c r="P22" s="408">
        <v>100</v>
      </c>
      <c r="Q22" s="440"/>
      <c r="R22" s="437">
        <v>500000</v>
      </c>
      <c r="S22" s="162">
        <f t="shared" si="3"/>
        <v>1</v>
      </c>
      <c r="T22" s="259"/>
      <c r="U22" s="438">
        <f t="shared" si="1"/>
        <v>0</v>
      </c>
      <c r="V22" s="386">
        <f>U22</f>
        <v>0</v>
      </c>
      <c r="W22" s="439"/>
      <c r="X22" s="91"/>
      <c r="Y22" s="439"/>
    </row>
    <row r="23" spans="1:25" s="82" customFormat="1">
      <c r="A23" s="81">
        <f t="shared" si="0"/>
        <v>17</v>
      </c>
      <c r="B23" s="81">
        <v>17</v>
      </c>
      <c r="C23" s="258" t="s">
        <v>1937</v>
      </c>
      <c r="D23" s="259" t="s">
        <v>43</v>
      </c>
      <c r="E23" s="258" t="s">
        <v>1938</v>
      </c>
      <c r="F23" s="86">
        <v>1500</v>
      </c>
      <c r="G23" s="86">
        <v>1600</v>
      </c>
      <c r="H23" s="261" t="s">
        <v>1939</v>
      </c>
      <c r="I23" s="140" t="s">
        <v>259</v>
      </c>
      <c r="J23" s="140" t="s">
        <v>36</v>
      </c>
      <c r="K23" s="315" t="s">
        <v>76</v>
      </c>
      <c r="L23" s="297" t="s">
        <v>47</v>
      </c>
      <c r="M23" s="132" t="s">
        <v>1940</v>
      </c>
      <c r="N23" s="325" t="s">
        <v>1941</v>
      </c>
      <c r="O23" s="433" t="s">
        <v>40</v>
      </c>
      <c r="P23" s="424"/>
      <c r="Q23" s="419"/>
      <c r="R23" s="437">
        <v>500000</v>
      </c>
      <c r="S23" s="162">
        <f t="shared" si="3"/>
        <v>1</v>
      </c>
      <c r="T23" s="259"/>
      <c r="U23" s="438">
        <f t="shared" si="1"/>
        <v>500000</v>
      </c>
      <c r="V23" s="386">
        <f>Q23+((S23-0)*R23)</f>
        <v>500000</v>
      </c>
      <c r="W23" s="439"/>
      <c r="X23" s="91"/>
      <c r="Y23" s="439"/>
    </row>
    <row r="24" spans="1:25" s="82" customFormat="1" hidden="1">
      <c r="A24" s="81">
        <f t="shared" si="0"/>
        <v>18</v>
      </c>
      <c r="B24" s="81">
        <v>18</v>
      </c>
      <c r="C24" s="258" t="s">
        <v>1942</v>
      </c>
      <c r="D24" s="259" t="s">
        <v>43</v>
      </c>
      <c r="E24" s="258" t="s">
        <v>1943</v>
      </c>
      <c r="F24" s="86">
        <v>1000</v>
      </c>
      <c r="G24" s="86">
        <v>1130</v>
      </c>
      <c r="H24" s="261" t="s">
        <v>1944</v>
      </c>
      <c r="I24" s="140" t="s">
        <v>35</v>
      </c>
      <c r="J24" s="140" t="s">
        <v>36</v>
      </c>
      <c r="K24" s="315" t="s">
        <v>76</v>
      </c>
      <c r="L24" s="297"/>
      <c r="M24" s="295"/>
      <c r="N24" s="325" t="s">
        <v>1945</v>
      </c>
      <c r="O24" s="433" t="s">
        <v>174</v>
      </c>
      <c r="P24" s="442"/>
      <c r="Q24" s="437"/>
      <c r="R24" s="437"/>
      <c r="S24" s="162">
        <f t="shared" si="3"/>
        <v>1.3</v>
      </c>
      <c r="T24" s="94"/>
      <c r="U24" s="438">
        <f t="shared" si="1"/>
        <v>0</v>
      </c>
      <c r="V24" s="347">
        <f>U24</f>
        <v>0</v>
      </c>
      <c r="X24" s="386">
        <f>(Q24+((S24-0)*R24))*((100-P24)/100)</f>
        <v>0</v>
      </c>
    </row>
    <row r="25" spans="1:25" s="82" customFormat="1" hidden="1">
      <c r="A25" s="81">
        <f t="shared" si="0"/>
        <v>19</v>
      </c>
      <c r="B25" s="81">
        <v>19</v>
      </c>
      <c r="C25" s="258" t="s">
        <v>1946</v>
      </c>
      <c r="D25" s="259" t="s">
        <v>32</v>
      </c>
      <c r="E25" s="258" t="s">
        <v>1943</v>
      </c>
      <c r="F25" s="86">
        <v>1000</v>
      </c>
      <c r="G25" s="86">
        <v>1500</v>
      </c>
      <c r="H25" s="261" t="s">
        <v>1947</v>
      </c>
      <c r="I25" s="140" t="s">
        <v>35</v>
      </c>
      <c r="J25" s="140" t="s">
        <v>36</v>
      </c>
      <c r="K25" s="315" t="s">
        <v>37</v>
      </c>
      <c r="L25" s="297" t="s">
        <v>255</v>
      </c>
      <c r="M25" s="132"/>
      <c r="N25" s="325" t="s">
        <v>1948</v>
      </c>
      <c r="O25" s="433" t="s">
        <v>40</v>
      </c>
      <c r="P25" s="442"/>
      <c r="Q25" s="447">
        <f>R25*3</f>
        <v>2850000</v>
      </c>
      <c r="R25" s="447">
        <v>950000</v>
      </c>
      <c r="S25" s="162">
        <f t="shared" si="3"/>
        <v>5</v>
      </c>
      <c r="T25" s="259"/>
      <c r="U25" s="438">
        <f t="shared" si="1"/>
        <v>4750000</v>
      </c>
      <c r="V25" s="386">
        <f>Q25+((S25-4)*R25)</f>
        <v>3800000</v>
      </c>
      <c r="W25" s="439"/>
      <c r="X25" s="91"/>
      <c r="Y25" s="439"/>
    </row>
    <row r="26" spans="1:25" s="82" customFormat="1">
      <c r="A26" s="81">
        <f t="shared" si="0"/>
        <v>20</v>
      </c>
      <c r="B26" s="81">
        <v>20</v>
      </c>
      <c r="C26" s="258" t="s">
        <v>1949</v>
      </c>
      <c r="D26" s="259" t="s">
        <v>43</v>
      </c>
      <c r="E26" s="258" t="s">
        <v>1950</v>
      </c>
      <c r="F26" s="86">
        <v>830</v>
      </c>
      <c r="G26" s="86">
        <v>1230</v>
      </c>
      <c r="H26" s="261" t="s">
        <v>1951</v>
      </c>
      <c r="I26" s="140" t="s">
        <v>35</v>
      </c>
      <c r="J26" s="140" t="s">
        <v>36</v>
      </c>
      <c r="K26" s="315" t="s">
        <v>76</v>
      </c>
      <c r="L26" s="297" t="s">
        <v>1930</v>
      </c>
      <c r="M26" s="132"/>
      <c r="N26" s="448" t="s">
        <v>1952</v>
      </c>
      <c r="O26" s="433" t="s">
        <v>40</v>
      </c>
      <c r="P26" s="442"/>
      <c r="Q26" s="440">
        <f>R26*3</f>
        <v>1500000</v>
      </c>
      <c r="R26" s="437">
        <v>500000</v>
      </c>
      <c r="S26" s="162">
        <f t="shared" si="3"/>
        <v>4</v>
      </c>
      <c r="T26" s="94"/>
      <c r="U26" s="438">
        <f t="shared" si="1"/>
        <v>2000000</v>
      </c>
      <c r="V26" s="386">
        <f>Q26+((S26-4)*R26)</f>
        <v>1500000</v>
      </c>
    </row>
    <row r="27" spans="1:25" s="82" customFormat="1" ht="26" hidden="1">
      <c r="A27" s="81">
        <f t="shared" si="0"/>
        <v>21</v>
      </c>
      <c r="B27" s="81">
        <v>21</v>
      </c>
      <c r="C27" s="258" t="s">
        <v>1953</v>
      </c>
      <c r="D27" s="259" t="s">
        <v>32</v>
      </c>
      <c r="E27" s="258" t="s">
        <v>1954</v>
      </c>
      <c r="F27" s="86">
        <v>1400</v>
      </c>
      <c r="G27" s="86">
        <v>1700</v>
      </c>
      <c r="H27" s="261" t="s">
        <v>1955</v>
      </c>
      <c r="I27" s="140" t="s">
        <v>35</v>
      </c>
      <c r="J27" s="140" t="s">
        <v>36</v>
      </c>
      <c r="K27" s="315" t="s">
        <v>76</v>
      </c>
      <c r="L27" s="297"/>
      <c r="M27" s="417"/>
      <c r="N27" s="448" t="s">
        <v>1956</v>
      </c>
      <c r="O27" s="433" t="s">
        <v>174</v>
      </c>
      <c r="P27" s="408"/>
      <c r="Q27" s="440"/>
      <c r="R27" s="437"/>
      <c r="S27" s="162">
        <f t="shared" si="3"/>
        <v>3</v>
      </c>
      <c r="T27" s="259"/>
      <c r="U27" s="438">
        <f t="shared" si="1"/>
        <v>0</v>
      </c>
      <c r="V27" s="386">
        <f>Q27+((S27-0)*R27)</f>
        <v>0</v>
      </c>
      <c r="W27" s="439"/>
      <c r="X27" s="91"/>
      <c r="Y27" s="439"/>
    </row>
    <row r="28" spans="1:25" s="82" customFormat="1" hidden="1">
      <c r="A28" s="81">
        <f t="shared" si="0"/>
        <v>22</v>
      </c>
      <c r="B28" s="81">
        <v>22</v>
      </c>
      <c r="C28" s="258" t="s">
        <v>1957</v>
      </c>
      <c r="D28" s="259" t="s">
        <v>43</v>
      </c>
      <c r="E28" s="258" t="s">
        <v>1958</v>
      </c>
      <c r="F28" s="86">
        <v>900</v>
      </c>
      <c r="G28" s="86">
        <v>930</v>
      </c>
      <c r="H28" s="261" t="s">
        <v>1959</v>
      </c>
      <c r="I28" s="140" t="s">
        <v>36</v>
      </c>
      <c r="J28" s="140" t="s">
        <v>36</v>
      </c>
      <c r="K28" s="315" t="s">
        <v>133</v>
      </c>
      <c r="L28" s="412" t="s">
        <v>89</v>
      </c>
      <c r="M28" s="94"/>
      <c r="N28" s="449" t="s">
        <v>1960</v>
      </c>
      <c r="O28" s="433" t="s">
        <v>40</v>
      </c>
      <c r="P28" s="450">
        <v>100</v>
      </c>
      <c r="Q28" s="420"/>
      <c r="R28" s="437">
        <v>500000</v>
      </c>
      <c r="S28" s="162">
        <f>(950-F28)/100</f>
        <v>0.5</v>
      </c>
      <c r="T28" s="94"/>
      <c r="U28" s="438">
        <f t="shared" si="1"/>
        <v>0</v>
      </c>
      <c r="V28" s="470">
        <f>U28</f>
        <v>0</v>
      </c>
      <c r="X28" s="426">
        <f>V28*((100-P28)/100)</f>
        <v>0</v>
      </c>
    </row>
    <row r="29" spans="1:25" s="82" customFormat="1" ht="26" hidden="1">
      <c r="A29" s="81">
        <f t="shared" si="0"/>
        <v>23</v>
      </c>
      <c r="B29" s="81">
        <v>23</v>
      </c>
      <c r="C29" s="258" t="s">
        <v>1961</v>
      </c>
      <c r="D29" s="259" t="s">
        <v>32</v>
      </c>
      <c r="E29" s="258" t="s">
        <v>1906</v>
      </c>
      <c r="F29" s="86">
        <v>1400</v>
      </c>
      <c r="G29" s="86">
        <v>1700</v>
      </c>
      <c r="H29" s="261" t="s">
        <v>1955</v>
      </c>
      <c r="I29" s="140" t="s">
        <v>35</v>
      </c>
      <c r="J29" s="140" t="s">
        <v>36</v>
      </c>
      <c r="K29" s="315" t="s">
        <v>46</v>
      </c>
      <c r="L29" s="297"/>
      <c r="M29" s="354"/>
      <c r="N29" s="451" t="s">
        <v>1962</v>
      </c>
      <c r="O29" s="433" t="s">
        <v>174</v>
      </c>
      <c r="P29" s="450"/>
      <c r="Q29" s="420"/>
      <c r="R29" s="437"/>
      <c r="S29" s="162">
        <f>(G29-F29)/100</f>
        <v>3</v>
      </c>
      <c r="T29" s="259"/>
      <c r="U29" s="438">
        <f t="shared" si="1"/>
        <v>0</v>
      </c>
      <c r="V29" s="386">
        <f>(Q29+((S29-0)*R29))*((100-P29)/100)</f>
        <v>0</v>
      </c>
      <c r="W29" s="439"/>
      <c r="X29" s="426">
        <f>V29*((100-P29)/100)</f>
        <v>0</v>
      </c>
      <c r="Y29" s="439"/>
    </row>
    <row r="30" spans="1:25" s="82" customFormat="1" ht="26" hidden="1">
      <c r="A30" s="81">
        <f t="shared" si="0"/>
        <v>24</v>
      </c>
      <c r="B30" s="81">
        <v>24</v>
      </c>
      <c r="C30" s="258" t="s">
        <v>1963</v>
      </c>
      <c r="D30" s="259" t="s">
        <v>32</v>
      </c>
      <c r="E30" s="258" t="s">
        <v>1938</v>
      </c>
      <c r="F30" s="86">
        <v>730</v>
      </c>
      <c r="G30" s="86">
        <v>1030</v>
      </c>
      <c r="H30" s="261" t="s">
        <v>1955</v>
      </c>
      <c r="I30" s="140" t="s">
        <v>35</v>
      </c>
      <c r="J30" s="140" t="s">
        <v>36</v>
      </c>
      <c r="K30" s="315" t="s">
        <v>46</v>
      </c>
      <c r="L30" s="297" t="s">
        <v>47</v>
      </c>
      <c r="M30" s="295"/>
      <c r="N30" s="451" t="s">
        <v>1964</v>
      </c>
      <c r="O30" s="433" t="s">
        <v>40</v>
      </c>
      <c r="P30" s="442"/>
      <c r="Q30" s="452"/>
      <c r="R30" s="447">
        <v>950000</v>
      </c>
      <c r="S30" s="162">
        <f>(G30-F30)/100</f>
        <v>3</v>
      </c>
      <c r="T30" s="259"/>
      <c r="U30" s="438">
        <f t="shared" si="1"/>
        <v>2850000</v>
      </c>
      <c r="V30" s="386">
        <f>Q30+((S30-0)*R30)</f>
        <v>2850000</v>
      </c>
      <c r="W30" s="439"/>
      <c r="X30" s="426">
        <f>V30*((100-P30)/100)</f>
        <v>2850000</v>
      </c>
      <c r="Y30" s="439"/>
    </row>
    <row r="31" spans="1:25" s="82" customFormat="1" ht="26">
      <c r="A31" s="81">
        <f t="shared" si="0"/>
        <v>25</v>
      </c>
      <c r="B31" s="81">
        <v>25</v>
      </c>
      <c r="C31" s="258" t="s">
        <v>1965</v>
      </c>
      <c r="D31" s="259" t="s">
        <v>75</v>
      </c>
      <c r="E31" s="258" t="s">
        <v>1958</v>
      </c>
      <c r="F31" s="86">
        <v>1100</v>
      </c>
      <c r="G31" s="86">
        <v>1200</v>
      </c>
      <c r="H31" s="261" t="s">
        <v>962</v>
      </c>
      <c r="I31" s="140" t="s">
        <v>35</v>
      </c>
      <c r="J31" s="140" t="s">
        <v>36</v>
      </c>
      <c r="K31" s="315" t="s">
        <v>76</v>
      </c>
      <c r="L31" s="297" t="s">
        <v>47</v>
      </c>
      <c r="M31" s="132"/>
      <c r="N31" s="448" t="s">
        <v>1966</v>
      </c>
      <c r="O31" s="433" t="s">
        <v>40</v>
      </c>
      <c r="P31" s="408"/>
      <c r="Q31" s="437"/>
      <c r="R31" s="437">
        <v>500000</v>
      </c>
      <c r="S31" s="162">
        <f>(G31-F31)/100</f>
        <v>1</v>
      </c>
      <c r="T31" s="259"/>
      <c r="U31" s="438">
        <f t="shared" si="1"/>
        <v>500000</v>
      </c>
      <c r="V31" s="386">
        <f>Q31+((S31-0)*R31)</f>
        <v>500000</v>
      </c>
      <c r="W31" s="439"/>
      <c r="X31" s="91"/>
      <c r="Y31" s="439"/>
    </row>
    <row r="32" spans="1:25" s="82" customFormat="1" ht="26">
      <c r="A32" s="81">
        <f t="shared" si="0"/>
        <v>26</v>
      </c>
      <c r="B32" s="81">
        <v>26</v>
      </c>
      <c r="C32" s="258" t="s">
        <v>1967</v>
      </c>
      <c r="D32" s="259" t="s">
        <v>43</v>
      </c>
      <c r="E32" s="258" t="s">
        <v>1968</v>
      </c>
      <c r="F32" s="86">
        <v>1500</v>
      </c>
      <c r="G32" s="86">
        <v>1700</v>
      </c>
      <c r="H32" s="261" t="s">
        <v>1110</v>
      </c>
      <c r="I32" s="140" t="s">
        <v>35</v>
      </c>
      <c r="J32" s="140" t="s">
        <v>36</v>
      </c>
      <c r="K32" s="315" t="s">
        <v>76</v>
      </c>
      <c r="L32" s="297" t="s">
        <v>47</v>
      </c>
      <c r="M32" s="132"/>
      <c r="N32" s="451" t="s">
        <v>1969</v>
      </c>
      <c r="O32" s="433" t="s">
        <v>40</v>
      </c>
      <c r="P32" s="408"/>
      <c r="Q32" s="440"/>
      <c r="R32" s="437">
        <v>500000</v>
      </c>
      <c r="S32" s="162">
        <f>(G32-F32)/100</f>
        <v>2</v>
      </c>
      <c r="T32" s="259"/>
      <c r="U32" s="438">
        <f t="shared" si="1"/>
        <v>1000000</v>
      </c>
      <c r="V32" s="386">
        <f>Q32+((S32-0)*R32)</f>
        <v>1000000</v>
      </c>
      <c r="W32" s="439"/>
      <c r="X32" s="91"/>
      <c r="Y32" s="439"/>
    </row>
    <row r="33" spans="1:25" s="82" customFormat="1" ht="13">
      <c r="A33" s="81">
        <f t="shared" si="0"/>
        <v>27</v>
      </c>
      <c r="B33" s="81">
        <v>27</v>
      </c>
      <c r="C33" s="258" t="s">
        <v>1970</v>
      </c>
      <c r="D33" s="259" t="s">
        <v>75</v>
      </c>
      <c r="E33" s="258" t="s">
        <v>1971</v>
      </c>
      <c r="F33" s="86">
        <v>830</v>
      </c>
      <c r="G33" s="86">
        <v>1230</v>
      </c>
      <c r="H33" s="261" t="s">
        <v>1951</v>
      </c>
      <c r="I33" s="140" t="s">
        <v>35</v>
      </c>
      <c r="J33" s="140" t="s">
        <v>36</v>
      </c>
      <c r="K33" s="315" t="s">
        <v>76</v>
      </c>
      <c r="L33" s="297" t="s">
        <v>1930</v>
      </c>
      <c r="M33" s="132"/>
      <c r="N33" s="451">
        <v>45269.688090277778</v>
      </c>
      <c r="O33" s="433" t="s">
        <v>40</v>
      </c>
      <c r="P33" s="261"/>
      <c r="Q33" s="437">
        <f>R33*3</f>
        <v>1500000</v>
      </c>
      <c r="R33" s="437">
        <v>500000</v>
      </c>
      <c r="S33" s="162">
        <f>(G33-F33)/100</f>
        <v>4</v>
      </c>
      <c r="T33" s="259"/>
      <c r="U33" s="438">
        <f t="shared" si="1"/>
        <v>2000000</v>
      </c>
      <c r="V33" s="386">
        <f>Q33+((S33-4)*R33)</f>
        <v>1500000</v>
      </c>
      <c r="W33" s="439"/>
      <c r="X33" s="91"/>
      <c r="Y33" s="439"/>
    </row>
    <row r="34" spans="1:25" s="82" customFormat="1" ht="13">
      <c r="A34" s="81">
        <f t="shared" si="0"/>
        <v>28</v>
      </c>
      <c r="B34" s="81">
        <v>28</v>
      </c>
      <c r="C34" s="258" t="s">
        <v>1972</v>
      </c>
      <c r="D34" s="259" t="s">
        <v>43</v>
      </c>
      <c r="E34" s="258" t="s">
        <v>1973</v>
      </c>
      <c r="F34" s="86">
        <v>1300</v>
      </c>
      <c r="G34" s="86">
        <v>1430</v>
      </c>
      <c r="H34" s="261" t="s">
        <v>1974</v>
      </c>
      <c r="I34" s="140" t="s">
        <v>35</v>
      </c>
      <c r="J34" s="140" t="s">
        <v>36</v>
      </c>
      <c r="K34" s="315" t="s">
        <v>76</v>
      </c>
      <c r="L34" s="297" t="s">
        <v>255</v>
      </c>
      <c r="M34" s="132"/>
      <c r="N34" s="451">
        <v>45269.585057870368</v>
      </c>
      <c r="O34" s="433" t="s">
        <v>40</v>
      </c>
      <c r="P34" s="422"/>
      <c r="Q34" s="440"/>
      <c r="R34" s="437">
        <v>500000</v>
      </c>
      <c r="S34" s="162">
        <f>(1450-F34)/100</f>
        <v>1.5</v>
      </c>
      <c r="T34" s="259"/>
      <c r="U34" s="438">
        <f t="shared" si="1"/>
        <v>750000</v>
      </c>
      <c r="V34" s="386">
        <f>Q34+((S34-0)*R34)</f>
        <v>750000</v>
      </c>
      <c r="W34" s="439"/>
      <c r="X34" s="91"/>
      <c r="Y34" s="439"/>
    </row>
    <row r="35" spans="1:25" s="82" customFormat="1" ht="26">
      <c r="A35" s="81">
        <f t="shared" si="0"/>
        <v>29</v>
      </c>
      <c r="B35" s="81">
        <v>29</v>
      </c>
      <c r="C35" s="258" t="s">
        <v>1975</v>
      </c>
      <c r="D35" s="259" t="s">
        <v>43</v>
      </c>
      <c r="E35" s="269">
        <v>45269</v>
      </c>
      <c r="F35" s="86">
        <v>1430</v>
      </c>
      <c r="G35" s="86">
        <v>1530</v>
      </c>
      <c r="H35" s="261" t="s">
        <v>1976</v>
      </c>
      <c r="I35" s="140" t="s">
        <v>35</v>
      </c>
      <c r="J35" s="140" t="s">
        <v>36</v>
      </c>
      <c r="K35" s="315" t="s">
        <v>76</v>
      </c>
      <c r="L35" s="297" t="s">
        <v>47</v>
      </c>
      <c r="M35" s="132"/>
      <c r="N35" s="448">
        <v>45269.447453703702</v>
      </c>
      <c r="O35" s="433" t="s">
        <v>40</v>
      </c>
      <c r="P35" s="261"/>
      <c r="Q35" s="440"/>
      <c r="R35" s="437">
        <v>500000</v>
      </c>
      <c r="S35" s="162">
        <f>(G35-F35)/100</f>
        <v>1</v>
      </c>
      <c r="T35" s="259"/>
      <c r="U35" s="438">
        <f t="shared" si="1"/>
        <v>500000</v>
      </c>
      <c r="V35" s="386">
        <f>Q35+((S35-0)*R35)</f>
        <v>500000</v>
      </c>
      <c r="W35" s="439"/>
      <c r="X35" s="91"/>
      <c r="Y35" s="439"/>
    </row>
    <row r="36" spans="1:25" s="82" customFormat="1">
      <c r="A36" s="81">
        <f t="shared" si="0"/>
        <v>30</v>
      </c>
      <c r="B36" s="81">
        <v>30</v>
      </c>
      <c r="C36" s="258" t="s">
        <v>1977</v>
      </c>
      <c r="D36" s="259" t="s">
        <v>75</v>
      </c>
      <c r="E36" s="258" t="s">
        <v>1973</v>
      </c>
      <c r="F36" s="86">
        <v>900</v>
      </c>
      <c r="G36" s="86">
        <v>1100</v>
      </c>
      <c r="H36" s="261" t="s">
        <v>811</v>
      </c>
      <c r="I36" s="140" t="s">
        <v>35</v>
      </c>
      <c r="J36" s="140" t="s">
        <v>36</v>
      </c>
      <c r="K36" s="315" t="s">
        <v>76</v>
      </c>
      <c r="L36" s="297" t="s">
        <v>255</v>
      </c>
      <c r="M36" s="295"/>
      <c r="N36" s="448">
        <v>45269.417812500003</v>
      </c>
      <c r="O36" s="433" t="s">
        <v>40</v>
      </c>
      <c r="P36" s="261"/>
      <c r="Q36" s="440"/>
      <c r="R36" s="437">
        <v>500000</v>
      </c>
      <c r="S36" s="162">
        <f>(G36-F36)/100</f>
        <v>2</v>
      </c>
      <c r="T36" s="259"/>
      <c r="U36" s="438">
        <f t="shared" si="1"/>
        <v>1000000</v>
      </c>
      <c r="V36" s="386">
        <f>Q36+((S36-0)*R36)</f>
        <v>1000000</v>
      </c>
      <c r="W36" s="439"/>
      <c r="X36" s="91"/>
      <c r="Y36" s="439"/>
    </row>
    <row r="37" spans="1:25" s="82" customFormat="1" ht="26" hidden="1">
      <c r="A37" s="81">
        <f t="shared" si="0"/>
        <v>31</v>
      </c>
      <c r="B37" s="81">
        <v>31</v>
      </c>
      <c r="C37" s="258" t="s">
        <v>1978</v>
      </c>
      <c r="D37" s="259" t="s">
        <v>375</v>
      </c>
      <c r="E37" s="258" t="s">
        <v>1973</v>
      </c>
      <c r="F37" s="86">
        <v>800</v>
      </c>
      <c r="G37" s="86">
        <v>1200</v>
      </c>
      <c r="H37" s="261" t="s">
        <v>1979</v>
      </c>
      <c r="I37" s="140" t="s">
        <v>35</v>
      </c>
      <c r="J37" s="140" t="s">
        <v>36</v>
      </c>
      <c r="K37" s="315" t="s">
        <v>37</v>
      </c>
      <c r="L37" s="297"/>
      <c r="M37" s="295"/>
      <c r="N37" s="448">
        <v>45147.691342592596</v>
      </c>
      <c r="O37" s="433" t="s">
        <v>174</v>
      </c>
      <c r="P37" s="261"/>
      <c r="Q37" s="440"/>
      <c r="R37" s="437"/>
      <c r="S37" s="162">
        <f>(G37-F37)/100</f>
        <v>4</v>
      </c>
      <c r="T37" s="259"/>
      <c r="U37" s="438">
        <f t="shared" si="1"/>
        <v>0</v>
      </c>
      <c r="V37" s="347">
        <f>U37</f>
        <v>0</v>
      </c>
      <c r="W37" s="439"/>
      <c r="X37" s="91"/>
      <c r="Y37" s="439"/>
    </row>
    <row r="38" spans="1:25" s="82" customFormat="1">
      <c r="A38" s="81">
        <f t="shared" si="0"/>
        <v>32</v>
      </c>
      <c r="B38" s="81">
        <v>32</v>
      </c>
      <c r="C38" s="258" t="s">
        <v>1980</v>
      </c>
      <c r="D38" s="259" t="s">
        <v>43</v>
      </c>
      <c r="E38" s="258" t="s">
        <v>1981</v>
      </c>
      <c r="F38" s="86">
        <v>1300</v>
      </c>
      <c r="G38" s="86">
        <v>1400</v>
      </c>
      <c r="H38" s="261" t="s">
        <v>1982</v>
      </c>
      <c r="I38" s="140" t="s">
        <v>36</v>
      </c>
      <c r="J38" s="140" t="s">
        <v>36</v>
      </c>
      <c r="K38" s="315" t="s">
        <v>133</v>
      </c>
      <c r="L38" s="413" t="s">
        <v>255</v>
      </c>
      <c r="M38" s="295"/>
      <c r="N38" s="448">
        <v>45147.582430555558</v>
      </c>
      <c r="O38" s="433" t="s">
        <v>40</v>
      </c>
      <c r="P38" s="261"/>
      <c r="Q38" s="437"/>
      <c r="R38" s="437">
        <v>500000</v>
      </c>
      <c r="S38" s="162">
        <f>(G38-F38)/100</f>
        <v>1</v>
      </c>
      <c r="T38" s="259"/>
      <c r="U38" s="438">
        <f t="shared" si="1"/>
        <v>500000</v>
      </c>
      <c r="V38" s="386">
        <f>Q38+((S38-0)*R38)</f>
        <v>500000</v>
      </c>
      <c r="W38" s="439"/>
      <c r="X38" s="386">
        <f>(Q38+((S38-4)*R38))*((100-P38)/100)</f>
        <v>-1500000</v>
      </c>
      <c r="Y38" s="439"/>
    </row>
    <row r="39" spans="1:25" s="82" customFormat="1" hidden="1">
      <c r="A39" s="81">
        <f t="shared" ref="A39:A64" si="4">ROW()-6</f>
        <v>33</v>
      </c>
      <c r="B39" s="81">
        <v>33</v>
      </c>
      <c r="C39" s="258" t="s">
        <v>1983</v>
      </c>
      <c r="D39" s="259" t="s">
        <v>43</v>
      </c>
      <c r="E39" s="258" t="s">
        <v>1958</v>
      </c>
      <c r="F39" s="86">
        <v>1100</v>
      </c>
      <c r="G39" s="86">
        <v>1130</v>
      </c>
      <c r="H39" s="261" t="s">
        <v>1984</v>
      </c>
      <c r="I39" s="140" t="s">
        <v>35</v>
      </c>
      <c r="J39" s="140" t="s">
        <v>36</v>
      </c>
      <c r="K39" s="315" t="s">
        <v>76</v>
      </c>
      <c r="L39" s="261" t="s">
        <v>484</v>
      </c>
      <c r="M39" s="430"/>
      <c r="N39" s="453">
        <v>45147.47347222222</v>
      </c>
      <c r="O39" s="433" t="s">
        <v>40</v>
      </c>
      <c r="P39" s="261" t="s">
        <v>41</v>
      </c>
      <c r="Q39" s="440"/>
      <c r="R39" s="437">
        <v>500000</v>
      </c>
      <c r="S39" s="162">
        <f>(1150-F39)/100</f>
        <v>0.5</v>
      </c>
      <c r="T39" s="94"/>
      <c r="U39" s="438">
        <f t="shared" ref="U39:U64" si="5">S39*R39*(100-P39)/100</f>
        <v>0</v>
      </c>
      <c r="V39" s="386">
        <f>U39</f>
        <v>0</v>
      </c>
    </row>
    <row r="40" spans="1:25" s="82" customFormat="1" ht="14" hidden="1">
      <c r="A40" s="81">
        <f t="shared" si="4"/>
        <v>34</v>
      </c>
      <c r="B40" s="81">
        <v>34</v>
      </c>
      <c r="C40" s="258" t="s">
        <v>1985</v>
      </c>
      <c r="D40" s="259" t="s">
        <v>43</v>
      </c>
      <c r="E40" s="469" t="s">
        <v>1958</v>
      </c>
      <c r="F40" s="86">
        <v>1000</v>
      </c>
      <c r="G40" s="86">
        <v>1030</v>
      </c>
      <c r="H40" s="261" t="s">
        <v>1984</v>
      </c>
      <c r="I40" s="140" t="s">
        <v>35</v>
      </c>
      <c r="J40" s="140" t="s">
        <v>36</v>
      </c>
      <c r="K40" s="315" t="s">
        <v>76</v>
      </c>
      <c r="L40" s="261" t="s">
        <v>484</v>
      </c>
      <c r="M40" s="405"/>
      <c r="N40" s="406">
        <v>45147.473356481481</v>
      </c>
      <c r="O40" s="454" t="s">
        <v>40</v>
      </c>
      <c r="P40" s="261" t="s">
        <v>41</v>
      </c>
      <c r="Q40" s="440"/>
      <c r="R40" s="437">
        <v>500000</v>
      </c>
      <c r="S40" s="162">
        <f>(1150-F40)/100</f>
        <v>1.5</v>
      </c>
      <c r="T40" s="94"/>
      <c r="U40" s="438">
        <f t="shared" si="5"/>
        <v>0</v>
      </c>
      <c r="V40" s="386">
        <f>U40</f>
        <v>0</v>
      </c>
    </row>
    <row r="41" spans="1:25" s="82" customFormat="1" ht="14" hidden="1">
      <c r="A41" s="81">
        <f t="shared" si="4"/>
        <v>35</v>
      </c>
      <c r="B41" s="81">
        <v>35</v>
      </c>
      <c r="C41" s="258" t="s">
        <v>1986</v>
      </c>
      <c r="D41" s="259" t="s">
        <v>43</v>
      </c>
      <c r="E41" s="469" t="s">
        <v>1971</v>
      </c>
      <c r="F41" s="86">
        <v>1100</v>
      </c>
      <c r="G41" s="86">
        <v>1130</v>
      </c>
      <c r="H41" s="261" t="s">
        <v>1984</v>
      </c>
      <c r="I41" s="140" t="s">
        <v>35</v>
      </c>
      <c r="J41" s="140" t="s">
        <v>36</v>
      </c>
      <c r="K41" s="315" t="s">
        <v>76</v>
      </c>
      <c r="L41" s="261" t="s">
        <v>484</v>
      </c>
      <c r="M41" s="405"/>
      <c r="N41" s="406">
        <v>45147.473182870373</v>
      </c>
      <c r="O41" s="454" t="s">
        <v>40</v>
      </c>
      <c r="P41" s="261" t="s">
        <v>41</v>
      </c>
      <c r="Q41" s="440"/>
      <c r="R41" s="437">
        <v>500000</v>
      </c>
      <c r="S41" s="162">
        <f>(1150-F41)/100</f>
        <v>0.5</v>
      </c>
      <c r="T41" s="94"/>
      <c r="U41" s="438">
        <f t="shared" si="5"/>
        <v>0</v>
      </c>
      <c r="V41" s="386">
        <f>U41</f>
        <v>0</v>
      </c>
    </row>
    <row r="42" spans="1:25" s="82" customFormat="1" ht="14" hidden="1">
      <c r="A42" s="81">
        <f t="shared" si="4"/>
        <v>36</v>
      </c>
      <c r="B42" s="81">
        <v>36</v>
      </c>
      <c r="C42" s="258" t="s">
        <v>1987</v>
      </c>
      <c r="D42" s="259" t="s">
        <v>43</v>
      </c>
      <c r="E42" s="469" t="s">
        <v>1971</v>
      </c>
      <c r="F42" s="86">
        <v>1000</v>
      </c>
      <c r="G42" s="86">
        <v>1030</v>
      </c>
      <c r="H42" s="261" t="s">
        <v>1984</v>
      </c>
      <c r="I42" s="140" t="s">
        <v>35</v>
      </c>
      <c r="J42" s="140" t="s">
        <v>36</v>
      </c>
      <c r="K42" s="315" t="s">
        <v>76</v>
      </c>
      <c r="L42" s="261" t="s">
        <v>484</v>
      </c>
      <c r="M42" s="405"/>
      <c r="N42" s="406">
        <v>45147.473055555558</v>
      </c>
      <c r="O42" s="454" t="s">
        <v>40</v>
      </c>
      <c r="P42" s="261" t="s">
        <v>41</v>
      </c>
      <c r="Q42" s="440"/>
      <c r="R42" s="437">
        <v>500000</v>
      </c>
      <c r="S42" s="162">
        <f>(1050-F42)/100</f>
        <v>0.5</v>
      </c>
      <c r="T42" s="46"/>
      <c r="U42" s="438">
        <f t="shared" si="5"/>
        <v>0</v>
      </c>
      <c r="V42" s="386">
        <f>U42</f>
        <v>0</v>
      </c>
    </row>
    <row r="43" spans="1:25" s="82" customFormat="1" ht="14">
      <c r="A43" s="81">
        <f t="shared" si="4"/>
        <v>37</v>
      </c>
      <c r="B43" s="81">
        <v>37</v>
      </c>
      <c r="C43" s="258" t="s">
        <v>1988</v>
      </c>
      <c r="D43" s="259" t="s">
        <v>43</v>
      </c>
      <c r="E43" s="469">
        <v>45147</v>
      </c>
      <c r="F43" s="86">
        <v>900</v>
      </c>
      <c r="G43" s="86">
        <v>1200</v>
      </c>
      <c r="H43" s="261" t="s">
        <v>1951</v>
      </c>
      <c r="I43" s="140" t="s">
        <v>35</v>
      </c>
      <c r="J43" s="140" t="s">
        <v>36</v>
      </c>
      <c r="K43" s="315" t="s">
        <v>76</v>
      </c>
      <c r="L43" s="261" t="s">
        <v>1930</v>
      </c>
      <c r="M43" s="405"/>
      <c r="N43" s="406">
        <v>45147.414004629631</v>
      </c>
      <c r="O43" s="454" t="s">
        <v>40</v>
      </c>
      <c r="P43" s="261"/>
      <c r="Q43" s="440"/>
      <c r="R43" s="437">
        <v>500000</v>
      </c>
      <c r="S43" s="162">
        <f>(G43-F43)/100</f>
        <v>3</v>
      </c>
      <c r="T43" s="259"/>
      <c r="U43" s="438">
        <f t="shared" si="5"/>
        <v>1500000</v>
      </c>
      <c r="V43" s="386">
        <f>Q43+((S43-0)*R43)</f>
        <v>1500000</v>
      </c>
      <c r="W43" s="439"/>
      <c r="X43" s="91"/>
      <c r="Y43" s="439"/>
    </row>
    <row r="44" spans="1:25" s="82" customFormat="1" ht="14" hidden="1">
      <c r="A44" s="81">
        <f t="shared" si="4"/>
        <v>38</v>
      </c>
      <c r="B44" s="81">
        <v>38</v>
      </c>
      <c r="C44" s="258" t="s">
        <v>1989</v>
      </c>
      <c r="D44" s="259" t="s">
        <v>32</v>
      </c>
      <c r="E44" s="469">
        <v>45147</v>
      </c>
      <c r="F44" s="86">
        <v>945</v>
      </c>
      <c r="G44" s="86">
        <v>1145</v>
      </c>
      <c r="H44" s="261" t="s">
        <v>1102</v>
      </c>
      <c r="I44" s="140" t="s">
        <v>35</v>
      </c>
      <c r="J44" s="140" t="s">
        <v>36</v>
      </c>
      <c r="K44" s="315" t="s">
        <v>37</v>
      </c>
      <c r="L44" s="261" t="s">
        <v>1036</v>
      </c>
      <c r="M44" s="405"/>
      <c r="N44" s="406">
        <v>45116.57540509259</v>
      </c>
      <c r="O44" s="454" t="s">
        <v>40</v>
      </c>
      <c r="P44" s="261"/>
      <c r="Q44" s="437"/>
      <c r="R44" s="447">
        <v>950000</v>
      </c>
      <c r="S44" s="162">
        <f>(G44-F44)/100</f>
        <v>2</v>
      </c>
      <c r="T44" s="259"/>
      <c r="U44" s="438">
        <f t="shared" si="5"/>
        <v>1900000</v>
      </c>
      <c r="V44" s="386">
        <f>Q44+((S44-0)*R44)</f>
        <v>1900000</v>
      </c>
      <c r="W44" s="439"/>
      <c r="X44" s="91"/>
      <c r="Y44" s="439"/>
    </row>
    <row r="45" spans="1:25" s="82" customFormat="1" ht="42" hidden="1">
      <c r="A45" s="81">
        <f t="shared" si="4"/>
        <v>39</v>
      </c>
      <c r="B45" s="81">
        <v>39</v>
      </c>
      <c r="C45" s="258" t="s">
        <v>1990</v>
      </c>
      <c r="D45" s="259" t="s">
        <v>32</v>
      </c>
      <c r="E45" s="469" t="s">
        <v>1958</v>
      </c>
      <c r="F45" s="86">
        <v>1600</v>
      </c>
      <c r="G45" s="86">
        <v>1730</v>
      </c>
      <c r="H45" s="261" t="s">
        <v>1579</v>
      </c>
      <c r="I45" s="140" t="s">
        <v>35</v>
      </c>
      <c r="J45" s="140" t="s">
        <v>36</v>
      </c>
      <c r="K45" s="315" t="s">
        <v>167</v>
      </c>
      <c r="L45" s="261" t="s">
        <v>172</v>
      </c>
      <c r="M45" s="405" t="s">
        <v>1991</v>
      </c>
      <c r="N45" s="406">
        <v>45116.526990740742</v>
      </c>
      <c r="O45" s="454" t="s">
        <v>40</v>
      </c>
      <c r="P45" s="261" t="s">
        <v>41</v>
      </c>
      <c r="Q45" s="447"/>
      <c r="R45" s="447">
        <v>950000</v>
      </c>
      <c r="S45" s="162">
        <f>(1750-F45)/100</f>
        <v>1.5</v>
      </c>
      <c r="T45" s="95"/>
      <c r="U45" s="438">
        <f t="shared" si="5"/>
        <v>0</v>
      </c>
      <c r="V45" s="386">
        <f>U45</f>
        <v>0</v>
      </c>
    </row>
    <row r="46" spans="1:25" s="82" customFormat="1" ht="42" hidden="1">
      <c r="A46" s="81">
        <f t="shared" si="4"/>
        <v>40</v>
      </c>
      <c r="B46" s="81">
        <v>40</v>
      </c>
      <c r="C46" s="258" t="s">
        <v>1992</v>
      </c>
      <c r="D46" s="259" t="s">
        <v>32</v>
      </c>
      <c r="E46" s="469">
        <v>45147</v>
      </c>
      <c r="F46" s="86">
        <v>1600</v>
      </c>
      <c r="G46" s="86">
        <v>1730</v>
      </c>
      <c r="H46" s="261" t="s">
        <v>1579</v>
      </c>
      <c r="I46" s="140" t="s">
        <v>35</v>
      </c>
      <c r="J46" s="140" t="s">
        <v>36</v>
      </c>
      <c r="K46" s="315" t="s">
        <v>167</v>
      </c>
      <c r="L46" s="261" t="s">
        <v>172</v>
      </c>
      <c r="M46" s="405" t="s">
        <v>1991</v>
      </c>
      <c r="N46" s="406">
        <v>45116.526643518519</v>
      </c>
      <c r="O46" s="454" t="s">
        <v>40</v>
      </c>
      <c r="P46" s="261" t="s">
        <v>41</v>
      </c>
      <c r="Q46" s="447"/>
      <c r="R46" s="447">
        <v>950000</v>
      </c>
      <c r="S46" s="162">
        <f>(1750-F46)/100</f>
        <v>1.5</v>
      </c>
      <c r="T46" s="94"/>
      <c r="U46" s="438">
        <f t="shared" si="5"/>
        <v>0</v>
      </c>
      <c r="V46" s="386">
        <f>U46</f>
        <v>0</v>
      </c>
      <c r="X46" s="386">
        <f>(Q46+((S46-0)*R46))*((100-P46)/100)</f>
        <v>0</v>
      </c>
    </row>
    <row r="47" spans="1:25" s="82" customFormat="1" ht="14" hidden="1">
      <c r="A47" s="81">
        <f t="shared" si="4"/>
        <v>41</v>
      </c>
      <c r="B47" s="81">
        <v>41</v>
      </c>
      <c r="C47" s="258" t="s">
        <v>1993</v>
      </c>
      <c r="D47" s="259" t="s">
        <v>32</v>
      </c>
      <c r="E47" s="469">
        <v>45116</v>
      </c>
      <c r="F47" s="86">
        <v>1030</v>
      </c>
      <c r="G47" s="86">
        <v>1100</v>
      </c>
      <c r="H47" s="261" t="s">
        <v>1994</v>
      </c>
      <c r="I47" s="140" t="s">
        <v>35</v>
      </c>
      <c r="J47" s="140" t="s">
        <v>36</v>
      </c>
      <c r="K47" s="315" t="s">
        <v>443</v>
      </c>
      <c r="L47" s="261"/>
      <c r="M47" s="405"/>
      <c r="N47" s="406">
        <v>45116.481238425928</v>
      </c>
      <c r="O47" s="454" t="s">
        <v>174</v>
      </c>
      <c r="P47" s="261"/>
      <c r="Q47" s="440"/>
      <c r="R47" s="437"/>
      <c r="S47" s="162">
        <f>(G47-F47)/100</f>
        <v>0.7</v>
      </c>
      <c r="T47" s="259"/>
      <c r="U47" s="438">
        <f t="shared" si="5"/>
        <v>0</v>
      </c>
      <c r="V47" s="386">
        <f>U47</f>
        <v>0</v>
      </c>
      <c r="W47" s="439"/>
      <c r="X47" s="91"/>
      <c r="Y47" s="439"/>
    </row>
    <row r="48" spans="1:25" s="82" customFormat="1" ht="26">
      <c r="A48" s="81">
        <f t="shared" si="4"/>
        <v>42</v>
      </c>
      <c r="B48" s="81">
        <v>42</v>
      </c>
      <c r="C48" s="258" t="s">
        <v>1995</v>
      </c>
      <c r="D48" s="259" t="s">
        <v>43</v>
      </c>
      <c r="E48" s="469">
        <v>45269</v>
      </c>
      <c r="F48" s="86">
        <v>930</v>
      </c>
      <c r="G48" s="86">
        <v>1100</v>
      </c>
      <c r="H48" s="261" t="s">
        <v>1996</v>
      </c>
      <c r="I48" s="140" t="s">
        <v>35</v>
      </c>
      <c r="J48" s="140" t="s">
        <v>36</v>
      </c>
      <c r="K48" s="315" t="s">
        <v>76</v>
      </c>
      <c r="L48" s="261" t="s">
        <v>47</v>
      </c>
      <c r="M48" s="405"/>
      <c r="N48" s="406">
        <v>45086.48269675926</v>
      </c>
      <c r="O48" s="454" t="s">
        <v>40</v>
      </c>
      <c r="P48" s="261"/>
      <c r="Q48" s="440"/>
      <c r="R48" s="437">
        <v>500000</v>
      </c>
      <c r="S48" s="162">
        <f>(G48-950)/100</f>
        <v>1.5</v>
      </c>
      <c r="T48" s="259"/>
      <c r="U48" s="438">
        <f t="shared" si="5"/>
        <v>750000</v>
      </c>
      <c r="V48" s="386">
        <f>Q48+((S48-0)*R48)</f>
        <v>750000</v>
      </c>
      <c r="W48" s="439"/>
      <c r="X48" s="91"/>
      <c r="Y48" s="439"/>
    </row>
    <row r="49" spans="1:25" s="82" customFormat="1" ht="14">
      <c r="A49" s="81">
        <f t="shared" si="4"/>
        <v>43</v>
      </c>
      <c r="B49" s="81">
        <v>43</v>
      </c>
      <c r="C49" s="258" t="s">
        <v>1997</v>
      </c>
      <c r="D49" s="259" t="s">
        <v>75</v>
      </c>
      <c r="E49" s="469">
        <v>45086</v>
      </c>
      <c r="F49" s="86">
        <v>1230</v>
      </c>
      <c r="G49" s="86">
        <v>1630</v>
      </c>
      <c r="H49" s="261" t="s">
        <v>1998</v>
      </c>
      <c r="I49" s="140" t="s">
        <v>35</v>
      </c>
      <c r="J49" s="140" t="s">
        <v>36</v>
      </c>
      <c r="K49" s="315" t="s">
        <v>76</v>
      </c>
      <c r="L49" s="261" t="s">
        <v>1930</v>
      </c>
      <c r="M49" s="405"/>
      <c r="N49" s="406">
        <v>45086.447997685187</v>
      </c>
      <c r="O49" s="454" t="s">
        <v>40</v>
      </c>
      <c r="P49" s="261"/>
      <c r="Q49" s="437">
        <f>R49*3</f>
        <v>1500000</v>
      </c>
      <c r="R49" s="437">
        <v>500000</v>
      </c>
      <c r="S49" s="162">
        <f>(G49-F49)/100</f>
        <v>4</v>
      </c>
      <c r="T49" s="94"/>
      <c r="U49" s="438">
        <f t="shared" si="5"/>
        <v>2000000</v>
      </c>
      <c r="V49" s="386">
        <f>Q49+((S49-4)*R49)</f>
        <v>1500000</v>
      </c>
    </row>
    <row r="50" spans="1:25" s="82" customFormat="1" ht="14" hidden="1">
      <c r="A50" s="81">
        <f t="shared" si="4"/>
        <v>44</v>
      </c>
      <c r="B50" s="81">
        <v>44</v>
      </c>
      <c r="C50" s="258" t="s">
        <v>1999</v>
      </c>
      <c r="D50" s="259" t="s">
        <v>32</v>
      </c>
      <c r="E50" s="469">
        <v>45086</v>
      </c>
      <c r="F50" s="86">
        <v>1030</v>
      </c>
      <c r="G50" s="86">
        <v>1200</v>
      </c>
      <c r="H50" s="261" t="s">
        <v>811</v>
      </c>
      <c r="I50" s="140" t="s">
        <v>35</v>
      </c>
      <c r="J50" s="140" t="s">
        <v>36</v>
      </c>
      <c r="K50" s="315" t="s">
        <v>37</v>
      </c>
      <c r="L50" s="261" t="s">
        <v>255</v>
      </c>
      <c r="M50" s="405"/>
      <c r="N50" s="406">
        <v>45055.656238425923</v>
      </c>
      <c r="O50" s="454" t="s">
        <v>40</v>
      </c>
      <c r="P50" s="261"/>
      <c r="Q50" s="440"/>
      <c r="R50" s="447">
        <v>950000</v>
      </c>
      <c r="S50" s="162">
        <f>(G50-1050)/100</f>
        <v>1.5</v>
      </c>
      <c r="T50" s="94"/>
      <c r="U50" s="438">
        <f t="shared" si="5"/>
        <v>1425000</v>
      </c>
      <c r="V50" s="386">
        <f>Q50+((S50-0)*R50)</f>
        <v>1425000</v>
      </c>
    </row>
    <row r="51" spans="1:25" s="82" customFormat="1" ht="14">
      <c r="A51" s="81">
        <f t="shared" si="4"/>
        <v>45</v>
      </c>
      <c r="B51" s="81">
        <v>45</v>
      </c>
      <c r="C51" s="258" t="s">
        <v>2000</v>
      </c>
      <c r="D51" s="259" t="s">
        <v>43</v>
      </c>
      <c r="E51" s="469">
        <v>45086</v>
      </c>
      <c r="F51" s="86">
        <v>1330</v>
      </c>
      <c r="G51" s="86">
        <v>1430</v>
      </c>
      <c r="H51" s="261" t="s">
        <v>1804</v>
      </c>
      <c r="I51" s="140" t="s">
        <v>35</v>
      </c>
      <c r="J51" s="140" t="s">
        <v>36</v>
      </c>
      <c r="K51" s="315" t="s">
        <v>76</v>
      </c>
      <c r="L51" s="261" t="s">
        <v>124</v>
      </c>
      <c r="M51" s="405"/>
      <c r="N51" s="406">
        <v>45055.520092592589</v>
      </c>
      <c r="O51" s="454" t="s">
        <v>40</v>
      </c>
      <c r="P51" s="261"/>
      <c r="Q51" s="440"/>
      <c r="R51" s="437">
        <v>500000</v>
      </c>
      <c r="S51" s="162">
        <f>(G51-F51)/100</f>
        <v>1</v>
      </c>
      <c r="T51" s="94"/>
      <c r="U51" s="438">
        <f t="shared" si="5"/>
        <v>500000</v>
      </c>
      <c r="V51" s="386">
        <f>Q51+((S51-0)*R51)</f>
        <v>500000</v>
      </c>
    </row>
    <row r="52" spans="1:25" s="82" customFormat="1" ht="14">
      <c r="A52" s="81">
        <f t="shared" si="4"/>
        <v>46</v>
      </c>
      <c r="B52" s="81">
        <v>46</v>
      </c>
      <c r="C52" s="258" t="s">
        <v>2001</v>
      </c>
      <c r="D52" s="259" t="s">
        <v>43</v>
      </c>
      <c r="E52" s="469">
        <v>45239</v>
      </c>
      <c r="F52" s="86">
        <v>900</v>
      </c>
      <c r="G52" s="86">
        <v>1700</v>
      </c>
      <c r="H52" s="261" t="s">
        <v>2002</v>
      </c>
      <c r="I52" s="140" t="s">
        <v>35</v>
      </c>
      <c r="J52" s="140" t="s">
        <v>36</v>
      </c>
      <c r="K52" s="315" t="s">
        <v>76</v>
      </c>
      <c r="L52" s="261" t="s">
        <v>1107</v>
      </c>
      <c r="M52" s="405"/>
      <c r="N52" s="406" t="s">
        <v>2003</v>
      </c>
      <c r="O52" s="454" t="s">
        <v>40</v>
      </c>
      <c r="P52" s="261"/>
      <c r="Q52" s="440">
        <f>R52*6</f>
        <v>3000000</v>
      </c>
      <c r="R52" s="437">
        <v>500000</v>
      </c>
      <c r="S52" s="162">
        <f>(G52-F52)/100</f>
        <v>8</v>
      </c>
      <c r="T52" s="259"/>
      <c r="U52" s="438">
        <f t="shared" si="5"/>
        <v>4000000</v>
      </c>
      <c r="V52" s="386">
        <f>Q52+((S52-8)*R52)</f>
        <v>3000000</v>
      </c>
      <c r="W52" s="455"/>
      <c r="X52" s="386">
        <f>(Q52+((S52-0)*R52))*((100-P52)/100)</f>
        <v>7000000</v>
      </c>
      <c r="Y52" s="439"/>
    </row>
    <row r="53" spans="1:25" s="82" customFormat="1" ht="26">
      <c r="A53" s="81">
        <f t="shared" si="4"/>
        <v>47</v>
      </c>
      <c r="B53" s="81">
        <v>47</v>
      </c>
      <c r="C53" s="258" t="s">
        <v>2004</v>
      </c>
      <c r="D53" s="259" t="s">
        <v>43</v>
      </c>
      <c r="E53" s="469">
        <v>45147</v>
      </c>
      <c r="F53" s="86">
        <v>1430</v>
      </c>
      <c r="G53" s="86">
        <v>1700</v>
      </c>
      <c r="H53" s="261" t="s">
        <v>2005</v>
      </c>
      <c r="I53" s="140" t="s">
        <v>35</v>
      </c>
      <c r="J53" s="140" t="s">
        <v>36</v>
      </c>
      <c r="K53" s="315" t="s">
        <v>76</v>
      </c>
      <c r="L53" s="261" t="s">
        <v>47</v>
      </c>
      <c r="M53" s="405"/>
      <c r="N53" s="406" t="s">
        <v>2006</v>
      </c>
      <c r="O53" s="454" t="s">
        <v>40</v>
      </c>
      <c r="P53" s="261"/>
      <c r="Q53" s="421"/>
      <c r="R53" s="437">
        <v>500000</v>
      </c>
      <c r="S53" s="162">
        <f>(G53-1450)/100</f>
        <v>2.5</v>
      </c>
      <c r="T53" s="259"/>
      <c r="U53" s="438">
        <f t="shared" si="5"/>
        <v>1250000</v>
      </c>
      <c r="V53" s="386">
        <f>Q53+((S53-0)*R53)</f>
        <v>1250000</v>
      </c>
      <c r="W53" s="439"/>
      <c r="X53" s="91"/>
      <c r="Y53" s="439"/>
    </row>
    <row r="54" spans="1:25" s="82" customFormat="1" ht="42" hidden="1">
      <c r="A54" s="81">
        <f t="shared" si="4"/>
        <v>48</v>
      </c>
      <c r="B54" s="81">
        <v>48</v>
      </c>
      <c r="C54" s="258" t="s">
        <v>2007</v>
      </c>
      <c r="D54" s="259" t="s">
        <v>43</v>
      </c>
      <c r="E54" s="469">
        <v>45116</v>
      </c>
      <c r="F54" s="86">
        <v>1430</v>
      </c>
      <c r="G54" s="86">
        <v>1630</v>
      </c>
      <c r="H54" s="261" t="s">
        <v>2008</v>
      </c>
      <c r="I54" s="140" t="s">
        <v>35</v>
      </c>
      <c r="J54" s="140" t="s">
        <v>36</v>
      </c>
      <c r="K54" s="315" t="s">
        <v>76</v>
      </c>
      <c r="L54" s="261"/>
      <c r="M54" s="405" t="s">
        <v>2009</v>
      </c>
      <c r="N54" s="407" t="s">
        <v>2010</v>
      </c>
      <c r="O54" s="454" t="s">
        <v>174</v>
      </c>
      <c r="P54" s="261"/>
      <c r="Q54" s="437"/>
      <c r="R54" s="437"/>
      <c r="S54" s="162">
        <f t="shared" ref="S54:S64" si="6">(G54-F54)/100</f>
        <v>2</v>
      </c>
      <c r="T54" s="94"/>
      <c r="U54" s="122">
        <f t="shared" si="5"/>
        <v>0</v>
      </c>
      <c r="V54" s="347">
        <f>Q54+((S54-0)*R54)</f>
        <v>0</v>
      </c>
      <c r="X54" s="386">
        <f>(Q54+((S54-0)*R54))*((100-P54)/100)</f>
        <v>0</v>
      </c>
    </row>
    <row r="55" spans="1:25" s="82" customFormat="1" ht="14" hidden="1">
      <c r="A55" s="81">
        <f t="shared" si="4"/>
        <v>49</v>
      </c>
      <c r="B55" s="81">
        <v>49</v>
      </c>
      <c r="C55" s="258" t="s">
        <v>2011</v>
      </c>
      <c r="D55" s="259" t="s">
        <v>32</v>
      </c>
      <c r="E55" s="469" t="s">
        <v>1971</v>
      </c>
      <c r="F55" s="86">
        <v>1000</v>
      </c>
      <c r="G55" s="86">
        <v>1700</v>
      </c>
      <c r="H55" s="261" t="s">
        <v>811</v>
      </c>
      <c r="I55" s="140" t="s">
        <v>35</v>
      </c>
      <c r="J55" s="140" t="s">
        <v>36</v>
      </c>
      <c r="K55" s="315" t="s">
        <v>37</v>
      </c>
      <c r="L55" s="261" t="s">
        <v>255</v>
      </c>
      <c r="M55" s="405"/>
      <c r="N55" s="407" t="s">
        <v>2012</v>
      </c>
      <c r="O55" s="454" t="s">
        <v>40</v>
      </c>
      <c r="P55" s="261"/>
      <c r="Q55" s="437">
        <f>R55*3</f>
        <v>2850000</v>
      </c>
      <c r="R55" s="447">
        <v>950000</v>
      </c>
      <c r="S55" s="162">
        <f t="shared" si="6"/>
        <v>7</v>
      </c>
      <c r="T55" s="94"/>
      <c r="U55" s="122">
        <f t="shared" si="5"/>
        <v>6650000</v>
      </c>
      <c r="V55" s="386">
        <f>Q55+((S55-4)*R55)</f>
        <v>5700000</v>
      </c>
    </row>
    <row r="56" spans="1:25" s="82" customFormat="1" ht="14" hidden="1">
      <c r="A56" s="81">
        <f t="shared" si="4"/>
        <v>50</v>
      </c>
      <c r="B56" s="81">
        <v>50</v>
      </c>
      <c r="C56" s="258" t="s">
        <v>2013</v>
      </c>
      <c r="D56" s="259" t="s">
        <v>32</v>
      </c>
      <c r="E56" s="469">
        <v>45269</v>
      </c>
      <c r="F56" s="86">
        <v>1000</v>
      </c>
      <c r="G56" s="86">
        <v>1700</v>
      </c>
      <c r="H56" s="261" t="s">
        <v>811</v>
      </c>
      <c r="I56" s="140" t="s">
        <v>35</v>
      </c>
      <c r="J56" s="140" t="s">
        <v>36</v>
      </c>
      <c r="K56" s="315" t="s">
        <v>37</v>
      </c>
      <c r="L56" s="261" t="s">
        <v>255</v>
      </c>
      <c r="M56" s="405"/>
      <c r="N56" s="407" t="s">
        <v>2014</v>
      </c>
      <c r="O56" s="454" t="s">
        <v>40</v>
      </c>
      <c r="P56" s="261"/>
      <c r="Q56" s="437">
        <f>R56*3</f>
        <v>2850000</v>
      </c>
      <c r="R56" s="447">
        <v>950000</v>
      </c>
      <c r="S56" s="162">
        <f t="shared" si="6"/>
        <v>7</v>
      </c>
      <c r="T56" s="94"/>
      <c r="U56" s="438">
        <f t="shared" si="5"/>
        <v>6650000</v>
      </c>
      <c r="V56" s="386">
        <f>Q56+((S56-4)*R56)</f>
        <v>5700000</v>
      </c>
    </row>
    <row r="57" spans="1:25" s="82" customFormat="1" ht="29.15" hidden="1" customHeight="1">
      <c r="A57" s="81">
        <f t="shared" si="4"/>
        <v>51</v>
      </c>
      <c r="B57" s="81">
        <v>51</v>
      </c>
      <c r="C57" s="258" t="s">
        <v>2015</v>
      </c>
      <c r="D57" s="259" t="s">
        <v>32</v>
      </c>
      <c r="E57" s="469">
        <v>45239</v>
      </c>
      <c r="F57" s="86">
        <v>1000</v>
      </c>
      <c r="G57" s="86">
        <v>1700</v>
      </c>
      <c r="H57" s="261" t="s">
        <v>811</v>
      </c>
      <c r="I57" s="140" t="s">
        <v>35</v>
      </c>
      <c r="J57" s="140" t="s">
        <v>36</v>
      </c>
      <c r="K57" s="315" t="s">
        <v>37</v>
      </c>
      <c r="L57" s="261" t="s">
        <v>255</v>
      </c>
      <c r="M57" s="405"/>
      <c r="N57" s="407" t="s">
        <v>2016</v>
      </c>
      <c r="O57" s="454" t="s">
        <v>40</v>
      </c>
      <c r="P57" s="261"/>
      <c r="Q57" s="440">
        <f>R57*3</f>
        <v>2850000</v>
      </c>
      <c r="R57" s="447">
        <v>950000</v>
      </c>
      <c r="S57" s="162">
        <f t="shared" si="6"/>
        <v>7</v>
      </c>
      <c r="T57" s="88"/>
      <c r="U57" s="122">
        <f t="shared" si="5"/>
        <v>6650000</v>
      </c>
      <c r="V57" s="386">
        <f>Q57+((S57-4)*R57)</f>
        <v>5700000</v>
      </c>
      <c r="W57" s="439"/>
      <c r="X57" s="386">
        <f>(Q57+((S57-0)*R57))*((100-P57)/100)</f>
        <v>9500000</v>
      </c>
      <c r="Y57" s="439"/>
    </row>
    <row r="58" spans="1:25" s="82" customFormat="1" ht="39" hidden="1">
      <c r="A58" s="81">
        <f t="shared" si="4"/>
        <v>52</v>
      </c>
      <c r="B58" s="81"/>
      <c r="C58" s="258" t="s">
        <v>197</v>
      </c>
      <c r="D58" s="259" t="s">
        <v>198</v>
      </c>
      <c r="E58" s="469" t="s">
        <v>1126</v>
      </c>
      <c r="F58" s="410" t="s">
        <v>2017</v>
      </c>
      <c r="G58" s="410" t="s">
        <v>1712</v>
      </c>
      <c r="H58" s="293" t="s">
        <v>1129</v>
      </c>
      <c r="I58" s="412"/>
      <c r="K58" s="433"/>
      <c r="L58" s="261" t="s">
        <v>172</v>
      </c>
      <c r="M58" s="432" t="s">
        <v>1130</v>
      </c>
      <c r="N58" s="409"/>
      <c r="O58" s="454" t="s">
        <v>40</v>
      </c>
      <c r="P58" s="261"/>
      <c r="Q58" s="447"/>
      <c r="R58" s="437">
        <v>2200000</v>
      </c>
      <c r="S58" s="162">
        <f t="shared" si="6"/>
        <v>1</v>
      </c>
      <c r="T58" s="94"/>
      <c r="U58" s="438">
        <f t="shared" si="5"/>
        <v>2200000</v>
      </c>
      <c r="V58" s="386">
        <f t="shared" ref="V58:V64" si="7">Q58+((S58-0)*R58)</f>
        <v>2200000</v>
      </c>
      <c r="X58" s="386">
        <f>(Q58+((S58-0)*R58))*((100-P58)/100)</f>
        <v>2200000</v>
      </c>
    </row>
    <row r="59" spans="1:25" s="82" customFormat="1" ht="13" hidden="1">
      <c r="A59" s="81">
        <f t="shared" si="4"/>
        <v>53</v>
      </c>
      <c r="B59" s="81"/>
      <c r="C59" s="103"/>
      <c r="D59" s="94"/>
      <c r="E59" s="102"/>
      <c r="F59" s="86"/>
      <c r="G59" s="86"/>
      <c r="H59" s="94"/>
      <c r="I59" s="140"/>
      <c r="J59" s="140"/>
      <c r="K59" s="316"/>
      <c r="L59" s="414"/>
      <c r="M59" s="354"/>
      <c r="N59" s="456"/>
      <c r="O59" s="349"/>
      <c r="P59" s="261"/>
      <c r="Q59" s="452"/>
      <c r="R59" s="437"/>
      <c r="S59" s="162">
        <f t="shared" si="6"/>
        <v>0</v>
      </c>
      <c r="T59" s="94"/>
      <c r="U59" s="438">
        <f t="shared" si="5"/>
        <v>0</v>
      </c>
      <c r="V59" s="470">
        <f t="shared" si="7"/>
        <v>0</v>
      </c>
      <c r="X59" s="386">
        <f>(Q59+((S59-0)*R59))*((100-P59)/100)</f>
        <v>0</v>
      </c>
    </row>
    <row r="60" spans="1:25" s="82" customFormat="1" ht="13" hidden="1">
      <c r="A60" s="81">
        <f t="shared" si="4"/>
        <v>54</v>
      </c>
      <c r="B60" s="81"/>
      <c r="C60" s="103"/>
      <c r="D60" s="94"/>
      <c r="E60" s="102"/>
      <c r="F60" s="86"/>
      <c r="G60" s="86"/>
      <c r="H60" s="94"/>
      <c r="I60" s="140"/>
      <c r="J60" s="140"/>
      <c r="K60" s="316"/>
      <c r="L60" s="297"/>
      <c r="M60" s="132"/>
      <c r="N60" s="281"/>
      <c r="O60" s="349"/>
      <c r="P60" s="261"/>
      <c r="Q60" s="437"/>
      <c r="R60" s="437"/>
      <c r="S60" s="162">
        <f t="shared" si="6"/>
        <v>0</v>
      </c>
      <c r="T60" s="94"/>
      <c r="U60" s="438">
        <f t="shared" si="5"/>
        <v>0</v>
      </c>
      <c r="V60" s="470">
        <f t="shared" si="7"/>
        <v>0</v>
      </c>
      <c r="X60" s="386">
        <f>(Q60+((S60-0)*R60))*((100-P60)/100)</f>
        <v>0</v>
      </c>
    </row>
    <row r="61" spans="1:25" s="82" customFormat="1" ht="13" hidden="1">
      <c r="A61" s="81">
        <f t="shared" si="4"/>
        <v>55</v>
      </c>
      <c r="B61" s="81"/>
      <c r="C61" s="103"/>
      <c r="D61" s="94"/>
      <c r="E61" s="102"/>
      <c r="F61" s="86"/>
      <c r="G61" s="86"/>
      <c r="H61" s="94"/>
      <c r="I61" s="140"/>
      <c r="J61" s="140"/>
      <c r="K61" s="316"/>
      <c r="L61" s="297"/>
      <c r="M61" s="132"/>
      <c r="N61" s="281"/>
      <c r="O61" s="349"/>
      <c r="P61" s="261"/>
      <c r="Q61" s="437"/>
      <c r="R61" s="437"/>
      <c r="S61" s="162">
        <f t="shared" si="6"/>
        <v>0</v>
      </c>
      <c r="T61" s="94"/>
      <c r="U61" s="438">
        <f t="shared" si="5"/>
        <v>0</v>
      </c>
      <c r="V61" s="470">
        <f t="shared" si="7"/>
        <v>0</v>
      </c>
    </row>
    <row r="62" spans="1:25" s="82" customFormat="1" ht="13" hidden="1">
      <c r="A62" s="81">
        <f t="shared" si="4"/>
        <v>56</v>
      </c>
      <c r="B62" s="81"/>
      <c r="C62" s="103"/>
      <c r="D62" s="94"/>
      <c r="E62" s="102"/>
      <c r="F62" s="86"/>
      <c r="G62" s="86"/>
      <c r="H62" s="94"/>
      <c r="I62" s="140"/>
      <c r="J62" s="140"/>
      <c r="K62" s="316"/>
      <c r="L62" s="297"/>
      <c r="M62" s="132"/>
      <c r="N62" s="281"/>
      <c r="O62" s="457"/>
      <c r="P62" s="261"/>
      <c r="Q62" s="437"/>
      <c r="R62" s="437"/>
      <c r="S62" s="162">
        <f t="shared" si="6"/>
        <v>0</v>
      </c>
      <c r="T62" s="94"/>
      <c r="U62" s="122">
        <f t="shared" si="5"/>
        <v>0</v>
      </c>
      <c r="V62" s="470">
        <f t="shared" si="7"/>
        <v>0</v>
      </c>
      <c r="X62" s="386">
        <f>(Q62+((S62-0)*R62))*((100-P62)/100)</f>
        <v>0</v>
      </c>
    </row>
    <row r="63" spans="1:25" s="82" customFormat="1" ht="13" hidden="1">
      <c r="A63" s="81">
        <f t="shared" si="4"/>
        <v>57</v>
      </c>
      <c r="B63" s="81"/>
      <c r="C63" s="103"/>
      <c r="D63" s="94"/>
      <c r="E63" s="102"/>
      <c r="F63" s="86"/>
      <c r="G63" s="86"/>
      <c r="H63" s="94"/>
      <c r="I63" s="140"/>
      <c r="J63" s="140"/>
      <c r="K63" s="316"/>
      <c r="L63" s="297"/>
      <c r="M63" s="132"/>
      <c r="N63" s="281"/>
      <c r="O63" s="457"/>
      <c r="P63" s="261"/>
      <c r="Q63" s="437"/>
      <c r="R63" s="437"/>
      <c r="S63" s="162">
        <f t="shared" si="6"/>
        <v>0</v>
      </c>
      <c r="T63" s="94"/>
      <c r="U63" s="122">
        <f t="shared" si="5"/>
        <v>0</v>
      </c>
      <c r="V63" s="470">
        <f t="shared" si="7"/>
        <v>0</v>
      </c>
      <c r="X63" s="386">
        <f>(Q63+((S63-0)*R63))*((100-P63)/100)</f>
        <v>0</v>
      </c>
    </row>
    <row r="64" spans="1:25" s="82" customFormat="1" ht="13" hidden="1">
      <c r="A64" s="81">
        <f t="shared" si="4"/>
        <v>58</v>
      </c>
      <c r="B64" s="81"/>
      <c r="C64" s="103"/>
      <c r="D64" s="94"/>
      <c r="E64" s="102"/>
      <c r="F64" s="86"/>
      <c r="G64" s="86"/>
      <c r="H64" s="94"/>
      <c r="I64" s="140"/>
      <c r="J64" s="140"/>
      <c r="K64" s="316"/>
      <c r="L64" s="297"/>
      <c r="M64" s="132"/>
      <c r="N64" s="281"/>
      <c r="O64" s="457"/>
      <c r="P64" s="261"/>
      <c r="Q64" s="437"/>
      <c r="R64" s="437"/>
      <c r="S64" s="162">
        <f t="shared" si="6"/>
        <v>0</v>
      </c>
      <c r="T64" s="94"/>
      <c r="U64" s="122">
        <f t="shared" si="5"/>
        <v>0</v>
      </c>
      <c r="V64" s="470">
        <f t="shared" si="7"/>
        <v>0</v>
      </c>
    </row>
    <row r="65" spans="1:25" s="82" customFormat="1" ht="13">
      <c r="A65" s="94"/>
      <c r="B65" s="94"/>
      <c r="C65" s="94"/>
      <c r="D65" s="94"/>
      <c r="E65" s="103"/>
      <c r="F65" s="94"/>
      <c r="G65" s="94"/>
      <c r="H65" s="94"/>
      <c r="I65" s="140"/>
      <c r="J65" s="140"/>
      <c r="K65" s="94"/>
      <c r="L65" s="398"/>
      <c r="M65" s="94"/>
      <c r="N65" s="399"/>
      <c r="O65" s="282"/>
      <c r="P65" s="261"/>
      <c r="Q65" s="437"/>
      <c r="R65" s="442"/>
      <c r="S65" s="94"/>
      <c r="T65" s="94"/>
      <c r="U65" s="435">
        <f>SUBTOTAL(109,U7:U64)</f>
        <v>25500000</v>
      </c>
      <c r="V65" s="123">
        <f>SUBTOTAL(109,V7:V64)</f>
        <v>23000000</v>
      </c>
      <c r="Y65" s="376">
        <f>V65*1.1</f>
        <v>25300000.000000004</v>
      </c>
    </row>
    <row r="66" spans="1:25" s="82" customFormat="1" ht="13">
      <c r="E66" s="104"/>
      <c r="I66" s="160"/>
      <c r="J66" s="160"/>
      <c r="N66" s="104"/>
      <c r="Q66" s="99"/>
      <c r="V66" s="99"/>
    </row>
    <row r="68" spans="1:25">
      <c r="R68" s="356"/>
    </row>
    <row r="69" spans="1:25">
      <c r="Q69" s="100"/>
      <c r="R69" s="356"/>
      <c r="V69" s="100"/>
    </row>
    <row r="70" spans="1:25">
      <c r="Q70" s="100"/>
      <c r="V70" s="100"/>
    </row>
    <row r="71" spans="1:25">
      <c r="Q71" s="100"/>
      <c r="V71" s="100"/>
    </row>
  </sheetData>
  <autoFilter ref="A6:AE64" xr:uid="{1028D278-910A-4D41-890F-0D5DC76C3F25}">
    <filterColumn colId="3">
      <filters>
        <filter val="VN Thư Viện 1 - The Library 1"/>
        <filter val="VN Thư Viện 2 - The Library 2"/>
      </filters>
    </filterColumn>
    <filterColumn colId="21">
      <filters>
        <filter val="1,000,000"/>
        <filter val="1,250,000"/>
        <filter val="1,425,000"/>
        <filter val="1,500,000"/>
        <filter val="1,900,000"/>
        <filter val="2,200,000"/>
        <filter val="2,850,000"/>
        <filter val="3,000,000"/>
        <filter val="3,800,000"/>
        <filter val="5,700,000"/>
        <filter val="500,000"/>
        <filter val="750,000"/>
        <filter val="950,000"/>
      </filters>
    </filterColumn>
  </autoFilter>
  <pageMargins left="0.7" right="0.7" top="0.75" bottom="0.75" header="0.3" footer="0.3"/>
  <pageSetup scale="29" fitToHeight="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CFDC3-6682-465A-8319-39CA8EABE0C3}">
  <sheetPr codeName="Sheet27" filterMode="1">
    <pageSetUpPr fitToPage="1"/>
  </sheetPr>
  <dimension ref="A1:AF100"/>
  <sheetViews>
    <sheetView topLeftCell="K1" zoomScale="90" zoomScaleNormal="90" workbookViewId="0">
      <selection activeCell="N102" sqref="N102"/>
    </sheetView>
  </sheetViews>
  <sheetFormatPr defaultColWidth="9.1796875" defaultRowHeight="14.5" outlineLevelCol="1"/>
  <cols>
    <col min="1" max="2" width="8.81640625" style="837" customWidth="1"/>
    <col min="3" max="3" width="8.81640625" style="837" bestFit="1" customWidth="1"/>
    <col min="4" max="4" width="27.26953125" style="837" customWidth="1"/>
    <col min="5" max="5" width="13.81640625" style="837" customWidth="1"/>
    <col min="6" max="6" width="10.81640625" style="837" bestFit="1" customWidth="1"/>
    <col min="7" max="7" width="10" style="837" customWidth="1"/>
    <col min="8" max="8" width="38.26953125" style="837" customWidth="1" outlineLevel="1"/>
    <col min="9" max="9" width="13.81640625" style="838" customWidth="1" outlineLevel="1"/>
    <col min="10" max="10" width="9.7265625" style="838" customWidth="1" outlineLevel="1"/>
    <col min="11" max="11" width="9.26953125" style="837" customWidth="1" outlineLevel="1"/>
    <col min="12" max="12" width="13.1796875" style="837" customWidth="1" outlineLevel="1"/>
    <col min="13" max="13" width="15" style="837" customWidth="1"/>
    <col min="14" max="14" width="22.26953125" style="837" customWidth="1"/>
    <col min="15" max="15" width="12.54296875" style="837" customWidth="1"/>
    <col min="16" max="16" width="13.1796875" style="837" customWidth="1"/>
    <col min="17" max="17" width="13.26953125" style="1828" customWidth="1"/>
    <col min="18" max="18" width="11.26953125" style="837" bestFit="1" customWidth="1"/>
    <col min="19" max="19" width="9.1796875" style="837" bestFit="1" customWidth="1"/>
    <col min="20" max="20" width="9.1796875" style="837" customWidth="1"/>
    <col min="21" max="21" width="14.1796875" style="837" customWidth="1"/>
    <col min="22" max="22" width="16.54296875" style="837" customWidth="1"/>
    <col min="23" max="23" width="14.26953125" style="1828" customWidth="1"/>
    <col min="24" max="24" width="13.1796875" style="837" bestFit="1" customWidth="1"/>
    <col min="25" max="25" width="28.1796875" style="837" customWidth="1"/>
    <col min="26" max="26" width="13.7265625" style="837" customWidth="1"/>
    <col min="27" max="30" width="9.1796875" style="837" customWidth="1"/>
    <col min="31" max="16384" width="9.1796875" style="837"/>
  </cols>
  <sheetData>
    <row r="1" spans="1:32">
      <c r="A1" s="68"/>
      <c r="B1" s="68"/>
      <c r="C1" s="68"/>
      <c r="D1" s="68"/>
      <c r="E1" s="68"/>
      <c r="F1" s="68"/>
      <c r="G1" s="68"/>
      <c r="H1" s="68"/>
      <c r="I1" s="59"/>
      <c r="J1" s="59"/>
      <c r="K1" s="68"/>
      <c r="L1" s="68"/>
      <c r="M1" s="68"/>
      <c r="N1" s="68"/>
      <c r="O1" s="68"/>
      <c r="P1" s="68"/>
      <c r="Q1" s="1782"/>
      <c r="R1" s="68"/>
      <c r="S1" s="68"/>
      <c r="T1" s="68"/>
      <c r="U1" s="68"/>
      <c r="V1" s="68"/>
      <c r="W1" s="1782"/>
      <c r="X1" s="68"/>
      <c r="Y1" s="68"/>
      <c r="Z1" s="68"/>
      <c r="AA1" s="68"/>
      <c r="AB1" s="68"/>
      <c r="AC1" s="68"/>
      <c r="AD1" s="68"/>
      <c r="AE1" s="68"/>
      <c r="AF1" s="68"/>
    </row>
    <row r="2" spans="1:32" s="1787" customFormat="1" ht="20.25" customHeight="1">
      <c r="A2" s="390" t="s">
        <v>0</v>
      </c>
      <c r="B2" s="391"/>
      <c r="C2" s="391"/>
      <c r="D2" s="391"/>
      <c r="E2" s="391"/>
      <c r="F2" s="391"/>
      <c r="G2" s="391"/>
      <c r="H2" s="391"/>
      <c r="I2" s="52"/>
      <c r="J2" s="389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1783"/>
      <c r="X2" s="1784"/>
      <c r="Y2" s="391"/>
      <c r="Z2" s="1785"/>
      <c r="AA2" s="67"/>
      <c r="AB2" s="67"/>
      <c r="AC2" s="67"/>
      <c r="AD2" s="67"/>
      <c r="AE2" s="1786"/>
      <c r="AF2" s="68" t="s">
        <v>1</v>
      </c>
    </row>
    <row r="3" spans="1:32" s="1787" customFormat="1" ht="20.25" customHeight="1">
      <c r="A3" s="393" t="s">
        <v>2</v>
      </c>
      <c r="B3" s="394"/>
      <c r="C3" s="394"/>
      <c r="D3" s="394"/>
      <c r="E3" s="394"/>
      <c r="F3" s="394"/>
      <c r="G3" s="394"/>
      <c r="H3" s="394"/>
      <c r="I3" s="60"/>
      <c r="J3" s="392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4"/>
      <c r="W3" s="1788"/>
      <c r="X3" s="1789"/>
      <c r="Y3" s="394"/>
      <c r="Z3" s="1790"/>
      <c r="AA3" s="67"/>
      <c r="AB3" s="67"/>
      <c r="AC3" s="67"/>
      <c r="AD3" s="67"/>
      <c r="AE3" s="1791"/>
      <c r="AF3" s="68" t="s">
        <v>3</v>
      </c>
    </row>
    <row r="4" spans="1:32" s="1787" customFormat="1" ht="20.25" customHeight="1">
      <c r="A4" s="393" t="s">
        <v>2018</v>
      </c>
      <c r="B4" s="394"/>
      <c r="C4" s="394"/>
      <c r="D4" s="394"/>
      <c r="E4" s="394"/>
      <c r="F4" s="394"/>
      <c r="G4" s="394"/>
      <c r="H4" s="394"/>
      <c r="I4" s="60"/>
      <c r="J4" s="392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1788"/>
      <c r="X4" s="1789"/>
      <c r="Y4" s="394"/>
      <c r="Z4" s="1790"/>
      <c r="AA4" s="67"/>
      <c r="AB4" s="67"/>
      <c r="AC4" s="67"/>
      <c r="AD4" s="67"/>
      <c r="AE4" s="1792"/>
      <c r="AF4" s="68" t="s">
        <v>5</v>
      </c>
    </row>
    <row r="5" spans="1:32" s="1787" customFormat="1" ht="6" customHeight="1">
      <c r="A5" s="67"/>
      <c r="B5" s="67"/>
      <c r="C5" s="67"/>
      <c r="D5" s="67"/>
      <c r="E5" s="67"/>
      <c r="F5" s="67"/>
      <c r="G5" s="67"/>
      <c r="H5" s="67"/>
      <c r="I5" s="66"/>
      <c r="J5" s="66"/>
      <c r="K5" s="67"/>
      <c r="L5" s="67"/>
      <c r="M5" s="68"/>
      <c r="N5" s="68"/>
      <c r="O5" s="68"/>
      <c r="P5" s="67"/>
      <c r="Q5" s="1793"/>
      <c r="R5" s="67"/>
      <c r="S5" s="67"/>
      <c r="T5" s="67"/>
      <c r="U5" s="67"/>
      <c r="V5" s="67"/>
      <c r="W5" s="1793"/>
      <c r="X5" s="1794"/>
      <c r="Y5" s="67"/>
      <c r="Z5" s="1795"/>
      <c r="AA5" s="67"/>
      <c r="AB5" s="67"/>
      <c r="AC5" s="67"/>
      <c r="AD5" s="67"/>
      <c r="AE5" s="67"/>
      <c r="AF5" s="67"/>
    </row>
    <row r="6" spans="1:32" s="1801" customFormat="1" ht="39">
      <c r="A6" s="75" t="s">
        <v>6</v>
      </c>
      <c r="B6" s="75" t="s">
        <v>6</v>
      </c>
      <c r="C6" s="319" t="s">
        <v>7</v>
      </c>
      <c r="D6" s="319" t="s">
        <v>8</v>
      </c>
      <c r="E6" s="319" t="s">
        <v>9</v>
      </c>
      <c r="F6" s="319" t="s">
        <v>10</v>
      </c>
      <c r="G6" s="1781" t="s">
        <v>11</v>
      </c>
      <c r="H6" s="319" t="s">
        <v>1143</v>
      </c>
      <c r="I6" s="161" t="s">
        <v>13</v>
      </c>
      <c r="J6" s="159" t="s">
        <v>14</v>
      </c>
      <c r="K6" s="74" t="s">
        <v>15</v>
      </c>
      <c r="L6" s="1781" t="s">
        <v>16</v>
      </c>
      <c r="M6" s="1781" t="s">
        <v>17</v>
      </c>
      <c r="N6" s="319" t="s">
        <v>18</v>
      </c>
      <c r="O6" s="320" t="s">
        <v>19</v>
      </c>
      <c r="P6" s="1781" t="s">
        <v>20</v>
      </c>
      <c r="Q6" s="1796" t="s">
        <v>21</v>
      </c>
      <c r="R6" s="1781" t="s">
        <v>22</v>
      </c>
      <c r="S6" s="1781" t="s">
        <v>23</v>
      </c>
      <c r="T6" s="1781" t="s">
        <v>1145</v>
      </c>
      <c r="U6" s="1781" t="s">
        <v>24</v>
      </c>
      <c r="V6" s="1797" t="s">
        <v>25</v>
      </c>
      <c r="W6" s="1781" t="s">
        <v>1146</v>
      </c>
      <c r="X6" s="1798"/>
      <c r="Y6" s="1798"/>
      <c r="Z6" s="1798"/>
      <c r="AA6" s="75" t="s">
        <v>27</v>
      </c>
      <c r="AB6" s="1799" t="s">
        <v>28</v>
      </c>
      <c r="AC6" s="1800" t="s">
        <v>29</v>
      </c>
      <c r="AD6" s="75" t="s">
        <v>30</v>
      </c>
      <c r="AE6" s="1798"/>
      <c r="AF6" s="1798"/>
    </row>
    <row r="7" spans="1:32" s="1375" customFormat="1" ht="13" hidden="1">
      <c r="A7" s="1359"/>
      <c r="B7" s="1803">
        <v>1</v>
      </c>
      <c r="C7" s="1747" t="s">
        <v>2019</v>
      </c>
      <c r="D7" s="1748" t="s">
        <v>43</v>
      </c>
      <c r="E7" s="1748" t="s">
        <v>2020</v>
      </c>
      <c r="F7" s="1749">
        <v>1400</v>
      </c>
      <c r="G7" s="1749">
        <v>1530</v>
      </c>
      <c r="H7" s="1748" t="s">
        <v>2021</v>
      </c>
      <c r="I7" s="1742" t="s">
        <v>35</v>
      </c>
      <c r="J7" s="1733" t="s">
        <v>36</v>
      </c>
      <c r="K7" s="1740" t="s">
        <v>76</v>
      </c>
      <c r="L7" s="1755"/>
      <c r="M7" s="1804" t="s">
        <v>1036</v>
      </c>
      <c r="N7" s="1744" t="s">
        <v>2022</v>
      </c>
      <c r="O7" s="1748" t="s">
        <v>40</v>
      </c>
      <c r="P7" s="1832"/>
      <c r="Q7" s="1401">
        <f t="shared" ref="Q7:Q13" si="0">IF((S7-T7)&gt;=8,R7*6,IF(AND((S7-T7)&lt;8,(S7-T7)&gt;=4),R7*3,0))</f>
        <v>0</v>
      </c>
      <c r="R7" s="1401">
        <v>500000</v>
      </c>
      <c r="S7" s="1778">
        <f>(1550-F7)/100</f>
        <v>1.5</v>
      </c>
      <c r="T7" s="1403"/>
      <c r="U7" s="1832"/>
      <c r="V7" s="1401">
        <f t="shared" ref="V7:V70" si="1">S7*R7*(100-P7)/100</f>
        <v>750000</v>
      </c>
      <c r="W7" s="1431">
        <f>(Q7+(((S7-T7)-0)*R7))*((100-P7)/100)</f>
        <v>750000</v>
      </c>
      <c r="X7" s="1372"/>
      <c r="Y7" s="1372"/>
      <c r="Z7" s="1372"/>
      <c r="AA7" s="1372"/>
      <c r="AB7" s="1373"/>
      <c r="AC7" s="1374"/>
      <c r="AD7" s="1372"/>
      <c r="AE7" s="1372"/>
      <c r="AF7" s="1372"/>
    </row>
    <row r="8" spans="1:32" s="1389" customFormat="1" ht="13" hidden="1">
      <c r="A8" s="1376"/>
      <c r="B8" s="1762">
        <v>2</v>
      </c>
      <c r="C8" s="1750" t="s">
        <v>2023</v>
      </c>
      <c r="D8" s="1751" t="s">
        <v>43</v>
      </c>
      <c r="E8" s="1751" t="s">
        <v>2024</v>
      </c>
      <c r="F8" s="1752">
        <v>930</v>
      </c>
      <c r="G8" s="1752">
        <v>1030</v>
      </c>
      <c r="H8" s="1751" t="s">
        <v>969</v>
      </c>
      <c r="I8" s="1742" t="s">
        <v>35</v>
      </c>
      <c r="J8" s="1733" t="s">
        <v>36</v>
      </c>
      <c r="K8" s="1740" t="s">
        <v>133</v>
      </c>
      <c r="L8" s="1751"/>
      <c r="M8" s="1833" t="s">
        <v>284</v>
      </c>
      <c r="N8" s="1757" t="s">
        <v>2025</v>
      </c>
      <c r="O8" s="1751" t="s">
        <v>40</v>
      </c>
      <c r="P8" s="1834"/>
      <c r="Q8" s="1834"/>
      <c r="R8" s="1401">
        <v>500000</v>
      </c>
      <c r="S8" s="1778">
        <f t="shared" ref="S8:S71" si="2">(G8-F8)/100</f>
        <v>1</v>
      </c>
      <c r="T8" s="1403"/>
      <c r="U8" s="1750"/>
      <c r="V8" s="1834">
        <f t="shared" si="1"/>
        <v>500000</v>
      </c>
      <c r="W8" s="1431">
        <f>(Q8+(((S8-T8)-0)*R8))*((100-P8)/100)</f>
        <v>500000</v>
      </c>
      <c r="X8" s="1386"/>
      <c r="Y8" s="1387"/>
      <c r="Z8" s="1386"/>
      <c r="AA8" s="1388"/>
      <c r="AB8" s="1388"/>
      <c r="AC8" s="1388"/>
      <c r="AD8" s="1388"/>
      <c r="AE8" s="1388"/>
      <c r="AF8" s="1388"/>
    </row>
    <row r="9" spans="1:32" s="1375" customFormat="1" ht="29" hidden="1">
      <c r="A9" s="1359"/>
      <c r="B9" s="1763">
        <v>3</v>
      </c>
      <c r="C9" s="1753">
        <v>4694</v>
      </c>
      <c r="D9" s="1739" t="s">
        <v>43</v>
      </c>
      <c r="E9" s="1754" t="s">
        <v>2026</v>
      </c>
      <c r="F9" s="1755" t="s">
        <v>1398</v>
      </c>
      <c r="G9" s="1755" t="s">
        <v>2027</v>
      </c>
      <c r="H9" s="1735" t="s">
        <v>1269</v>
      </c>
      <c r="I9" s="1736" t="s">
        <v>35</v>
      </c>
      <c r="J9" s="1737" t="s">
        <v>36</v>
      </c>
      <c r="K9" s="1738" t="s">
        <v>76</v>
      </c>
      <c r="L9" s="1739"/>
      <c r="M9" s="1601" t="s">
        <v>89</v>
      </c>
      <c r="N9" s="1472" t="s">
        <v>2028</v>
      </c>
      <c r="O9" s="1735" t="s">
        <v>40</v>
      </c>
      <c r="P9" s="1395"/>
      <c r="Q9" s="1401">
        <f t="shared" si="0"/>
        <v>1500000</v>
      </c>
      <c r="R9" s="1401">
        <v>500000</v>
      </c>
      <c r="S9" s="1778">
        <f t="shared" si="2"/>
        <v>5</v>
      </c>
      <c r="T9" s="1403"/>
      <c r="U9" s="1777"/>
      <c r="V9" s="1401">
        <f t="shared" si="1"/>
        <v>2500000</v>
      </c>
      <c r="W9" s="1402">
        <f t="shared" ref="W9:W15" si="3">(Q9+(((S9-T9)-0)*R9))*((100-P9)/100)</f>
        <v>4000000</v>
      </c>
      <c r="X9" s="1405"/>
      <c r="Y9" s="1405"/>
      <c r="Z9" s="1405"/>
      <c r="AA9" s="1405"/>
      <c r="AB9" s="1405"/>
      <c r="AC9" s="1405"/>
      <c r="AD9" s="1405"/>
      <c r="AE9" s="1405"/>
      <c r="AF9" s="1405"/>
    </row>
    <row r="10" spans="1:32" s="1420" customFormat="1" ht="13" hidden="1">
      <c r="A10" s="1359"/>
      <c r="B10" s="1761">
        <v>4</v>
      </c>
      <c r="C10" s="1747" t="s">
        <v>2029</v>
      </c>
      <c r="D10" s="1756" t="s">
        <v>43</v>
      </c>
      <c r="E10" s="1748" t="s">
        <v>2026</v>
      </c>
      <c r="F10" s="1749">
        <v>1000</v>
      </c>
      <c r="G10" s="1749">
        <v>1200</v>
      </c>
      <c r="H10" s="1741" t="s">
        <v>1269</v>
      </c>
      <c r="I10" s="1742" t="s">
        <v>35</v>
      </c>
      <c r="J10" s="1733" t="s">
        <v>36</v>
      </c>
      <c r="K10" s="1740" t="s">
        <v>76</v>
      </c>
      <c r="L10" s="1739"/>
      <c r="M10" s="1743" t="s">
        <v>89</v>
      </c>
      <c r="N10" s="1744" t="s">
        <v>2030</v>
      </c>
      <c r="O10" s="1756" t="s">
        <v>40</v>
      </c>
      <c r="P10" s="1399"/>
      <c r="Q10" s="1401">
        <f t="shared" si="0"/>
        <v>0</v>
      </c>
      <c r="R10" s="1401">
        <v>500000</v>
      </c>
      <c r="S10" s="1778">
        <f t="shared" si="2"/>
        <v>2</v>
      </c>
      <c r="T10" s="1403"/>
      <c r="U10" s="1496"/>
      <c r="V10" s="1401">
        <f t="shared" si="1"/>
        <v>1000000</v>
      </c>
      <c r="W10" s="1402">
        <f t="shared" si="3"/>
        <v>1000000</v>
      </c>
      <c r="X10" s="1417"/>
      <c r="Y10" s="1418"/>
      <c r="Z10" s="1417"/>
      <c r="AA10" s="1419"/>
      <c r="AB10" s="1419"/>
      <c r="AC10" s="1419"/>
      <c r="AD10" s="1419"/>
      <c r="AE10" s="1419"/>
      <c r="AF10" s="1419"/>
    </row>
    <row r="11" spans="1:32" s="1420" customFormat="1" ht="13" hidden="1">
      <c r="A11" s="1359"/>
      <c r="B11" s="1803">
        <v>5</v>
      </c>
      <c r="C11" s="1747" t="s">
        <v>2031</v>
      </c>
      <c r="D11" s="1748" t="s">
        <v>32</v>
      </c>
      <c r="E11" s="1748" t="s">
        <v>2026</v>
      </c>
      <c r="F11" s="1749">
        <v>1400</v>
      </c>
      <c r="G11" s="1749">
        <v>1600</v>
      </c>
      <c r="H11" s="1748" t="s">
        <v>1518</v>
      </c>
      <c r="I11" s="1742" t="s">
        <v>35</v>
      </c>
      <c r="J11" s="1733" t="s">
        <v>36</v>
      </c>
      <c r="K11" s="1740" t="s">
        <v>100</v>
      </c>
      <c r="L11" s="1755"/>
      <c r="M11" s="1804" t="s">
        <v>266</v>
      </c>
      <c r="N11" s="1744" t="s">
        <v>2032</v>
      </c>
      <c r="O11" s="1748" t="s">
        <v>40</v>
      </c>
      <c r="P11" s="1758"/>
      <c r="Q11" s="1401">
        <f t="shared" si="0"/>
        <v>0</v>
      </c>
      <c r="R11" s="1402">
        <v>950000</v>
      </c>
      <c r="S11" s="1778">
        <f t="shared" si="2"/>
        <v>2</v>
      </c>
      <c r="T11" s="1403"/>
      <c r="U11" s="1753"/>
      <c r="V11" s="1401">
        <f t="shared" si="1"/>
        <v>1900000</v>
      </c>
      <c r="W11" s="1431">
        <f t="shared" si="3"/>
        <v>1900000</v>
      </c>
      <c r="X11" s="1419"/>
      <c r="Y11" s="1419"/>
      <c r="Z11" s="1419"/>
      <c r="AA11" s="1419"/>
      <c r="AB11" s="1419"/>
      <c r="AC11" s="1419"/>
      <c r="AD11" s="1419"/>
      <c r="AE11" s="1419"/>
      <c r="AF11" s="1419"/>
    </row>
    <row r="12" spans="1:32" s="1420" customFormat="1" ht="14" hidden="1">
      <c r="A12" s="1359"/>
      <c r="B12" s="1803">
        <v>6</v>
      </c>
      <c r="C12" s="1747" t="s">
        <v>2033</v>
      </c>
      <c r="D12" s="1748" t="s">
        <v>32</v>
      </c>
      <c r="E12" s="1748" t="s">
        <v>2026</v>
      </c>
      <c r="F12" s="1749">
        <v>930</v>
      </c>
      <c r="G12" s="1749">
        <v>1130</v>
      </c>
      <c r="H12" s="1748" t="s">
        <v>1518</v>
      </c>
      <c r="I12" s="1742" t="s">
        <v>35</v>
      </c>
      <c r="J12" s="1733" t="s">
        <v>36</v>
      </c>
      <c r="K12" s="1740" t="s">
        <v>100</v>
      </c>
      <c r="L12" s="1755"/>
      <c r="M12" s="1804" t="s">
        <v>266</v>
      </c>
      <c r="N12" s="1744" t="s">
        <v>2034</v>
      </c>
      <c r="O12" s="1748" t="s">
        <v>40</v>
      </c>
      <c r="P12" s="1836"/>
      <c r="Q12" s="1401">
        <f t="shared" si="0"/>
        <v>0</v>
      </c>
      <c r="R12" s="1402">
        <v>950000</v>
      </c>
      <c r="S12" s="1778">
        <f t="shared" si="2"/>
        <v>2</v>
      </c>
      <c r="T12" s="1403"/>
      <c r="U12" s="1755"/>
      <c r="V12" s="1472">
        <f t="shared" si="1"/>
        <v>1900000</v>
      </c>
      <c r="W12" s="1431">
        <f t="shared" si="3"/>
        <v>1900000</v>
      </c>
      <c r="X12" s="1417"/>
      <c r="Y12" s="1426"/>
      <c r="Z12" s="1417"/>
      <c r="AA12" s="1419"/>
      <c r="AB12" s="1419"/>
      <c r="AC12" s="1419"/>
      <c r="AD12" s="1419"/>
      <c r="AE12" s="1419"/>
      <c r="AF12" s="1419"/>
    </row>
    <row r="13" spans="1:32" s="1420" customFormat="1" ht="13" hidden="1">
      <c r="A13" s="1497"/>
      <c r="B13" s="1803">
        <v>7</v>
      </c>
      <c r="C13" s="1747" t="s">
        <v>2035</v>
      </c>
      <c r="D13" s="1748" t="s">
        <v>32</v>
      </c>
      <c r="E13" s="1748" t="s">
        <v>2036</v>
      </c>
      <c r="F13" s="1749">
        <v>1500</v>
      </c>
      <c r="G13" s="1749">
        <v>1700</v>
      </c>
      <c r="H13" s="1748" t="s">
        <v>1518</v>
      </c>
      <c r="I13" s="1742" t="s">
        <v>35</v>
      </c>
      <c r="J13" s="1733" t="s">
        <v>36</v>
      </c>
      <c r="K13" s="1740" t="s">
        <v>100</v>
      </c>
      <c r="L13" s="1755"/>
      <c r="M13" s="1804" t="s">
        <v>266</v>
      </c>
      <c r="N13" s="1744" t="s">
        <v>2037</v>
      </c>
      <c r="O13" s="1748" t="s">
        <v>40</v>
      </c>
      <c r="P13" s="1832"/>
      <c r="Q13" s="1401">
        <f t="shared" si="0"/>
        <v>0</v>
      </c>
      <c r="R13" s="1402">
        <v>950000</v>
      </c>
      <c r="S13" s="1778">
        <f t="shared" si="2"/>
        <v>2</v>
      </c>
      <c r="T13" s="1403"/>
      <c r="U13" s="1832"/>
      <c r="V13" s="1401">
        <f t="shared" si="1"/>
        <v>1900000</v>
      </c>
      <c r="W13" s="1431">
        <f t="shared" si="3"/>
        <v>1900000</v>
      </c>
      <c r="X13" s="1432"/>
      <c r="Y13" s="1433"/>
      <c r="Z13" s="1372"/>
      <c r="AA13" s="1372"/>
      <c r="AB13" s="1373"/>
      <c r="AC13" s="1374"/>
      <c r="AD13" s="1372"/>
      <c r="AE13" s="1372"/>
      <c r="AF13" s="1372"/>
    </row>
    <row r="14" spans="1:32" s="1420" customFormat="1" ht="14.5" hidden="1" customHeight="1">
      <c r="A14" s="1830"/>
      <c r="B14" s="1835">
        <v>8</v>
      </c>
      <c r="C14" s="1747" t="s">
        <v>2038</v>
      </c>
      <c r="D14" s="1748" t="s">
        <v>43</v>
      </c>
      <c r="E14" s="1748" t="s">
        <v>2039</v>
      </c>
      <c r="F14" s="1749">
        <v>1400</v>
      </c>
      <c r="G14" s="1749">
        <v>1500</v>
      </c>
      <c r="H14" s="1748" t="s">
        <v>2040</v>
      </c>
      <c r="I14" s="1742" t="s">
        <v>35</v>
      </c>
      <c r="J14" s="1733" t="s">
        <v>36</v>
      </c>
      <c r="K14" s="1740" t="s">
        <v>76</v>
      </c>
      <c r="L14" s="1755"/>
      <c r="M14" s="1804" t="s">
        <v>38</v>
      </c>
      <c r="N14" s="1744" t="s">
        <v>2041</v>
      </c>
      <c r="O14" s="1748" t="s">
        <v>40</v>
      </c>
      <c r="P14" s="1758" t="s">
        <v>64</v>
      </c>
      <c r="Q14" s="1401">
        <f>IF((S14-T14)&gt;=8,R14*6,IF(AND((S14-T14)&lt;8,(S14-T14)&gt;=4),R14*3,0))</f>
        <v>0</v>
      </c>
      <c r="R14" s="1401">
        <v>500000</v>
      </c>
      <c r="S14" s="1778">
        <f t="shared" si="2"/>
        <v>1</v>
      </c>
      <c r="T14" s="1403"/>
      <c r="U14" s="1758"/>
      <c r="V14" s="1401">
        <f t="shared" si="1"/>
        <v>450000</v>
      </c>
      <c r="W14" s="1431">
        <f t="shared" si="3"/>
        <v>450000</v>
      </c>
      <c r="X14" s="1417"/>
      <c r="Y14" s="1431">
        <f>(Q14+((S14-0)*R14))*((100-P14)/100)</f>
        <v>450000</v>
      </c>
      <c r="Z14" s="1417"/>
      <c r="AA14" s="1419"/>
      <c r="AB14" s="1419"/>
      <c r="AC14" s="1419"/>
      <c r="AD14" s="1419"/>
      <c r="AE14" s="1419"/>
      <c r="AF14" s="1419"/>
    </row>
    <row r="15" spans="1:32" s="1420" customFormat="1" ht="13" hidden="1">
      <c r="A15" s="1427"/>
      <c r="B15" s="1803">
        <v>9</v>
      </c>
      <c r="C15" s="1747" t="s">
        <v>2042</v>
      </c>
      <c r="D15" s="1748" t="s">
        <v>43</v>
      </c>
      <c r="E15" s="1748" t="s">
        <v>2043</v>
      </c>
      <c r="F15" s="1749">
        <v>900</v>
      </c>
      <c r="G15" s="1749">
        <v>1030</v>
      </c>
      <c r="H15" s="1748" t="s">
        <v>1315</v>
      </c>
      <c r="I15" s="1742" t="s">
        <v>35</v>
      </c>
      <c r="J15" s="1733" t="s">
        <v>36</v>
      </c>
      <c r="K15" s="1740" t="s">
        <v>76</v>
      </c>
      <c r="L15" s="1804" t="s">
        <v>1279</v>
      </c>
      <c r="M15" s="1804" t="s">
        <v>1209</v>
      </c>
      <c r="N15" s="1744">
        <v>45629.511319444442</v>
      </c>
      <c r="O15" s="1748" t="s">
        <v>40</v>
      </c>
      <c r="P15" s="1832"/>
      <c r="Q15" s="1401">
        <f>IF((S15-T15)&gt;=8,R15*6,IF(AND((S15-T15)&lt;8,(S15-T15)&gt;=4),R15*3,0))</f>
        <v>0</v>
      </c>
      <c r="R15" s="1401">
        <v>500000</v>
      </c>
      <c r="S15" s="1778">
        <f>(1050-F15)/100</f>
        <v>1.5</v>
      </c>
      <c r="T15" s="1403"/>
      <c r="U15" s="1832"/>
      <c r="V15" s="1401">
        <f t="shared" si="1"/>
        <v>750000</v>
      </c>
      <c r="W15" s="1431">
        <f t="shared" si="3"/>
        <v>750000</v>
      </c>
      <c r="X15" s="1372"/>
      <c r="Y15" s="1372"/>
      <c r="Z15" s="1372"/>
      <c r="AA15" s="1372"/>
      <c r="AB15" s="1373"/>
      <c r="AC15" s="1374"/>
      <c r="AD15" s="1372"/>
      <c r="AE15" s="1372"/>
      <c r="AF15" s="1372"/>
    </row>
    <row r="16" spans="1:32" s="1808" customFormat="1" ht="13" hidden="1">
      <c r="A16" s="1802"/>
      <c r="B16" s="1803">
        <v>10</v>
      </c>
      <c r="C16" s="1747" t="s">
        <v>2044</v>
      </c>
      <c r="D16" s="1748" t="s">
        <v>32</v>
      </c>
      <c r="E16" s="1748" t="s">
        <v>2039</v>
      </c>
      <c r="F16" s="1749">
        <v>900</v>
      </c>
      <c r="G16" s="1749">
        <v>1800</v>
      </c>
      <c r="H16" s="1748" t="s">
        <v>2045</v>
      </c>
      <c r="I16" s="1742" t="s">
        <v>259</v>
      </c>
      <c r="J16" s="1733" t="s">
        <v>36</v>
      </c>
      <c r="K16" s="1740" t="s">
        <v>37</v>
      </c>
      <c r="L16" s="1804" t="s">
        <v>2046</v>
      </c>
      <c r="M16" s="1804" t="s">
        <v>1221</v>
      </c>
      <c r="N16" s="1744">
        <v>45599.624930555554</v>
      </c>
      <c r="O16" s="1748" t="s">
        <v>40</v>
      </c>
      <c r="P16" s="1747"/>
      <c r="Q16" s="1401">
        <f>IF((S16-T16)&gt;=8,R16*6,IF(AND((S16-T16)&lt;8,(S16-T16)&gt;=4),R16*3,0))</f>
        <v>5700000</v>
      </c>
      <c r="R16" s="1402">
        <v>950000</v>
      </c>
      <c r="S16" s="1778">
        <f t="shared" si="2"/>
        <v>9</v>
      </c>
      <c r="T16" s="1403"/>
      <c r="U16" s="1747"/>
      <c r="V16" s="1453">
        <f t="shared" si="1"/>
        <v>8550000</v>
      </c>
      <c r="W16" s="1431">
        <f>(Q16+(((S16-T16)-8)*R16))*((100-P16)/100)</f>
        <v>6650000</v>
      </c>
      <c r="X16" s="1805"/>
      <c r="Y16" s="1806"/>
      <c r="Z16" s="1805"/>
      <c r="AA16" s="1807"/>
      <c r="AB16" s="1807"/>
      <c r="AC16" s="1807"/>
      <c r="AD16" s="1807"/>
      <c r="AE16" s="1807"/>
      <c r="AF16" s="1807"/>
    </row>
    <row r="17" spans="1:32" s="1808" customFormat="1" ht="13" hidden="1">
      <c r="A17" s="1811"/>
      <c r="B17" s="1803">
        <v>11</v>
      </c>
      <c r="C17" s="1747" t="s">
        <v>2047</v>
      </c>
      <c r="D17" s="1748" t="s">
        <v>43</v>
      </c>
      <c r="E17" s="1748" t="s">
        <v>2048</v>
      </c>
      <c r="F17" s="1749">
        <v>1330</v>
      </c>
      <c r="G17" s="1749">
        <v>1730</v>
      </c>
      <c r="H17" s="1748" t="s">
        <v>1420</v>
      </c>
      <c r="I17" s="1742" t="s">
        <v>35</v>
      </c>
      <c r="J17" s="1733" t="s">
        <v>36</v>
      </c>
      <c r="K17" s="1740" t="s">
        <v>133</v>
      </c>
      <c r="L17" s="1804"/>
      <c r="M17" s="1804" t="s">
        <v>1221</v>
      </c>
      <c r="N17" s="1744">
        <v>45385.630624999998</v>
      </c>
      <c r="O17" s="1748" t="s">
        <v>40</v>
      </c>
      <c r="P17" s="1401"/>
      <c r="Q17" s="1401">
        <f t="shared" ref="Q17:Q19" si="4">IF((S17-T17)&gt;=8,R17*6,IF(AND((S17-T17)&lt;8,(S17-T17)&gt;=4),R17*3,0))</f>
        <v>1500000</v>
      </c>
      <c r="R17" s="1401">
        <v>500000</v>
      </c>
      <c r="S17" s="1778">
        <f t="shared" si="2"/>
        <v>4</v>
      </c>
      <c r="T17" s="1403"/>
      <c r="U17" s="1747"/>
      <c r="V17" s="1453">
        <f t="shared" si="1"/>
        <v>2000000</v>
      </c>
      <c r="W17" s="1431">
        <f>(Q17+(((S17-T17)-4)*R17))*((100-P17)/100)</f>
        <v>1500000</v>
      </c>
      <c r="X17" s="1805"/>
      <c r="Y17" s="1440">
        <f>(Q17+((S17-0)*R17))*((100-P17)/100)</f>
        <v>3500000</v>
      </c>
      <c r="Z17" s="1805"/>
      <c r="AA17" s="1807"/>
      <c r="AB17" s="1807"/>
      <c r="AC17" s="1807"/>
      <c r="AD17" s="1807"/>
      <c r="AE17" s="1807"/>
      <c r="AF17" s="1807"/>
    </row>
    <row r="18" spans="1:32" s="1420" customFormat="1" hidden="1">
      <c r="A18" s="1831"/>
      <c r="B18" s="1835">
        <v>12</v>
      </c>
      <c r="C18" s="1747" t="s">
        <v>2049</v>
      </c>
      <c r="D18" s="1748" t="s">
        <v>32</v>
      </c>
      <c r="E18" s="1748" t="s">
        <v>2050</v>
      </c>
      <c r="F18" s="1749">
        <v>930</v>
      </c>
      <c r="G18" s="1749">
        <v>1130</v>
      </c>
      <c r="H18" s="1748" t="s">
        <v>1415</v>
      </c>
      <c r="I18" s="1742" t="s">
        <v>35</v>
      </c>
      <c r="J18" s="1733" t="s">
        <v>36</v>
      </c>
      <c r="K18" s="1740" t="s">
        <v>37</v>
      </c>
      <c r="L18" s="1804"/>
      <c r="M18" s="1804" t="s">
        <v>38</v>
      </c>
      <c r="N18" s="1744" t="s">
        <v>2051</v>
      </c>
      <c r="O18" s="1748" t="s">
        <v>40</v>
      </c>
      <c r="P18" s="1809"/>
      <c r="Q18" s="1401">
        <f t="shared" si="4"/>
        <v>0</v>
      </c>
      <c r="R18" s="1402">
        <v>950000</v>
      </c>
      <c r="S18" s="1778">
        <f t="shared" si="2"/>
        <v>2</v>
      </c>
      <c r="T18" s="1403">
        <v>2</v>
      </c>
      <c r="U18" s="1747"/>
      <c r="V18" s="1453">
        <f t="shared" si="1"/>
        <v>1900000</v>
      </c>
      <c r="W18" s="1431">
        <f t="shared" ref="W18:W21" si="5">(Q18+(((S18-T18)-0)*R18))*((100-P18)/100)</f>
        <v>0</v>
      </c>
      <c r="X18" s="1417"/>
      <c r="Y18" s="1418"/>
      <c r="Z18" s="1417"/>
      <c r="AA18" s="1419"/>
      <c r="AB18" s="1419"/>
      <c r="AC18" s="1419"/>
      <c r="AD18" s="1419"/>
      <c r="AE18" s="1419"/>
      <c r="AF18" s="1419"/>
    </row>
    <row r="19" spans="1:32" s="1420" customFormat="1" ht="13" hidden="1">
      <c r="A19" s="1539"/>
      <c r="B19" s="1803">
        <v>13</v>
      </c>
      <c r="C19" s="1747" t="s">
        <v>2052</v>
      </c>
      <c r="D19" s="1748" t="s">
        <v>32</v>
      </c>
      <c r="E19" s="1748" t="s">
        <v>2053</v>
      </c>
      <c r="F19" s="1749">
        <v>900</v>
      </c>
      <c r="G19" s="1749">
        <v>1730</v>
      </c>
      <c r="H19" s="1748" t="s">
        <v>2054</v>
      </c>
      <c r="I19" s="1742" t="s">
        <v>35</v>
      </c>
      <c r="J19" s="1733" t="s">
        <v>36</v>
      </c>
      <c r="K19" s="1740" t="s">
        <v>37</v>
      </c>
      <c r="L19" s="1804"/>
      <c r="M19" s="1804" t="s">
        <v>112</v>
      </c>
      <c r="N19" s="1744" t="s">
        <v>2055</v>
      </c>
      <c r="O19" s="1748" t="s">
        <v>40</v>
      </c>
      <c r="P19" s="1814"/>
      <c r="Q19" s="1401">
        <f t="shared" si="4"/>
        <v>5700000</v>
      </c>
      <c r="R19" s="1402">
        <v>950000</v>
      </c>
      <c r="S19" s="1778">
        <f>(1750-F19)/100</f>
        <v>8.5</v>
      </c>
      <c r="T19" s="1403"/>
      <c r="U19" s="1814"/>
      <c r="V19" s="1453">
        <f t="shared" si="1"/>
        <v>8075000</v>
      </c>
      <c r="W19" s="1431">
        <f>(Q19+(((S19-T19)-8)*R19))*((100-P19)/100)</f>
        <v>6175000</v>
      </c>
      <c r="X19" s="1455"/>
      <c r="Y19" s="1440">
        <f>(Q19+((S19-0)*R19))*((100-P19)/100)</f>
        <v>13775000</v>
      </c>
      <c r="Z19" s="1419"/>
      <c r="AA19" s="1419"/>
      <c r="AB19" s="1419"/>
      <c r="AC19" s="1419"/>
      <c r="AD19" s="1419"/>
      <c r="AE19" s="1419"/>
      <c r="AF19" s="1419"/>
    </row>
    <row r="20" spans="1:32" s="1420" customFormat="1" ht="13" hidden="1">
      <c r="A20" s="1359"/>
      <c r="B20" s="1803">
        <v>14</v>
      </c>
      <c r="C20" s="1747" t="s">
        <v>2056</v>
      </c>
      <c r="D20" s="1748" t="s">
        <v>43</v>
      </c>
      <c r="E20" s="1748" t="s">
        <v>2057</v>
      </c>
      <c r="F20" s="1749">
        <v>1330</v>
      </c>
      <c r="G20" s="1749">
        <v>1700</v>
      </c>
      <c r="H20" s="1748" t="s">
        <v>969</v>
      </c>
      <c r="I20" s="1742" t="s">
        <v>35</v>
      </c>
      <c r="J20" s="1733" t="s">
        <v>36</v>
      </c>
      <c r="K20" s="1740" t="s">
        <v>76</v>
      </c>
      <c r="L20" s="1804"/>
      <c r="M20" s="1804" t="s">
        <v>284</v>
      </c>
      <c r="N20" s="1744" t="s">
        <v>2058</v>
      </c>
      <c r="O20" s="1748" t="s">
        <v>40</v>
      </c>
      <c r="P20" s="1401"/>
      <c r="Q20" s="1401">
        <f t="shared" ref="Q20:Q22" si="6">IF((S20-T20)&gt;=8,R20*6,IF(AND((S20-T20)&lt;8,(S20-T20)&gt;=4),R20*3,0))</f>
        <v>0</v>
      </c>
      <c r="R20" s="1401">
        <v>500000</v>
      </c>
      <c r="S20" s="1778">
        <f>(G20-1350)/100</f>
        <v>3.5</v>
      </c>
      <c r="T20" s="1403"/>
      <c r="U20" s="1758"/>
      <c r="V20" s="1472">
        <f t="shared" si="1"/>
        <v>1750000</v>
      </c>
      <c r="W20" s="1431">
        <f t="shared" si="5"/>
        <v>1750000</v>
      </c>
      <c r="X20" s="1417"/>
      <c r="Y20" s="1431">
        <f>(Q20+((S20-0)*R20))*((100-P20)/100)</f>
        <v>1750000</v>
      </c>
      <c r="Z20" s="1417"/>
      <c r="AA20" s="1419"/>
      <c r="AB20" s="1419"/>
      <c r="AC20" s="1419"/>
      <c r="AD20" s="1419"/>
      <c r="AE20" s="1419"/>
      <c r="AF20" s="1419"/>
    </row>
    <row r="21" spans="1:32" s="1420" customFormat="1" ht="13">
      <c r="A21" s="1427"/>
      <c r="B21" s="1803">
        <v>15</v>
      </c>
      <c r="C21" s="1747" t="s">
        <v>2059</v>
      </c>
      <c r="D21" s="1748" t="s">
        <v>43</v>
      </c>
      <c r="E21" s="1748" t="s">
        <v>2060</v>
      </c>
      <c r="F21" s="1749">
        <v>930</v>
      </c>
      <c r="G21" s="1749">
        <v>1100</v>
      </c>
      <c r="H21" s="1748" t="s">
        <v>2061</v>
      </c>
      <c r="I21" s="1742" t="s">
        <v>35</v>
      </c>
      <c r="J21" s="1733" t="s">
        <v>36</v>
      </c>
      <c r="K21" s="1740" t="s">
        <v>133</v>
      </c>
      <c r="L21" s="1804" t="s">
        <v>2062</v>
      </c>
      <c r="M21" s="1804" t="s">
        <v>47</v>
      </c>
      <c r="N21" s="1744" t="s">
        <v>2063</v>
      </c>
      <c r="O21" s="1748" t="s">
        <v>40</v>
      </c>
      <c r="P21" s="1758"/>
      <c r="Q21" s="1401">
        <f t="shared" si="6"/>
        <v>0</v>
      </c>
      <c r="R21" s="1401">
        <v>500000</v>
      </c>
      <c r="S21" s="1778">
        <f>(G21-950)/100</f>
        <v>1.5</v>
      </c>
      <c r="T21" s="1403">
        <v>1.5</v>
      </c>
      <c r="U21" s="1758"/>
      <c r="V21" s="1401">
        <f t="shared" si="1"/>
        <v>750000</v>
      </c>
      <c r="W21" s="1402">
        <f t="shared" si="5"/>
        <v>0</v>
      </c>
      <c r="X21" s="1417"/>
      <c r="Y21" s="1418"/>
      <c r="Z21" s="1417"/>
      <c r="AA21" s="1419"/>
      <c r="AB21" s="1419"/>
      <c r="AC21" s="1419"/>
      <c r="AD21" s="1419"/>
      <c r="AE21" s="1419"/>
      <c r="AF21" s="1419"/>
    </row>
    <row r="22" spans="1:32" s="1466" customFormat="1" hidden="1">
      <c r="A22" s="1802"/>
      <c r="B22" s="1803">
        <v>16</v>
      </c>
      <c r="C22" s="1747" t="s">
        <v>2064</v>
      </c>
      <c r="D22" s="1748" t="s">
        <v>43</v>
      </c>
      <c r="E22" s="1748" t="s">
        <v>2065</v>
      </c>
      <c r="F22" s="1749">
        <v>900</v>
      </c>
      <c r="G22" s="1749">
        <v>1800</v>
      </c>
      <c r="H22" s="1748" t="s">
        <v>1132</v>
      </c>
      <c r="I22" s="1742" t="s">
        <v>35</v>
      </c>
      <c r="J22" s="1733" t="s">
        <v>36</v>
      </c>
      <c r="K22" s="1740" t="s">
        <v>76</v>
      </c>
      <c r="L22" s="1804"/>
      <c r="M22" s="1804" t="s">
        <v>1221</v>
      </c>
      <c r="N22" s="1744" t="s">
        <v>2066</v>
      </c>
      <c r="O22" s="1748" t="s">
        <v>40</v>
      </c>
      <c r="P22" s="1809"/>
      <c r="Q22" s="1401">
        <f t="shared" si="6"/>
        <v>1500000</v>
      </c>
      <c r="R22" s="1401">
        <v>500000</v>
      </c>
      <c r="S22" s="1778">
        <f t="shared" si="2"/>
        <v>9</v>
      </c>
      <c r="T22" s="1403">
        <v>5</v>
      </c>
      <c r="U22" s="1747"/>
      <c r="V22" s="1453">
        <f t="shared" si="1"/>
        <v>4500000</v>
      </c>
      <c r="W22" s="1431">
        <f>(Q22+(((S22-T22)-4)*R22))*((100-P22)/100)</f>
        <v>1500000</v>
      </c>
      <c r="X22" s="1805"/>
      <c r="Y22" s="1810"/>
      <c r="Z22" s="1805"/>
      <c r="AA22" s="1807"/>
      <c r="AB22" s="1807"/>
      <c r="AC22" s="1807"/>
      <c r="AD22" s="1807"/>
      <c r="AE22" s="1807"/>
      <c r="AF22" s="1807"/>
    </row>
    <row r="23" spans="1:32" s="1420" customFormat="1" ht="13" hidden="1">
      <c r="A23" s="1427"/>
      <c r="B23" s="1360">
        <v>17</v>
      </c>
      <c r="C23" s="1540" t="s">
        <v>2067</v>
      </c>
      <c r="D23" s="1745" t="s">
        <v>43</v>
      </c>
      <c r="E23" s="1764" t="s">
        <v>2068</v>
      </c>
      <c r="F23" s="1765">
        <v>900</v>
      </c>
      <c r="G23" s="1766">
        <v>1800</v>
      </c>
      <c r="H23" s="1767" t="s">
        <v>1132</v>
      </c>
      <c r="I23" s="1742" t="s">
        <v>35</v>
      </c>
      <c r="J23" s="1733" t="s">
        <v>36</v>
      </c>
      <c r="K23" s="1740" t="s">
        <v>76</v>
      </c>
      <c r="L23" s="1768"/>
      <c r="M23" s="1768" t="s">
        <v>1221</v>
      </c>
      <c r="N23" s="1769" t="s">
        <v>2069</v>
      </c>
      <c r="O23" s="1767" t="s">
        <v>174</v>
      </c>
      <c r="P23" s="1480"/>
      <c r="Q23" s="1770">
        <f>R23*6</f>
        <v>0</v>
      </c>
      <c r="R23" s="1500"/>
      <c r="S23" s="1771">
        <f t="shared" si="2"/>
        <v>9</v>
      </c>
      <c r="T23" s="1772"/>
      <c r="U23" s="1780"/>
      <c r="V23" s="1500">
        <f t="shared" si="1"/>
        <v>0</v>
      </c>
      <c r="W23" s="1779">
        <f>(Q23+((S23-8)*R23))*((100-P23)/100)</f>
        <v>0</v>
      </c>
      <c r="X23" s="1419"/>
      <c r="Y23" s="1440">
        <f>(Q23+((S23-0)*R23))*((100-P23)/100)</f>
        <v>0</v>
      </c>
      <c r="Z23" s="1419"/>
      <c r="AA23" s="1419"/>
      <c r="AB23" s="1419"/>
      <c r="AC23" s="1419"/>
      <c r="AD23" s="1419"/>
      <c r="AE23" s="1419"/>
      <c r="AF23" s="1419"/>
    </row>
    <row r="24" spans="1:32" s="1420" customFormat="1" ht="13">
      <c r="A24" s="1434"/>
      <c r="B24" s="1803">
        <v>18</v>
      </c>
      <c r="C24" s="1747" t="s">
        <v>2070</v>
      </c>
      <c r="D24" s="1748" t="s">
        <v>32</v>
      </c>
      <c r="E24" s="1748" t="s">
        <v>2060</v>
      </c>
      <c r="F24" s="1749">
        <v>1400</v>
      </c>
      <c r="G24" s="1749">
        <v>1700</v>
      </c>
      <c r="H24" s="1748" t="s">
        <v>2071</v>
      </c>
      <c r="I24" s="1742" t="s">
        <v>35</v>
      </c>
      <c r="J24" s="1733" t="s">
        <v>36</v>
      </c>
      <c r="K24" s="1740" t="s">
        <v>100</v>
      </c>
      <c r="L24" s="1804" t="s">
        <v>2072</v>
      </c>
      <c r="M24" s="1804" t="s">
        <v>47</v>
      </c>
      <c r="N24" s="1744" t="s">
        <v>2073</v>
      </c>
      <c r="O24" s="1748" t="s">
        <v>40</v>
      </c>
      <c r="P24" s="1401"/>
      <c r="Q24" s="1401">
        <f t="shared" ref="Q24:Q87" si="7">IF((S24-T24)&gt;=8,R24*6,IF(AND((S24-T24)&lt;8,(S24-T24)&gt;=4),R24*3,0))</f>
        <v>0</v>
      </c>
      <c r="R24" s="1402">
        <v>950000</v>
      </c>
      <c r="S24" s="1778">
        <f t="shared" si="2"/>
        <v>3</v>
      </c>
      <c r="T24" s="1403">
        <v>3</v>
      </c>
      <c r="U24" s="1753"/>
      <c r="V24" s="1401">
        <f t="shared" si="1"/>
        <v>2850000</v>
      </c>
      <c r="W24" s="1402">
        <f>(Q24+(((S24-T24)-0)*R24))*((100-P24)/100)</f>
        <v>0</v>
      </c>
      <c r="X24" s="1419"/>
      <c r="Y24" s="1419"/>
      <c r="Z24" s="1419"/>
      <c r="AA24" s="1419"/>
      <c r="AB24" s="1419"/>
      <c r="AC24" s="1419"/>
      <c r="AD24" s="1419"/>
      <c r="AE24" s="1419"/>
      <c r="AF24" s="1419"/>
    </row>
    <row r="25" spans="1:32" s="1808" customFormat="1" ht="13" hidden="1">
      <c r="A25" s="1811"/>
      <c r="B25" s="1763">
        <v>19</v>
      </c>
      <c r="C25" s="1758" t="s">
        <v>2074</v>
      </c>
      <c r="D25" s="1748" t="s">
        <v>32</v>
      </c>
      <c r="E25" s="1759" t="s">
        <v>2075</v>
      </c>
      <c r="F25" s="1760">
        <v>1600</v>
      </c>
      <c r="G25" s="1760">
        <v>1730</v>
      </c>
      <c r="H25" s="1755" t="s">
        <v>1132</v>
      </c>
      <c r="I25" s="1742" t="s">
        <v>35</v>
      </c>
      <c r="J25" s="1733" t="s">
        <v>36</v>
      </c>
      <c r="K25" s="1734" t="s">
        <v>167</v>
      </c>
      <c r="L25" s="1755"/>
      <c r="M25" s="1813" t="s">
        <v>1221</v>
      </c>
      <c r="N25" s="1829" t="s">
        <v>2076</v>
      </c>
      <c r="O25" s="1755" t="s">
        <v>40</v>
      </c>
      <c r="P25" s="1747"/>
      <c r="Q25" s="1401">
        <f t="shared" si="7"/>
        <v>0</v>
      </c>
      <c r="R25" s="1402">
        <v>950000</v>
      </c>
      <c r="S25" s="1778">
        <f>(1750-F25)/100</f>
        <v>1.5</v>
      </c>
      <c r="T25" s="1403"/>
      <c r="U25" s="1814"/>
      <c r="V25" s="1453">
        <f t="shared" si="1"/>
        <v>1425000</v>
      </c>
      <c r="W25" s="1431">
        <f>(Q25+(((S25-T25)-0)*R25))*((100-P25)/100)</f>
        <v>1425000</v>
      </c>
      <c r="X25" s="1807"/>
      <c r="Y25" s="1440">
        <f>(Q25+((S25-0)*R25))*((100-P25)/100)</f>
        <v>1425000</v>
      </c>
      <c r="Z25" s="1807"/>
      <c r="AA25" s="1807"/>
      <c r="AB25" s="1807"/>
      <c r="AC25" s="1807"/>
      <c r="AD25" s="1807"/>
      <c r="AE25" s="1807"/>
      <c r="AF25" s="1807"/>
    </row>
    <row r="26" spans="1:32" s="1808" customFormat="1" ht="13" hidden="1">
      <c r="A26" s="1390"/>
      <c r="B26" s="1803">
        <v>20</v>
      </c>
      <c r="C26" s="1747" t="s">
        <v>2077</v>
      </c>
      <c r="D26" s="1748" t="s">
        <v>32</v>
      </c>
      <c r="E26" s="1748" t="s">
        <v>2078</v>
      </c>
      <c r="F26" s="1749">
        <v>1600</v>
      </c>
      <c r="G26" s="1749">
        <v>1730</v>
      </c>
      <c r="H26" s="1748" t="s">
        <v>1132</v>
      </c>
      <c r="I26" s="1742" t="s">
        <v>35</v>
      </c>
      <c r="J26" s="1733" t="s">
        <v>36</v>
      </c>
      <c r="K26" s="1740" t="s">
        <v>167</v>
      </c>
      <c r="L26" s="1755"/>
      <c r="M26" s="1804" t="s">
        <v>1221</v>
      </c>
      <c r="N26" s="1744" t="s">
        <v>2079</v>
      </c>
      <c r="O26" s="1748" t="s">
        <v>40</v>
      </c>
      <c r="P26" s="1758"/>
      <c r="Q26" s="1401">
        <f t="shared" si="7"/>
        <v>0</v>
      </c>
      <c r="R26" s="1402">
        <v>950000</v>
      </c>
      <c r="S26" s="1778">
        <f>(1750-F26)/100</f>
        <v>1.5</v>
      </c>
      <c r="T26" s="1403"/>
      <c r="U26" s="1758"/>
      <c r="V26" s="1401">
        <f t="shared" si="1"/>
        <v>1425000</v>
      </c>
      <c r="W26" s="1431">
        <f t="shared" ref="W26:W28" si="8">(Q26+(((S26-T26)-0)*R26))*((100-P26)/100)</f>
        <v>1425000</v>
      </c>
      <c r="X26" s="1805"/>
      <c r="Y26" s="1810"/>
      <c r="Z26" s="1805"/>
      <c r="AA26" s="1807"/>
      <c r="AB26" s="1807"/>
      <c r="AC26" s="1807"/>
      <c r="AD26" s="1807"/>
      <c r="AE26" s="1807"/>
      <c r="AF26" s="1807"/>
    </row>
    <row r="27" spans="1:32" s="1817" customFormat="1" ht="13" hidden="1">
      <c r="A27" s="1812"/>
      <c r="B27" s="1803">
        <v>21</v>
      </c>
      <c r="C27" s="1747" t="s">
        <v>2080</v>
      </c>
      <c r="D27" s="1748" t="s">
        <v>32</v>
      </c>
      <c r="E27" s="1748" t="s">
        <v>2078</v>
      </c>
      <c r="F27" s="1749">
        <v>1000</v>
      </c>
      <c r="G27" s="1749">
        <v>1200</v>
      </c>
      <c r="H27" s="1748" t="s">
        <v>1132</v>
      </c>
      <c r="I27" s="1742" t="s">
        <v>35</v>
      </c>
      <c r="J27" s="1733" t="s">
        <v>36</v>
      </c>
      <c r="K27" s="1740" t="s">
        <v>167</v>
      </c>
      <c r="L27" s="1755"/>
      <c r="M27" s="1804" t="s">
        <v>1221</v>
      </c>
      <c r="N27" s="1744" t="s">
        <v>2081</v>
      </c>
      <c r="O27" s="1748" t="s">
        <v>40</v>
      </c>
      <c r="P27" s="1401"/>
      <c r="Q27" s="1401">
        <f t="shared" si="7"/>
        <v>0</v>
      </c>
      <c r="R27" s="1402">
        <v>950000</v>
      </c>
      <c r="S27" s="1778">
        <f t="shared" si="2"/>
        <v>2</v>
      </c>
      <c r="T27" s="1403"/>
      <c r="U27" s="1815"/>
      <c r="V27" s="1401">
        <f t="shared" si="1"/>
        <v>1900000</v>
      </c>
      <c r="W27" s="1431">
        <f t="shared" si="8"/>
        <v>1900000</v>
      </c>
      <c r="X27" s="1816"/>
      <c r="Y27" s="1431">
        <f>(Q27+((S27-0)*R27))*((100-P27)/100)</f>
        <v>1900000</v>
      </c>
      <c r="Z27" s="1816"/>
      <c r="AA27" s="1816"/>
      <c r="AB27" s="1816"/>
      <c r="AC27" s="1816"/>
      <c r="AD27" s="1816"/>
      <c r="AE27" s="1816"/>
      <c r="AF27" s="1816"/>
    </row>
    <row r="28" spans="1:32" s="1817" customFormat="1" ht="13" hidden="1">
      <c r="A28" s="1390"/>
      <c r="B28" s="1803">
        <v>22</v>
      </c>
      <c r="C28" s="1747" t="s">
        <v>2082</v>
      </c>
      <c r="D28" s="1748" t="s">
        <v>32</v>
      </c>
      <c r="E28" s="1748" t="s">
        <v>2065</v>
      </c>
      <c r="F28" s="1749">
        <v>1600</v>
      </c>
      <c r="G28" s="1749">
        <v>1730</v>
      </c>
      <c r="H28" s="1748" t="s">
        <v>1132</v>
      </c>
      <c r="I28" s="1742" t="s">
        <v>35</v>
      </c>
      <c r="J28" s="1733" t="s">
        <v>36</v>
      </c>
      <c r="K28" s="1740" t="s">
        <v>167</v>
      </c>
      <c r="L28" s="1755"/>
      <c r="M28" s="1804" t="s">
        <v>1221</v>
      </c>
      <c r="N28" s="1744" t="s">
        <v>2083</v>
      </c>
      <c r="O28" s="1748" t="s">
        <v>40</v>
      </c>
      <c r="P28" s="1401"/>
      <c r="Q28" s="1401">
        <f t="shared" si="7"/>
        <v>0</v>
      </c>
      <c r="R28" s="1402">
        <v>950000</v>
      </c>
      <c r="S28" s="1778">
        <f>(1750-F28)/100</f>
        <v>1.5</v>
      </c>
      <c r="T28" s="1403"/>
      <c r="U28" s="1758"/>
      <c r="V28" s="1401">
        <f t="shared" si="1"/>
        <v>1425000</v>
      </c>
      <c r="W28" s="1431">
        <f t="shared" si="8"/>
        <v>1425000</v>
      </c>
      <c r="X28" s="1805"/>
      <c r="Y28" s="1810"/>
      <c r="Z28" s="1805"/>
      <c r="AA28" s="1807"/>
      <c r="AB28" s="1807"/>
      <c r="AC28" s="1807"/>
      <c r="AD28" s="1807"/>
      <c r="AE28" s="1807"/>
      <c r="AF28" s="1807"/>
    </row>
    <row r="29" spans="1:32" s="1492" customFormat="1" ht="13" hidden="1">
      <c r="A29" s="1497"/>
      <c r="B29" s="1360">
        <v>23</v>
      </c>
      <c r="C29" s="1540" t="s">
        <v>2084</v>
      </c>
      <c r="D29" s="1745" t="s">
        <v>32</v>
      </c>
      <c r="E29" s="1764" t="s">
        <v>2048</v>
      </c>
      <c r="F29" s="1765">
        <v>900</v>
      </c>
      <c r="G29" s="1765">
        <v>1730</v>
      </c>
      <c r="H29" s="1745" t="s">
        <v>2054</v>
      </c>
      <c r="I29" s="1733" t="s">
        <v>35</v>
      </c>
      <c r="J29" s="1733" t="s">
        <v>36</v>
      </c>
      <c r="K29" s="1740" t="s">
        <v>37</v>
      </c>
      <c r="L29" s="1773"/>
      <c r="M29" s="1768" t="s">
        <v>112</v>
      </c>
      <c r="N29" s="1769">
        <v>45445.440081018518</v>
      </c>
      <c r="O29" s="1767" t="s">
        <v>174</v>
      </c>
      <c r="P29" s="1774"/>
      <c r="Q29" s="1775"/>
      <c r="R29" s="1500"/>
      <c r="S29" s="1771">
        <f>(1750-F29)/100</f>
        <v>8.5</v>
      </c>
      <c r="T29" s="1772"/>
      <c r="U29" s="1718"/>
      <c r="V29" s="1500">
        <f t="shared" si="1"/>
        <v>0</v>
      </c>
      <c r="W29" s="1732">
        <f>(Q29+((S29-4)*R29))*((100-P29)/100)</f>
        <v>0</v>
      </c>
      <c r="X29" s="1417"/>
      <c r="Y29" s="1418"/>
      <c r="Z29" s="1417"/>
      <c r="AA29" s="1491"/>
      <c r="AB29" s="1491"/>
      <c r="AC29" s="1491"/>
      <c r="AD29" s="1491"/>
      <c r="AE29" s="1491"/>
      <c r="AF29" s="1491"/>
    </row>
    <row r="30" spans="1:32" s="1466" customFormat="1" ht="13" hidden="1">
      <c r="A30" s="1390"/>
      <c r="B30" s="1803"/>
      <c r="C30" s="1747" t="s">
        <v>197</v>
      </c>
      <c r="D30" s="1748" t="s">
        <v>198</v>
      </c>
      <c r="E30" s="1748" t="s">
        <v>2053</v>
      </c>
      <c r="F30" s="1749">
        <v>900</v>
      </c>
      <c r="G30" s="1749">
        <v>1730</v>
      </c>
      <c r="H30" s="1748" t="s">
        <v>2085</v>
      </c>
      <c r="I30" s="1742"/>
      <c r="J30" s="1733"/>
      <c r="K30" s="1740"/>
      <c r="L30" s="1818" t="s">
        <v>2086</v>
      </c>
      <c r="M30" s="1804" t="s">
        <v>1221</v>
      </c>
      <c r="N30" s="1744"/>
      <c r="O30" s="1748" t="s">
        <v>40</v>
      </c>
      <c r="P30" s="1401"/>
      <c r="Q30" s="1401">
        <f t="shared" si="7"/>
        <v>13200000</v>
      </c>
      <c r="R30" s="1401">
        <v>2200000</v>
      </c>
      <c r="S30" s="1403">
        <f t="shared" si="2"/>
        <v>8.3000000000000007</v>
      </c>
      <c r="T30" s="1403"/>
      <c r="U30" s="1819"/>
      <c r="V30" s="1401">
        <f t="shared" si="1"/>
        <v>18260000</v>
      </c>
      <c r="W30" s="1431">
        <f>(Q30+(((S30-T30)-8)*R30))*((100-P30)/100)</f>
        <v>13860000.000000002</v>
      </c>
      <c r="X30" s="1807"/>
      <c r="Y30" s="1820">
        <f>W30*((100-P30)/100)</f>
        <v>13860000.000000002</v>
      </c>
      <c r="Z30" s="1807"/>
      <c r="AA30" s="1807"/>
      <c r="AB30" s="1807"/>
      <c r="AC30" s="1807"/>
      <c r="AD30" s="1807"/>
      <c r="AE30" s="1807"/>
      <c r="AF30" s="1807"/>
    </row>
    <row r="31" spans="1:32" s="1808" customFormat="1" ht="13" hidden="1">
      <c r="A31" s="1390"/>
      <c r="B31" s="1802"/>
      <c r="C31" s="1747" t="s">
        <v>197</v>
      </c>
      <c r="D31" s="1748" t="s">
        <v>198</v>
      </c>
      <c r="E31" s="1617" t="s">
        <v>2048</v>
      </c>
      <c r="F31" s="1619">
        <v>1000</v>
      </c>
      <c r="G31" s="1619">
        <v>1400</v>
      </c>
      <c r="H31" s="1540" t="s">
        <v>1297</v>
      </c>
      <c r="I31" s="1364"/>
      <c r="J31" s="1364"/>
      <c r="K31" s="1456"/>
      <c r="L31" s="1821" t="s">
        <v>2087</v>
      </c>
      <c r="M31" s="1804" t="s">
        <v>1221</v>
      </c>
      <c r="N31" s="1477"/>
      <c r="O31" s="1748" t="s">
        <v>40</v>
      </c>
      <c r="P31" s="1591"/>
      <c r="Q31" s="1401">
        <f t="shared" si="7"/>
        <v>6600000</v>
      </c>
      <c r="R31" s="1401">
        <v>2200000</v>
      </c>
      <c r="S31" s="1746">
        <f t="shared" si="2"/>
        <v>4</v>
      </c>
      <c r="T31" s="1776"/>
      <c r="U31" s="1822"/>
      <c r="V31" s="1479">
        <f t="shared" si="1"/>
        <v>8800000</v>
      </c>
      <c r="W31" s="1431">
        <f>(Q31+(((S31-T31)-4)*R31))*((100-P31)/100)</f>
        <v>6600000</v>
      </c>
      <c r="X31" s="1805"/>
      <c r="Y31" s="1810"/>
      <c r="Z31" s="1805"/>
      <c r="AA31" s="1807"/>
      <c r="AB31" s="1807"/>
      <c r="AC31" s="1807"/>
      <c r="AD31" s="1807"/>
      <c r="AE31" s="1807"/>
      <c r="AF31" s="1807"/>
    </row>
    <row r="32" spans="1:32" s="1420" customFormat="1" hidden="1">
      <c r="A32" s="1497"/>
      <c r="B32" s="1359"/>
      <c r="C32" s="1393"/>
      <c r="D32" s="1362"/>
      <c r="E32" s="1483"/>
      <c r="F32" s="1484"/>
      <c r="G32" s="1485"/>
      <c r="H32" s="1399"/>
      <c r="I32" s="1469"/>
      <c r="J32" s="1364"/>
      <c r="K32" s="1394"/>
      <c r="L32" s="1513"/>
      <c r="M32" s="1514"/>
      <c r="N32" s="1515"/>
      <c r="O32" s="1513"/>
      <c r="P32" s="1513"/>
      <c r="Q32" s="1401">
        <f t="shared" si="7"/>
        <v>0</v>
      </c>
      <c r="R32" s="1495"/>
      <c r="S32" s="1430">
        <f t="shared" si="2"/>
        <v>0</v>
      </c>
      <c r="T32" s="1403"/>
      <c r="U32" s="1717"/>
      <c r="V32" s="1401">
        <f t="shared" si="1"/>
        <v>0</v>
      </c>
      <c r="W32" s="1488">
        <f>(Q32+((S32-0)*R32))*((100-P32)/100)</f>
        <v>0</v>
      </c>
      <c r="X32" s="1419"/>
      <c r="Y32" s="1440">
        <f>(Q32+((S32-0)*R32))*((100-P32)/100)</f>
        <v>0</v>
      </c>
      <c r="Z32" s="1419"/>
      <c r="AA32" s="1419"/>
      <c r="AB32" s="1419"/>
      <c r="AC32" s="1419"/>
      <c r="AD32" s="1419"/>
      <c r="AE32" s="1419"/>
      <c r="AF32" s="1419"/>
    </row>
    <row r="33" spans="1:32" s="1420" customFormat="1" ht="13" hidden="1">
      <c r="A33" s="1359"/>
      <c r="B33" s="1360"/>
      <c r="C33" s="1361"/>
      <c r="D33" s="1362"/>
      <c r="E33" s="1361"/>
      <c r="F33" s="1363"/>
      <c r="G33" s="1363"/>
      <c r="H33" s="1408"/>
      <c r="I33" s="1364"/>
      <c r="J33" s="1364"/>
      <c r="K33" s="1456"/>
      <c r="L33" s="1399"/>
      <c r="M33" s="1470"/>
      <c r="N33" s="1471"/>
      <c r="O33" s="1468"/>
      <c r="P33" s="1498"/>
      <c r="Q33" s="1401">
        <f t="shared" si="7"/>
        <v>0</v>
      </c>
      <c r="R33" s="1401"/>
      <c r="S33" s="1430">
        <f t="shared" si="2"/>
        <v>0</v>
      </c>
      <c r="T33" s="1403"/>
      <c r="U33" s="1719"/>
      <c r="V33" s="1414">
        <f t="shared" si="1"/>
        <v>0</v>
      </c>
      <c r="W33" s="1459">
        <f>(Q33+((S33-0)*R33))*((100-P33)/100)</f>
        <v>0</v>
      </c>
      <c r="X33" s="1491"/>
      <c r="Y33" s="1491"/>
      <c r="Z33" s="1491"/>
      <c r="AA33" s="1491"/>
      <c r="AB33" s="1491"/>
      <c r="AC33" s="1491"/>
      <c r="AD33" s="1491"/>
      <c r="AE33" s="1491"/>
      <c r="AF33" s="1491"/>
    </row>
    <row r="34" spans="1:32" s="1420" customFormat="1" ht="13" hidden="1">
      <c r="A34" s="1377"/>
      <c r="B34" s="1377"/>
      <c r="C34" s="1378"/>
      <c r="D34" s="1379"/>
      <c r="E34" s="1378"/>
      <c r="F34" s="1380"/>
      <c r="G34" s="1380"/>
      <c r="H34" s="1381"/>
      <c r="I34" s="1364"/>
      <c r="J34" s="1364"/>
      <c r="K34" s="1361"/>
      <c r="L34" s="1518"/>
      <c r="M34" s="1519"/>
      <c r="N34" s="1520"/>
      <c r="O34" s="1521"/>
      <c r="P34" s="1522"/>
      <c r="Q34" s="1401">
        <f t="shared" si="7"/>
        <v>0</v>
      </c>
      <c r="R34" s="1524"/>
      <c r="S34" s="1430">
        <f t="shared" si="2"/>
        <v>0</v>
      </c>
      <c r="T34" s="1403"/>
      <c r="U34" s="1720"/>
      <c r="V34" s="1526">
        <f t="shared" si="1"/>
        <v>0</v>
      </c>
      <c r="W34" s="1527">
        <f>(Q34+((S34-0)*R34))*((100-P34)/100)</f>
        <v>0</v>
      </c>
      <c r="X34" s="1528"/>
      <c r="Y34" s="1529"/>
      <c r="Z34" s="1528"/>
      <c r="AA34" s="1466"/>
      <c r="AB34" s="1466"/>
      <c r="AC34" s="1466"/>
      <c r="AD34" s="1466"/>
      <c r="AE34" s="1466"/>
      <c r="AF34" s="1466"/>
    </row>
    <row r="35" spans="1:32" s="1420" customFormat="1" hidden="1">
      <c r="A35" s="1359"/>
      <c r="B35" s="1359"/>
      <c r="C35" s="1393"/>
      <c r="D35" s="1362"/>
      <c r="E35" s="1393"/>
      <c r="F35" s="1484"/>
      <c r="G35" s="1485"/>
      <c r="H35" s="1399"/>
      <c r="I35" s="1469"/>
      <c r="J35" s="1364"/>
      <c r="K35" s="1394"/>
      <c r="L35" s="1513"/>
      <c r="M35" s="1514"/>
      <c r="N35" s="1515"/>
      <c r="O35" s="1513"/>
      <c r="P35" s="1513"/>
      <c r="Q35" s="1401">
        <f t="shared" si="7"/>
        <v>0</v>
      </c>
      <c r="R35" s="1495"/>
      <c r="S35" s="1430">
        <f t="shared" si="2"/>
        <v>0</v>
      </c>
      <c r="T35" s="1403"/>
      <c r="U35" s="1717"/>
      <c r="V35" s="1401">
        <f t="shared" si="1"/>
        <v>0</v>
      </c>
      <c r="W35" s="1404">
        <f>Q35+((S35-0)*R35)</f>
        <v>0</v>
      </c>
      <c r="X35" s="1419"/>
      <c r="Y35" s="1440">
        <f>(Q35+((S35-0)*R35))*((100-P35)/100)</f>
        <v>0</v>
      </c>
      <c r="Z35" s="1419"/>
      <c r="AA35" s="1419"/>
      <c r="AB35" s="1419"/>
      <c r="AC35" s="1419"/>
      <c r="AD35" s="1419"/>
      <c r="AE35" s="1419"/>
      <c r="AF35" s="1419"/>
    </row>
    <row r="36" spans="1:32" s="1420" customFormat="1" hidden="1">
      <c r="A36" s="1360"/>
      <c r="B36" s="1359"/>
      <c r="C36" s="1393"/>
      <c r="D36" s="1362"/>
      <c r="E36" s="1393"/>
      <c r="F36" s="1484"/>
      <c r="G36" s="1484"/>
      <c r="H36" s="1409"/>
      <c r="I36" s="1364"/>
      <c r="J36" s="1364"/>
      <c r="K36" s="1394"/>
      <c r="L36" s="1399"/>
      <c r="M36" s="1531"/>
      <c r="N36" s="1486"/>
      <c r="O36" s="1399"/>
      <c r="P36" s="1468"/>
      <c r="Q36" s="1401">
        <f t="shared" si="7"/>
        <v>0</v>
      </c>
      <c r="R36" s="1401"/>
      <c r="S36" s="1430">
        <f t="shared" si="2"/>
        <v>0</v>
      </c>
      <c r="T36" s="1403"/>
      <c r="U36" s="1721"/>
      <c r="V36" s="1533">
        <f t="shared" si="1"/>
        <v>0</v>
      </c>
      <c r="W36" s="1465">
        <f>(Q36+((S36-4)*R36))*((100-P36)/100)</f>
        <v>0</v>
      </c>
      <c r="X36" s="1419"/>
      <c r="Y36" s="1419"/>
      <c r="Z36" s="1419"/>
      <c r="AA36" s="1419"/>
      <c r="AB36" s="1419"/>
      <c r="AC36" s="1419"/>
      <c r="AD36" s="1419"/>
      <c r="AE36" s="1419"/>
      <c r="AF36" s="1419"/>
    </row>
    <row r="37" spans="1:32" s="1420" customFormat="1" ht="13" hidden="1">
      <c r="A37" s="1359"/>
      <c r="B37" s="1359"/>
      <c r="C37" s="1393"/>
      <c r="D37" s="1534"/>
      <c r="E37" s="1393"/>
      <c r="F37" s="1535"/>
      <c r="G37" s="1535"/>
      <c r="H37" s="1365"/>
      <c r="I37" s="1364"/>
      <c r="J37" s="1364"/>
      <c r="K37" s="1393"/>
      <c r="L37" s="1409"/>
      <c r="M37" s="1536"/>
      <c r="N37" s="1537"/>
      <c r="O37" s="1416"/>
      <c r="P37" s="1409"/>
      <c r="Q37" s="1401">
        <f t="shared" si="7"/>
        <v>0</v>
      </c>
      <c r="R37" s="1414"/>
      <c r="S37" s="1430">
        <f t="shared" si="2"/>
        <v>0</v>
      </c>
      <c r="T37" s="1403"/>
      <c r="U37" s="1722"/>
      <c r="V37" s="1369">
        <f t="shared" si="1"/>
        <v>0</v>
      </c>
      <c r="W37" s="1371">
        <f>(Q37+((S37-4)*R37))*((100-P37)/100)</f>
        <v>0</v>
      </c>
      <c r="X37" s="1417"/>
      <c r="Y37" s="1418"/>
      <c r="Z37" s="1417"/>
      <c r="AA37" s="1419"/>
      <c r="AB37" s="1419"/>
      <c r="AC37" s="1419"/>
      <c r="AD37" s="1419"/>
      <c r="AE37" s="1419"/>
      <c r="AF37" s="1419"/>
    </row>
    <row r="38" spans="1:32" s="1420" customFormat="1" ht="13" hidden="1">
      <c r="A38" s="1360"/>
      <c r="B38" s="1360"/>
      <c r="C38" s="1361"/>
      <c r="D38" s="1406"/>
      <c r="E38" s="1361"/>
      <c r="F38" s="1407"/>
      <c r="G38" s="1407"/>
      <c r="H38" s="1362"/>
      <c r="I38" s="1364"/>
      <c r="J38" s="1364"/>
      <c r="K38" s="1361"/>
      <c r="L38" s="1365"/>
      <c r="M38" s="1366"/>
      <c r="N38" s="1367"/>
      <c r="O38" s="1406"/>
      <c r="P38" s="1443"/>
      <c r="Q38" s="1401">
        <f t="shared" si="7"/>
        <v>0</v>
      </c>
      <c r="R38" s="1369"/>
      <c r="S38" s="1430">
        <f t="shared" si="2"/>
        <v>0</v>
      </c>
      <c r="T38" s="1403"/>
      <c r="U38" s="1704"/>
      <c r="V38" s="1439">
        <f t="shared" si="1"/>
        <v>0</v>
      </c>
      <c r="W38" s="1538">
        <f>Q38+R38*((S38*(100-P38)/100)-4)</f>
        <v>0</v>
      </c>
      <c r="X38" s="1417"/>
      <c r="Y38" s="1439">
        <f>(Q38+((S38-4)*R38))*((100-P38)/100)</f>
        <v>0</v>
      </c>
      <c r="Z38" s="1417"/>
      <c r="AA38" s="1419"/>
      <c r="AB38" s="1419"/>
      <c r="AC38" s="1419"/>
      <c r="AD38" s="1419"/>
      <c r="AE38" s="1419"/>
      <c r="AF38" s="1419"/>
    </row>
    <row r="39" spans="1:32" s="1420" customFormat="1" hidden="1">
      <c r="A39" s="1539"/>
      <c r="B39" s="1539"/>
      <c r="C39" s="1540"/>
      <c r="D39" s="1445"/>
      <c r="E39" s="1541"/>
      <c r="F39" s="1542"/>
      <c r="G39" s="1542"/>
      <c r="H39" s="1475"/>
      <c r="I39" s="1543"/>
      <c r="J39" s="1543"/>
      <c r="K39" s="1544"/>
      <c r="L39" s="1511"/>
      <c r="M39" s="1545"/>
      <c r="N39" s="1546"/>
      <c r="O39" s="1547"/>
      <c r="P39" s="1475"/>
      <c r="Q39" s="1401">
        <f t="shared" si="7"/>
        <v>0</v>
      </c>
      <c r="R39" s="1369"/>
      <c r="S39" s="1430">
        <f t="shared" si="2"/>
        <v>0</v>
      </c>
      <c r="T39" s="1403"/>
      <c r="U39" s="1723"/>
      <c r="V39" s="1446">
        <f t="shared" si="1"/>
        <v>0</v>
      </c>
      <c r="W39" s="1447">
        <f>(Q39+((S39-8)*R39))*((100-P39)/100)</f>
        <v>0</v>
      </c>
      <c r="X39" s="1417"/>
      <c r="Y39" s="1418"/>
      <c r="Z39" s="1417"/>
      <c r="AA39" s="1419"/>
      <c r="AB39" s="1419"/>
      <c r="AC39" s="1419"/>
      <c r="AD39" s="1419"/>
      <c r="AE39" s="1419"/>
      <c r="AF39" s="1419"/>
    </row>
    <row r="40" spans="1:32" s="1420" customFormat="1" hidden="1">
      <c r="A40" s="1359"/>
      <c r="B40" s="1359"/>
      <c r="C40" s="1393"/>
      <c r="D40" s="1362"/>
      <c r="E40" s="1393"/>
      <c r="F40" s="1484"/>
      <c r="G40" s="1484"/>
      <c r="H40" s="1365"/>
      <c r="I40" s="1364"/>
      <c r="J40" s="1364"/>
      <c r="K40" s="1393"/>
      <c r="L40" s="1365"/>
      <c r="M40" s="1548"/>
      <c r="N40" s="1549"/>
      <c r="O40" s="1365"/>
      <c r="P40" s="1365"/>
      <c r="Q40" s="1401">
        <f t="shared" si="7"/>
        <v>0</v>
      </c>
      <c r="R40" s="1369"/>
      <c r="S40" s="1430">
        <f t="shared" si="2"/>
        <v>0</v>
      </c>
      <c r="T40" s="1403"/>
      <c r="U40" s="1722"/>
      <c r="V40" s="1369">
        <f t="shared" si="1"/>
        <v>0</v>
      </c>
      <c r="W40" s="1371">
        <f>(Q40+((S40-0)*R40))*((100-P40)/100)</f>
        <v>0</v>
      </c>
      <c r="X40" s="1417"/>
      <c r="Y40" s="1440">
        <f>(Q40+((S40-4)*R40))*((100-P40)/100)</f>
        <v>0</v>
      </c>
      <c r="Z40" s="1417"/>
      <c r="AA40" s="1419"/>
      <c r="AB40" s="1419"/>
      <c r="AC40" s="1419"/>
      <c r="AD40" s="1419"/>
      <c r="AE40" s="1419"/>
      <c r="AF40" s="1419"/>
    </row>
    <row r="41" spans="1:32" s="1420" customFormat="1" hidden="1">
      <c r="A41" s="1359"/>
      <c r="B41" s="1359"/>
      <c r="C41" s="1393"/>
      <c r="D41" s="1406"/>
      <c r="E41" s="1393"/>
      <c r="F41" s="1535"/>
      <c r="G41" s="1535"/>
      <c r="H41" s="1365"/>
      <c r="I41" s="1550"/>
      <c r="J41" s="1543"/>
      <c r="K41" s="1393"/>
      <c r="L41" s="1551"/>
      <c r="M41" s="1548"/>
      <c r="N41" s="1549"/>
      <c r="O41" s="1534"/>
      <c r="P41" s="1365"/>
      <c r="Q41" s="1401">
        <f t="shared" si="7"/>
        <v>0</v>
      </c>
      <c r="R41" s="1369"/>
      <c r="S41" s="1430">
        <f t="shared" si="2"/>
        <v>0</v>
      </c>
      <c r="T41" s="1403"/>
      <c r="U41" s="1722"/>
      <c r="V41" s="1369">
        <f t="shared" si="1"/>
        <v>0</v>
      </c>
      <c r="W41" s="1371">
        <f>(Q41+((S41-4)*R41))*((100-P41)/100)</f>
        <v>0</v>
      </c>
      <c r="X41" s="1417"/>
      <c r="Y41" s="1418"/>
      <c r="Z41" s="1417"/>
      <c r="AA41" s="1419"/>
      <c r="AB41" s="1419"/>
      <c r="AC41" s="1419"/>
      <c r="AD41" s="1419"/>
      <c r="AE41" s="1419"/>
      <c r="AF41" s="1419"/>
    </row>
    <row r="42" spans="1:32" s="1420" customFormat="1" hidden="1">
      <c r="A42" s="1427"/>
      <c r="B42" s="1427"/>
      <c r="C42" s="1552"/>
      <c r="D42" s="1409"/>
      <c r="E42" s="1552"/>
      <c r="F42" s="1553"/>
      <c r="G42" s="1553"/>
      <c r="H42" s="1409"/>
      <c r="I42" s="1364"/>
      <c r="J42" s="1364"/>
      <c r="K42" s="1552"/>
      <c r="L42" s="1449"/>
      <c r="M42" s="1554"/>
      <c r="N42" s="1555"/>
      <c r="O42" s="1435"/>
      <c r="P42" s="1449"/>
      <c r="Q42" s="1401">
        <f t="shared" si="7"/>
        <v>0</v>
      </c>
      <c r="R42" s="1556"/>
      <c r="S42" s="1430">
        <f t="shared" si="2"/>
        <v>0</v>
      </c>
      <c r="T42" s="1403"/>
      <c r="U42" s="1700"/>
      <c r="V42" s="1414">
        <f t="shared" si="1"/>
        <v>0</v>
      </c>
      <c r="W42" s="1459">
        <f>(Q42+((S42-0)*R42))*((100-P42)/100)</f>
        <v>0</v>
      </c>
      <c r="X42" s="1417"/>
      <c r="Y42" s="1426"/>
      <c r="Z42" s="1417"/>
      <c r="AA42" s="1419"/>
      <c r="AB42" s="1419"/>
      <c r="AC42" s="1419"/>
      <c r="AD42" s="1419"/>
      <c r="AE42" s="1419"/>
      <c r="AF42" s="1419"/>
    </row>
    <row r="43" spans="1:32" s="1420" customFormat="1" hidden="1">
      <c r="A43" s="1427"/>
      <c r="B43" s="1427"/>
      <c r="C43" s="1552"/>
      <c r="D43" s="1408"/>
      <c r="E43" s="1552"/>
      <c r="F43" s="1553"/>
      <c r="G43" s="1553"/>
      <c r="H43" s="1409"/>
      <c r="I43" s="1536"/>
      <c r="J43" s="1536"/>
      <c r="K43" s="1557"/>
      <c r="L43" s="1399"/>
      <c r="M43" s="1531"/>
      <c r="N43" s="1486"/>
      <c r="O43" s="1399"/>
      <c r="P43" s="1399"/>
      <c r="Q43" s="1401">
        <f t="shared" si="7"/>
        <v>0</v>
      </c>
      <c r="R43" s="1401"/>
      <c r="S43" s="1430">
        <f t="shared" si="2"/>
        <v>0</v>
      </c>
      <c r="T43" s="1403"/>
      <c r="U43" s="1724"/>
      <c r="V43" s="1559">
        <f t="shared" si="1"/>
        <v>0</v>
      </c>
      <c r="W43" s="1501">
        <f>(Q43+((S43-0)*R43))*((100-P43)/100)</f>
        <v>0</v>
      </c>
      <c r="X43" s="1419"/>
      <c r="Y43" s="1419"/>
      <c r="Z43" s="1419"/>
      <c r="AA43" s="1419"/>
      <c r="AB43" s="1419"/>
      <c r="AC43" s="1419"/>
      <c r="AD43" s="1419"/>
      <c r="AE43" s="1419"/>
      <c r="AF43" s="1419"/>
    </row>
    <row r="44" spans="1:32" s="1420" customFormat="1" hidden="1">
      <c r="A44" s="1448"/>
      <c r="B44" s="1434"/>
      <c r="C44" s="1560"/>
      <c r="D44" s="1460"/>
      <c r="E44" s="1560"/>
      <c r="F44" s="1561"/>
      <c r="G44" s="1561"/>
      <c r="H44" s="1449"/>
      <c r="I44" s="1562"/>
      <c r="J44" s="1562"/>
      <c r="K44" s="1563"/>
      <c r="L44" s="1399"/>
      <c r="M44" s="1531"/>
      <c r="N44" s="1486"/>
      <c r="O44" s="1399"/>
      <c r="P44" s="1468"/>
      <c r="Q44" s="1401">
        <f t="shared" si="7"/>
        <v>0</v>
      </c>
      <c r="R44" s="1401"/>
      <c r="S44" s="1430">
        <f t="shared" si="2"/>
        <v>0</v>
      </c>
      <c r="T44" s="1403"/>
      <c r="U44" s="1725"/>
      <c r="V44" s="1565">
        <f t="shared" si="1"/>
        <v>0</v>
      </c>
      <c r="W44" s="1566">
        <f>V44</f>
        <v>0</v>
      </c>
      <c r="X44" s="1419"/>
      <c r="Y44" s="1419"/>
      <c r="Z44" s="1419"/>
      <c r="AA44" s="1419"/>
      <c r="AB44" s="1419"/>
      <c r="AC44" s="1419"/>
      <c r="AD44" s="1419"/>
      <c r="AE44" s="1419"/>
      <c r="AF44" s="1419"/>
    </row>
    <row r="45" spans="1:32" s="1420" customFormat="1" hidden="1">
      <c r="A45" s="1359"/>
      <c r="B45" s="1359"/>
      <c r="C45" s="1393"/>
      <c r="D45" s="1362"/>
      <c r="E45" s="1393"/>
      <c r="F45" s="1484"/>
      <c r="G45" s="1484"/>
      <c r="H45" s="1365"/>
      <c r="I45" s="1364"/>
      <c r="J45" s="1364"/>
      <c r="K45" s="1394"/>
      <c r="L45" s="1399"/>
      <c r="M45" s="1531"/>
      <c r="N45" s="1486"/>
      <c r="O45" s="1399"/>
      <c r="P45" s="1399"/>
      <c r="Q45" s="1401">
        <f t="shared" si="7"/>
        <v>0</v>
      </c>
      <c r="R45" s="1401"/>
      <c r="S45" s="1430">
        <f t="shared" si="2"/>
        <v>0</v>
      </c>
      <c r="T45" s="1403"/>
      <c r="U45" s="1726"/>
      <c r="V45" s="1443">
        <f t="shared" si="1"/>
        <v>0</v>
      </c>
      <c r="W45" s="1425">
        <f>V45</f>
        <v>0</v>
      </c>
      <c r="X45" s="1419"/>
      <c r="Y45" s="1419"/>
      <c r="Z45" s="1419"/>
      <c r="AA45" s="1419"/>
      <c r="AB45" s="1419"/>
      <c r="AC45" s="1419"/>
      <c r="AD45" s="1419"/>
      <c r="AE45" s="1419"/>
      <c r="AF45" s="1419"/>
    </row>
    <row r="46" spans="1:32" s="1420" customFormat="1" hidden="1">
      <c r="A46" s="1434"/>
      <c r="B46" s="1434"/>
      <c r="C46" s="1560"/>
      <c r="D46" s="1460"/>
      <c r="E46" s="1560"/>
      <c r="F46" s="1561"/>
      <c r="G46" s="1561"/>
      <c r="H46" s="1449"/>
      <c r="I46" s="1562"/>
      <c r="J46" s="1562"/>
      <c r="K46" s="1563"/>
      <c r="L46" s="1399"/>
      <c r="M46" s="1531"/>
      <c r="N46" s="1486"/>
      <c r="O46" s="1399"/>
      <c r="P46" s="1399"/>
      <c r="Q46" s="1401">
        <f t="shared" si="7"/>
        <v>0</v>
      </c>
      <c r="R46" s="1401"/>
      <c r="S46" s="1430">
        <f t="shared" si="2"/>
        <v>0</v>
      </c>
      <c r="T46" s="1403"/>
      <c r="U46" s="1727"/>
      <c r="V46" s="1401">
        <f t="shared" si="1"/>
        <v>0</v>
      </c>
      <c r="W46" s="1431">
        <f>(Q46+((S46-4)*R46))*((100-P46)/100)</f>
        <v>0</v>
      </c>
      <c r="X46" s="1419"/>
      <c r="Y46" s="1419"/>
      <c r="Z46" s="1419"/>
      <c r="AA46" s="1419"/>
      <c r="AB46" s="1419"/>
      <c r="AC46" s="1419"/>
      <c r="AD46" s="1419"/>
      <c r="AE46" s="1419"/>
      <c r="AF46" s="1419"/>
    </row>
    <row r="47" spans="1:32" s="1574" customFormat="1" hidden="1">
      <c r="A47" s="1360"/>
      <c r="B47" s="1359"/>
      <c r="C47" s="1393"/>
      <c r="D47" s="1406"/>
      <c r="E47" s="1393"/>
      <c r="F47" s="1535"/>
      <c r="G47" s="1535"/>
      <c r="H47" s="1365"/>
      <c r="I47" s="1364"/>
      <c r="J47" s="1364"/>
      <c r="K47" s="1393"/>
      <c r="L47" s="1409"/>
      <c r="M47" s="1569"/>
      <c r="N47" s="1570"/>
      <c r="O47" s="1416"/>
      <c r="P47" s="1408"/>
      <c r="Q47" s="1401">
        <f t="shared" si="7"/>
        <v>0</v>
      </c>
      <c r="R47" s="1414"/>
      <c r="S47" s="1430">
        <f t="shared" si="2"/>
        <v>0</v>
      </c>
      <c r="T47" s="1403"/>
      <c r="U47" s="1728"/>
      <c r="V47" s="1533">
        <f t="shared" si="1"/>
        <v>0</v>
      </c>
      <c r="W47" s="1571">
        <f>(Q47+((S47-8)*R47))*((100-P47)/100)</f>
        <v>0</v>
      </c>
      <c r="X47" s="1572"/>
      <c r="Y47" s="1573"/>
      <c r="Z47" s="1572"/>
    </row>
    <row r="48" spans="1:32" s="1420" customFormat="1" hidden="1">
      <c r="A48" s="1441"/>
      <c r="B48" s="1427"/>
      <c r="C48" s="1552"/>
      <c r="D48" s="1412"/>
      <c r="E48" s="1552"/>
      <c r="F48" s="1575"/>
      <c r="G48" s="1575"/>
      <c r="H48" s="1409"/>
      <c r="I48" s="1536"/>
      <c r="J48" s="1536"/>
      <c r="K48" s="1552"/>
      <c r="L48" s="1435"/>
      <c r="M48" s="1576"/>
      <c r="N48" s="1555"/>
      <c r="O48" s="1438"/>
      <c r="P48" s="1475"/>
      <c r="Q48" s="1401">
        <f t="shared" si="7"/>
        <v>0</v>
      </c>
      <c r="R48" s="1443"/>
      <c r="S48" s="1430">
        <f t="shared" si="2"/>
        <v>0</v>
      </c>
      <c r="T48" s="1403"/>
      <c r="U48" s="1723"/>
      <c r="V48" s="1577">
        <f t="shared" si="1"/>
        <v>0</v>
      </c>
      <c r="W48" s="1490">
        <f>(Q48+((S48-4)*R48))*((100-P48)/100)</f>
        <v>0</v>
      </c>
      <c r="X48" s="1417"/>
      <c r="Y48" s="1418"/>
      <c r="Z48" s="1417"/>
      <c r="AA48" s="1419"/>
      <c r="AB48" s="1419"/>
      <c r="AC48" s="1419"/>
      <c r="AD48" s="1419"/>
      <c r="AE48" s="1419"/>
      <c r="AF48" s="1419"/>
    </row>
    <row r="49" spans="1:32" s="1420" customFormat="1" hidden="1">
      <c r="A49" s="1359"/>
      <c r="B49" s="1359"/>
      <c r="C49" s="1393"/>
      <c r="D49" s="1362"/>
      <c r="E49" s="1393"/>
      <c r="F49" s="1484"/>
      <c r="G49" s="1484"/>
      <c r="H49" s="1365"/>
      <c r="I49" s="1578"/>
      <c r="J49" s="1536"/>
      <c r="K49" s="1394"/>
      <c r="L49" s="1399"/>
      <c r="M49" s="1395"/>
      <c r="N49" s="1486"/>
      <c r="O49" s="1399"/>
      <c r="P49" s="1399"/>
      <c r="Q49" s="1401">
        <f t="shared" si="7"/>
        <v>0</v>
      </c>
      <c r="R49" s="1401"/>
      <c r="S49" s="1430">
        <f t="shared" si="2"/>
        <v>0</v>
      </c>
      <c r="T49" s="1403"/>
      <c r="U49" s="1717"/>
      <c r="V49" s="1401">
        <f t="shared" si="1"/>
        <v>0</v>
      </c>
      <c r="W49" s="1431">
        <f>(Q49+((S49-0)*R49))*((100-P49)/100)</f>
        <v>0</v>
      </c>
      <c r="X49" s="1419"/>
      <c r="Y49" s="1440">
        <f>(Q49+((S49-0)*R49))*((100-P49)/100)</f>
        <v>0</v>
      </c>
      <c r="Z49" s="1419"/>
      <c r="AA49" s="1419"/>
      <c r="AB49" s="1419"/>
      <c r="AC49" s="1419"/>
      <c r="AD49" s="1419"/>
      <c r="AE49" s="1419"/>
      <c r="AF49" s="1419"/>
    </row>
    <row r="50" spans="1:32" s="1420" customFormat="1" hidden="1">
      <c r="A50" s="1579"/>
      <c r="B50" s="1579"/>
      <c r="C50" s="1580"/>
      <c r="D50" s="1518"/>
      <c r="E50" s="1580"/>
      <c r="F50" s="1581"/>
      <c r="G50" s="1581"/>
      <c r="H50" s="1518"/>
      <c r="I50" s="1562"/>
      <c r="J50" s="1562"/>
      <c r="K50" s="1582"/>
      <c r="L50" s="1583"/>
      <c r="M50" s="1519"/>
      <c r="N50" s="1584"/>
      <c r="O50" s="1585"/>
      <c r="P50" s="1521"/>
      <c r="Q50" s="1401">
        <f t="shared" si="7"/>
        <v>0</v>
      </c>
      <c r="R50" s="1587"/>
      <c r="S50" s="1430">
        <f t="shared" si="2"/>
        <v>0</v>
      </c>
      <c r="T50" s="1403"/>
      <c r="U50" s="1729"/>
      <c r="V50" s="1523">
        <f t="shared" si="1"/>
        <v>0</v>
      </c>
      <c r="W50" s="1589">
        <f>(Q50+((S50-0)*R50))*((100-P50)/100)</f>
        <v>0</v>
      </c>
      <c r="X50" s="1466"/>
      <c r="Y50" s="1590"/>
      <c r="Z50" s="1466"/>
      <c r="AA50" s="1466"/>
      <c r="AB50" s="1466"/>
      <c r="AC50" s="1466"/>
      <c r="AD50" s="1466"/>
      <c r="AE50" s="1466"/>
      <c r="AF50" s="1466"/>
    </row>
    <row r="51" spans="1:32" s="1420" customFormat="1" hidden="1">
      <c r="A51" s="1359"/>
      <c r="B51" s="1359"/>
      <c r="C51" s="1393"/>
      <c r="D51" s="1406"/>
      <c r="E51" s="1393"/>
      <c r="F51" s="1535"/>
      <c r="G51" s="1535"/>
      <c r="H51" s="1365"/>
      <c r="I51" s="1364"/>
      <c r="J51" s="1364"/>
      <c r="K51" s="1393"/>
      <c r="L51" s="1364"/>
      <c r="M51" s="1364"/>
      <c r="N51" s="1549"/>
      <c r="O51" s="1534"/>
      <c r="P51" s="1365"/>
      <c r="Q51" s="1401">
        <f t="shared" si="7"/>
        <v>0</v>
      </c>
      <c r="R51" s="1369"/>
      <c r="S51" s="1430">
        <f t="shared" si="2"/>
        <v>0</v>
      </c>
      <c r="T51" s="1403"/>
      <c r="U51" s="1722"/>
      <c r="V51" s="1369">
        <f t="shared" si="1"/>
        <v>0</v>
      </c>
      <c r="W51" s="1371">
        <f>(Q51+((S51-0)*R51))*((100-P51)/100)</f>
        <v>0</v>
      </c>
      <c r="X51" s="1417"/>
      <c r="Y51" s="1418"/>
      <c r="Z51" s="1417"/>
      <c r="AA51" s="1419"/>
      <c r="AB51" s="1419"/>
      <c r="AC51" s="1419"/>
      <c r="AD51" s="1419"/>
      <c r="AE51" s="1419"/>
      <c r="AF51" s="1419"/>
    </row>
    <row r="52" spans="1:32" s="1420" customFormat="1" hidden="1">
      <c r="A52" s="1539"/>
      <c r="B52" s="1497"/>
      <c r="C52" s="1591"/>
      <c r="D52" s="1445"/>
      <c r="E52" s="1591"/>
      <c r="F52" s="1592"/>
      <c r="G52" s="1592"/>
      <c r="H52" s="1435"/>
      <c r="I52" s="1543"/>
      <c r="J52" s="1543"/>
      <c r="K52" s="1591"/>
      <c r="L52" s="1562"/>
      <c r="M52" s="1562"/>
      <c r="N52" s="1555"/>
      <c r="O52" s="1438"/>
      <c r="P52" s="1475"/>
      <c r="Q52" s="1401">
        <f t="shared" si="7"/>
        <v>0</v>
      </c>
      <c r="R52" s="1479"/>
      <c r="S52" s="1430">
        <f t="shared" si="2"/>
        <v>0</v>
      </c>
      <c r="T52" s="1403"/>
      <c r="U52" s="1723"/>
      <c r="V52" s="1577">
        <f t="shared" si="1"/>
        <v>0</v>
      </c>
      <c r="W52" s="1490">
        <f>(Q52+((S52-0)*R52))*((100-P52)/100)</f>
        <v>0</v>
      </c>
      <c r="X52" s="1417"/>
      <c r="Y52" s="1418"/>
      <c r="Z52" s="1417"/>
      <c r="AA52" s="1419"/>
      <c r="AB52" s="1419"/>
      <c r="AC52" s="1419"/>
      <c r="AD52" s="1419"/>
      <c r="AE52" s="1419"/>
      <c r="AF52" s="1419"/>
    </row>
    <row r="53" spans="1:32" s="1466" customFormat="1" hidden="1">
      <c r="A53" s="1594"/>
      <c r="B53" s="1434"/>
      <c r="C53" s="1560"/>
      <c r="D53" s="1460"/>
      <c r="E53" s="1560"/>
      <c r="F53" s="1561"/>
      <c r="G53" s="1561"/>
      <c r="H53" s="1449"/>
      <c r="I53" s="1562"/>
      <c r="J53" s="1562"/>
      <c r="K53" s="1563"/>
      <c r="L53" s="1399"/>
      <c r="M53" s="1395"/>
      <c r="N53" s="1486"/>
      <c r="O53" s="1399"/>
      <c r="P53" s="1595"/>
      <c r="Q53" s="1401">
        <f t="shared" si="7"/>
        <v>0</v>
      </c>
      <c r="R53" s="1401"/>
      <c r="S53" s="1430">
        <f t="shared" si="2"/>
        <v>0</v>
      </c>
      <c r="T53" s="1403"/>
      <c r="U53" s="1730"/>
      <c r="V53" s="1464">
        <f t="shared" si="1"/>
        <v>0</v>
      </c>
      <c r="W53" s="1598">
        <f>(Q53+((S53-0)*R53))*((100-P53)/100)</f>
        <v>0</v>
      </c>
      <c r="X53" s="1419"/>
      <c r="Y53" s="1419"/>
      <c r="Z53" s="1419"/>
      <c r="AA53" s="1419"/>
      <c r="AB53" s="1419"/>
      <c r="AC53" s="1419"/>
      <c r="AD53" s="1419"/>
      <c r="AE53" s="1419"/>
      <c r="AF53" s="1419"/>
    </row>
    <row r="54" spans="1:32" s="1420" customFormat="1" hidden="1">
      <c r="A54" s="1599"/>
      <c r="B54" s="1359"/>
      <c r="C54" s="1393"/>
      <c r="D54" s="1362"/>
      <c r="E54" s="1393"/>
      <c r="F54" s="1484"/>
      <c r="G54" s="1484"/>
      <c r="H54" s="1365"/>
      <c r="I54" s="1364"/>
      <c r="J54" s="1364"/>
      <c r="K54" s="1394"/>
      <c r="L54" s="1399"/>
      <c r="M54" s="1395"/>
      <c r="N54" s="1486"/>
      <c r="O54" s="1399"/>
      <c r="P54" s="1600"/>
      <c r="Q54" s="1401">
        <f t="shared" si="7"/>
        <v>0</v>
      </c>
      <c r="R54" s="1401"/>
      <c r="S54" s="1430">
        <f t="shared" si="2"/>
        <v>0</v>
      </c>
      <c r="T54" s="1403"/>
      <c r="U54" s="1730"/>
      <c r="V54" s="1464">
        <f t="shared" si="1"/>
        <v>0</v>
      </c>
      <c r="W54" s="1598">
        <f>(Q54+((S54-8)*R54))*((100-P54)/100)</f>
        <v>0</v>
      </c>
      <c r="X54" s="1419"/>
      <c r="Y54" s="1419"/>
      <c r="Z54" s="1419"/>
      <c r="AA54" s="1419"/>
      <c r="AB54" s="1419"/>
      <c r="AC54" s="1419"/>
      <c r="AD54" s="1419"/>
      <c r="AE54" s="1419"/>
      <c r="AF54" s="1419"/>
    </row>
    <row r="55" spans="1:32" s="1420" customFormat="1" ht="13" hidden="1">
      <c r="A55" s="1497"/>
      <c r="B55" s="1539"/>
      <c r="C55" s="1540"/>
      <c r="D55" s="1475"/>
      <c r="E55" s="1541"/>
      <c r="F55" s="1602"/>
      <c r="G55" s="1602"/>
      <c r="H55" s="1475"/>
      <c r="I55" s="1543"/>
      <c r="J55" s="1543"/>
      <c r="K55" s="1544"/>
      <c r="L55" s="1399"/>
      <c r="M55" s="1470"/>
      <c r="N55" s="1471"/>
      <c r="O55" s="1468"/>
      <c r="P55" s="1498"/>
      <c r="Q55" s="1401">
        <f t="shared" si="7"/>
        <v>0</v>
      </c>
      <c r="R55" s="1401"/>
      <c r="S55" s="1430">
        <f t="shared" si="2"/>
        <v>0</v>
      </c>
      <c r="T55" s="1403"/>
      <c r="U55" s="1731"/>
      <c r="V55" s="1443">
        <f t="shared" si="1"/>
        <v>0</v>
      </c>
      <c r="W55" s="1425">
        <f>(Q55+((S55-0)*R55))*((100-P55)/100)</f>
        <v>0</v>
      </c>
      <c r="X55" s="1417"/>
      <c r="Y55" s="1510">
        <f>W55*((100-P55)/100)</f>
        <v>0</v>
      </c>
      <c r="Z55" s="1417"/>
      <c r="AA55" s="1419"/>
      <c r="AB55" s="1419"/>
      <c r="AC55" s="1419"/>
      <c r="AD55" s="1419"/>
      <c r="AE55" s="1419"/>
      <c r="AF55" s="1419"/>
    </row>
    <row r="56" spans="1:32" s="1420" customFormat="1" hidden="1">
      <c r="A56" s="1360"/>
      <c r="B56" s="1359"/>
      <c r="C56" s="1393"/>
      <c r="D56" s="1362"/>
      <c r="E56" s="1483"/>
      <c r="F56" s="1484"/>
      <c r="G56" s="1485"/>
      <c r="H56" s="1399"/>
      <c r="I56" s="1469"/>
      <c r="J56" s="1364"/>
      <c r="K56" s="1394"/>
      <c r="L56" s="1502"/>
      <c r="M56" s="1605"/>
      <c r="N56" s="1606"/>
      <c r="O56" s="1502"/>
      <c r="P56" s="1505"/>
      <c r="Q56" s="1401">
        <f t="shared" si="7"/>
        <v>0</v>
      </c>
      <c r="R56" s="1508"/>
      <c r="S56" s="1430">
        <f t="shared" si="2"/>
        <v>0</v>
      </c>
      <c r="T56" s="1696"/>
      <c r="U56" s="1452"/>
      <c r="V56" s="1453">
        <f t="shared" si="1"/>
        <v>0</v>
      </c>
      <c r="W56" s="1608">
        <f>Q56+((S56-0)*R56)</f>
        <v>0</v>
      </c>
      <c r="X56" s="1419"/>
      <c r="Y56" s="1473"/>
      <c r="Z56" s="1419"/>
      <c r="AA56" s="1419"/>
      <c r="AB56" s="1419"/>
      <c r="AC56" s="1419"/>
      <c r="AD56" s="1419"/>
      <c r="AE56" s="1419"/>
      <c r="AF56" s="1419"/>
    </row>
    <row r="57" spans="1:32" s="1492" customFormat="1" ht="13" hidden="1">
      <c r="A57" s="1359"/>
      <c r="B57" s="1360"/>
      <c r="C57" s="1361"/>
      <c r="D57" s="1362"/>
      <c r="E57" s="1609"/>
      <c r="F57" s="1363"/>
      <c r="G57" s="1363"/>
      <c r="H57" s="1408"/>
      <c r="I57" s="1364"/>
      <c r="J57" s="1364"/>
      <c r="K57" s="1361"/>
      <c r="L57" s="1435"/>
      <c r="M57" s="1476"/>
      <c r="N57" s="1477"/>
      <c r="O57" s="1475"/>
      <c r="P57" s="1610"/>
      <c r="Q57" s="1401">
        <f t="shared" si="7"/>
        <v>0</v>
      </c>
      <c r="R57" s="1479"/>
      <c r="S57" s="1430">
        <f t="shared" si="2"/>
        <v>0</v>
      </c>
      <c r="T57" s="1415"/>
      <c r="U57" s="1416"/>
      <c r="V57" s="1414">
        <f t="shared" si="1"/>
        <v>0</v>
      </c>
      <c r="W57" s="1371">
        <f t="shared" ref="W57:W62" si="9">(Q57+((S57-0)*R57))*((100-P57)/100)</f>
        <v>0</v>
      </c>
      <c r="X57" s="1417"/>
      <c r="Y57" s="1510">
        <f>W57*((100-P57)/100)</f>
        <v>0</v>
      </c>
      <c r="Z57" s="1417"/>
      <c r="AA57" s="1419"/>
      <c r="AB57" s="1419"/>
      <c r="AC57" s="1419"/>
      <c r="AD57" s="1419"/>
      <c r="AE57" s="1419"/>
      <c r="AF57" s="1419"/>
    </row>
    <row r="58" spans="1:32" s="1420" customFormat="1" ht="14" hidden="1">
      <c r="A58" s="1434"/>
      <c r="B58" s="1448"/>
      <c r="C58" s="1611"/>
      <c r="D58" s="1460"/>
      <c r="E58" s="1612"/>
      <c r="F58" s="1613"/>
      <c r="G58" s="1613"/>
      <c r="H58" s="1460"/>
      <c r="I58" s="1562"/>
      <c r="J58" s="1562"/>
      <c r="K58" s="1614"/>
      <c r="L58" s="1399"/>
      <c r="M58" s="1470"/>
      <c r="N58" s="1471"/>
      <c r="O58" s="1468"/>
      <c r="P58" s="1615"/>
      <c r="Q58" s="1401">
        <f t="shared" si="7"/>
        <v>0</v>
      </c>
      <c r="R58" s="1401"/>
      <c r="S58" s="1430">
        <f t="shared" si="2"/>
        <v>0</v>
      </c>
      <c r="T58" s="1444"/>
      <c r="U58" s="1616"/>
      <c r="V58" s="1443">
        <f t="shared" si="1"/>
        <v>0</v>
      </c>
      <c r="W58" s="1425">
        <f t="shared" si="9"/>
        <v>0</v>
      </c>
      <c r="X58" s="1417"/>
      <c r="Y58" s="1426"/>
      <c r="Z58" s="1417"/>
      <c r="AA58" s="1419"/>
      <c r="AB58" s="1419"/>
      <c r="AC58" s="1419"/>
      <c r="AD58" s="1419"/>
      <c r="AE58" s="1419"/>
      <c r="AF58" s="1419"/>
    </row>
    <row r="59" spans="1:32" s="1420" customFormat="1" ht="13" hidden="1" customHeight="1">
      <c r="A59" s="1359"/>
      <c r="B59" s="1360"/>
      <c r="C59" s="1361"/>
      <c r="D59" s="1362"/>
      <c r="E59" s="1609"/>
      <c r="F59" s="1363"/>
      <c r="G59" s="1363"/>
      <c r="H59" s="1362"/>
      <c r="I59" s="1543"/>
      <c r="J59" s="1543"/>
      <c r="K59" s="1614"/>
      <c r="L59" s="1399"/>
      <c r="M59" s="1470"/>
      <c r="N59" s="1471"/>
      <c r="O59" s="1468"/>
      <c r="P59" s="1615"/>
      <c r="Q59" s="1401">
        <f t="shared" si="7"/>
        <v>0</v>
      </c>
      <c r="R59" s="1401"/>
      <c r="S59" s="1430">
        <f t="shared" si="2"/>
        <v>0</v>
      </c>
      <c r="T59" s="1370"/>
      <c r="U59" s="1534"/>
      <c r="V59" s="1369">
        <f t="shared" si="1"/>
        <v>0</v>
      </c>
      <c r="W59" s="1371">
        <f t="shared" si="9"/>
        <v>0</v>
      </c>
      <c r="X59" s="1417"/>
      <c r="Y59" s="1418"/>
      <c r="Z59" s="1417"/>
      <c r="AA59" s="1419"/>
      <c r="AB59" s="1419"/>
      <c r="AC59" s="1419"/>
      <c r="AD59" s="1419"/>
      <c r="AE59" s="1419"/>
      <c r="AF59" s="1419"/>
    </row>
    <row r="60" spans="1:32" s="1620" customFormat="1" ht="13" hidden="1">
      <c r="A60" s="1427"/>
      <c r="B60" s="1441"/>
      <c r="C60" s="1617"/>
      <c r="D60" s="1408"/>
      <c r="E60" s="1618"/>
      <c r="F60" s="1619"/>
      <c r="G60" s="1619"/>
      <c r="H60" s="1408"/>
      <c r="I60" s="1364"/>
      <c r="J60" s="1364"/>
      <c r="K60" s="1456"/>
      <c r="L60" s="1399"/>
      <c r="M60" s="1470"/>
      <c r="N60" s="1471"/>
      <c r="O60" s="1468"/>
      <c r="P60" s="1399"/>
      <c r="Q60" s="1401">
        <f t="shared" si="7"/>
        <v>0</v>
      </c>
      <c r="R60" s="1401"/>
      <c r="S60" s="1430">
        <f t="shared" si="2"/>
        <v>0</v>
      </c>
      <c r="T60" s="1415"/>
      <c r="U60" s="1416"/>
      <c r="V60" s="1559">
        <f t="shared" si="1"/>
        <v>0</v>
      </c>
      <c r="W60" s="1501">
        <f t="shared" si="9"/>
        <v>0</v>
      </c>
      <c r="X60" s="1417"/>
      <c r="Y60" s="1418"/>
      <c r="Z60" s="1417"/>
      <c r="AA60" s="1419"/>
      <c r="AB60" s="1419"/>
      <c r="AC60" s="1419"/>
      <c r="AD60" s="1419"/>
      <c r="AE60" s="1419"/>
      <c r="AF60" s="1419"/>
    </row>
    <row r="61" spans="1:32" s="1420" customFormat="1" hidden="1">
      <c r="A61" s="1448"/>
      <c r="B61" s="1434"/>
      <c r="C61" s="1560"/>
      <c r="D61" s="1463"/>
      <c r="E61" s="1621"/>
      <c r="F61" s="1622"/>
      <c r="G61" s="1622"/>
      <c r="H61" s="1449"/>
      <c r="I61" s="1543"/>
      <c r="J61" s="1543"/>
      <c r="K61" s="1582"/>
      <c r="L61" s="1623"/>
      <c r="M61" s="1543"/>
      <c r="N61" s="1624"/>
      <c r="O61" s="1625"/>
      <c r="P61" s="1626"/>
      <c r="Q61" s="1401">
        <f t="shared" si="7"/>
        <v>0</v>
      </c>
      <c r="R61" s="1627"/>
      <c r="S61" s="1430">
        <f t="shared" si="2"/>
        <v>0</v>
      </c>
      <c r="T61" s="1444"/>
      <c r="U61" s="1463"/>
      <c r="V61" s="1565">
        <f t="shared" si="1"/>
        <v>0</v>
      </c>
      <c r="W61" s="1566">
        <f t="shared" si="9"/>
        <v>0</v>
      </c>
      <c r="X61" s="1417"/>
      <c r="Y61" s="1431">
        <f>(Q61+((S61-0)*R61))*((100-P61)/100)</f>
        <v>0</v>
      </c>
      <c r="Z61" s="1417"/>
      <c r="AA61" s="1419"/>
      <c r="AB61" s="1419"/>
      <c r="AC61" s="1419"/>
      <c r="AD61" s="1419"/>
      <c r="AE61" s="1419"/>
      <c r="AF61" s="1419"/>
    </row>
    <row r="62" spans="1:32" s="1420" customFormat="1" hidden="1">
      <c r="A62" s="1359"/>
      <c r="B62" s="1359"/>
      <c r="C62" s="1393"/>
      <c r="D62" s="1362"/>
      <c r="E62" s="1483"/>
      <c r="F62" s="1484"/>
      <c r="G62" s="1484"/>
      <c r="H62" s="1365"/>
      <c r="I62" s="1364"/>
      <c r="J62" s="1364"/>
      <c r="K62" s="1394"/>
      <c r="L62" s="1513"/>
      <c r="M62" s="1628"/>
      <c r="N62" s="1629"/>
      <c r="O62" s="1449"/>
      <c r="P62" s="1449"/>
      <c r="Q62" s="1401">
        <f t="shared" si="7"/>
        <v>0</v>
      </c>
      <c r="R62" s="1443"/>
      <c r="S62" s="1430">
        <f t="shared" si="2"/>
        <v>0</v>
      </c>
      <c r="T62" s="1370"/>
      <c r="U62" s="1422"/>
      <c r="V62" s="1369">
        <f t="shared" si="1"/>
        <v>0</v>
      </c>
      <c r="W62" s="1371">
        <f t="shared" si="9"/>
        <v>0</v>
      </c>
      <c r="X62" s="1419"/>
      <c r="Y62" s="1473"/>
      <c r="Z62" s="1419"/>
      <c r="AA62" s="1419"/>
      <c r="AB62" s="1419"/>
      <c r="AC62" s="1419"/>
      <c r="AD62" s="1419"/>
      <c r="AE62" s="1419"/>
      <c r="AF62" s="1419"/>
    </row>
    <row r="63" spans="1:32" s="1420" customFormat="1" hidden="1">
      <c r="A63" s="1631"/>
      <c r="B63" s="1427"/>
      <c r="C63" s="1552"/>
      <c r="D63" s="1408"/>
      <c r="E63" s="1632"/>
      <c r="F63" s="1553"/>
      <c r="G63" s="1553"/>
      <c r="H63" s="1409"/>
      <c r="I63" s="1536"/>
      <c r="J63" s="1536"/>
      <c r="K63" s="1557"/>
      <c r="L63" s="1399"/>
      <c r="M63" s="1395"/>
      <c r="N63" s="1486"/>
      <c r="O63" s="1399"/>
      <c r="P63" s="1633"/>
      <c r="Q63" s="1401">
        <f t="shared" si="7"/>
        <v>0</v>
      </c>
      <c r="R63" s="1401"/>
      <c r="S63" s="1430">
        <f t="shared" si="2"/>
        <v>0</v>
      </c>
      <c r="T63" s="1696"/>
      <c r="U63" s="1635"/>
      <c r="V63" s="1636">
        <f t="shared" si="1"/>
        <v>0</v>
      </c>
      <c r="W63" s="1637">
        <f>Q63+((S63-0)*R63)</f>
        <v>0</v>
      </c>
      <c r="X63" s="1620"/>
      <c r="Y63" s="1638"/>
      <c r="Z63" s="1620"/>
      <c r="AA63" s="1620"/>
      <c r="AB63" s="1620"/>
      <c r="AC63" s="1620"/>
      <c r="AD63" s="1620"/>
      <c r="AE63" s="1620"/>
      <c r="AF63" s="1620"/>
    </row>
    <row r="64" spans="1:32" s="1420" customFormat="1" hidden="1">
      <c r="A64" s="1359"/>
      <c r="B64" s="1359"/>
      <c r="C64" s="1393"/>
      <c r="D64" s="1362"/>
      <c r="E64" s="1483"/>
      <c r="F64" s="1484"/>
      <c r="G64" s="1484"/>
      <c r="H64" s="1365"/>
      <c r="I64" s="1364"/>
      <c r="J64" s="1364"/>
      <c r="K64" s="1394"/>
      <c r="L64" s="1502"/>
      <c r="M64" s="1578"/>
      <c r="N64" s="1606"/>
      <c r="O64" s="1639"/>
      <c r="P64" s="1409"/>
      <c r="Q64" s="1401">
        <f t="shared" si="7"/>
        <v>0</v>
      </c>
      <c r="R64" s="1414"/>
      <c r="S64" s="1430">
        <f t="shared" si="2"/>
        <v>0</v>
      </c>
      <c r="T64" s="1415"/>
      <c r="U64" s="1416"/>
      <c r="V64" s="1559">
        <f t="shared" si="1"/>
        <v>0</v>
      </c>
      <c r="W64" s="1501">
        <f>(Q64+((S64-0)*R64))*((100-P64)/100)</f>
        <v>0</v>
      </c>
      <c r="X64" s="1641"/>
      <c r="Y64" s="1431">
        <f>(Q64+((S64-0)*R64))*((100-P64)/100)</f>
        <v>0</v>
      </c>
      <c r="Z64" s="1417"/>
      <c r="AA64" s="1419"/>
      <c r="AB64" s="1419"/>
      <c r="AC64" s="1419"/>
      <c r="AD64" s="1419"/>
      <c r="AE64" s="1419"/>
      <c r="AF64" s="1419"/>
    </row>
    <row r="65" spans="1:32" s="1420" customFormat="1" hidden="1">
      <c r="A65" s="1448"/>
      <c r="B65" s="1434"/>
      <c r="C65" s="1560"/>
      <c r="D65" s="1460"/>
      <c r="E65" s="1621"/>
      <c r="F65" s="1561"/>
      <c r="G65" s="1561"/>
      <c r="H65" s="1449"/>
      <c r="I65" s="1562"/>
      <c r="J65" s="1562"/>
      <c r="K65" s="1563"/>
      <c r="L65" s="1514"/>
      <c r="M65" s="1628"/>
      <c r="N65" s="1515"/>
      <c r="O65" s="1642"/>
      <c r="P65" s="1449"/>
      <c r="Q65" s="1401">
        <f t="shared" si="7"/>
        <v>0</v>
      </c>
      <c r="R65" s="1443"/>
      <c r="S65" s="1430">
        <f t="shared" si="2"/>
        <v>0</v>
      </c>
      <c r="T65" s="1444"/>
      <c r="U65" s="1564"/>
      <c r="V65" s="1565">
        <f t="shared" si="1"/>
        <v>0</v>
      </c>
      <c r="W65" s="1482">
        <f>(Q65+((S65-0)*R65))*((100-P65)/100)</f>
        <v>0</v>
      </c>
      <c r="X65" s="1419"/>
      <c r="Y65" s="1440">
        <f>(Q65+((S65-0)*R65))*((100-P65)/100)</f>
        <v>0</v>
      </c>
      <c r="Z65" s="1419"/>
      <c r="AA65" s="1419"/>
      <c r="AB65" s="1419"/>
      <c r="AC65" s="1419"/>
      <c r="AD65" s="1419"/>
      <c r="AE65" s="1419"/>
      <c r="AF65" s="1419"/>
    </row>
    <row r="66" spans="1:32" s="1420" customFormat="1" hidden="1">
      <c r="A66" s="1360"/>
      <c r="B66" s="1359"/>
      <c r="C66" s="1393"/>
      <c r="D66" s="1362"/>
      <c r="E66" s="1483"/>
      <c r="F66" s="1484"/>
      <c r="G66" s="1484"/>
      <c r="H66" s="1365"/>
      <c r="I66" s="1644"/>
      <c r="J66" s="1644"/>
      <c r="K66" s="1394"/>
      <c r="L66" s="1399"/>
      <c r="M66" s="1645"/>
      <c r="N66" s="1646"/>
      <c r="O66" s="1399"/>
      <c r="P66" s="1468"/>
      <c r="Q66" s="1401">
        <f t="shared" si="7"/>
        <v>0</v>
      </c>
      <c r="R66" s="1401"/>
      <c r="S66" s="1430">
        <f t="shared" si="2"/>
        <v>0</v>
      </c>
      <c r="T66" s="1444"/>
      <c r="U66" s="1463"/>
      <c r="V66" s="1464">
        <f t="shared" si="1"/>
        <v>0</v>
      </c>
      <c r="W66" s="1425">
        <f>V66</f>
        <v>0</v>
      </c>
      <c r="X66" s="1417"/>
      <c r="Y66" s="1426"/>
      <c r="Z66" s="1417"/>
      <c r="AA66" s="1491"/>
      <c r="AB66" s="1491"/>
      <c r="AC66" s="1491"/>
      <c r="AD66" s="1491"/>
      <c r="AE66" s="1491"/>
      <c r="AF66" s="1491"/>
    </row>
    <row r="67" spans="1:32" s="1420" customFormat="1" hidden="1">
      <c r="A67" s="1427"/>
      <c r="B67" s="1427"/>
      <c r="C67" s="1552"/>
      <c r="D67" s="1409"/>
      <c r="E67" s="1648"/>
      <c r="F67" s="1552"/>
      <c r="G67" s="1552"/>
      <c r="H67" s="1649"/>
      <c r="I67" s="1536"/>
      <c r="J67" s="1536"/>
      <c r="K67" s="1557"/>
      <c r="L67" s="1399"/>
      <c r="M67" s="1395"/>
      <c r="N67" s="1486"/>
      <c r="O67" s="1399"/>
      <c r="P67" s="1399"/>
      <c r="Q67" s="1401">
        <f t="shared" si="7"/>
        <v>0</v>
      </c>
      <c r="R67" s="1650"/>
      <c r="S67" s="1430">
        <f t="shared" si="2"/>
        <v>0</v>
      </c>
      <c r="T67" s="1696"/>
      <c r="U67" s="1473"/>
      <c r="V67" s="1401">
        <f t="shared" si="1"/>
        <v>0</v>
      </c>
      <c r="W67" s="1431">
        <f>(Q67+((S67-0)*R67))*((100-P67)/100)</f>
        <v>0</v>
      </c>
      <c r="X67" s="1419"/>
      <c r="Y67" s="1473"/>
      <c r="Z67" s="1419"/>
      <c r="AA67" s="1419"/>
      <c r="AB67" s="1419"/>
      <c r="AC67" s="1419"/>
      <c r="AD67" s="1419"/>
      <c r="AE67" s="1419"/>
      <c r="AF67" s="1419"/>
    </row>
    <row r="68" spans="1:32" s="1420" customFormat="1" hidden="1">
      <c r="A68" s="1359"/>
      <c r="B68" s="1359"/>
      <c r="C68" s="1393"/>
      <c r="D68" s="1362"/>
      <c r="E68" s="1483"/>
      <c r="F68" s="1484"/>
      <c r="G68" s="1485"/>
      <c r="H68" s="1399"/>
      <c r="I68" s="1469"/>
      <c r="J68" s="1364"/>
      <c r="K68" s="1394"/>
      <c r="L68" s="1511"/>
      <c r="M68" s="1651"/>
      <c r="N68" s="1624"/>
      <c r="O68" s="1511"/>
      <c r="P68" s="1511"/>
      <c r="Q68" s="1401">
        <f t="shared" si="7"/>
        <v>0</v>
      </c>
      <c r="R68" s="1500"/>
      <c r="S68" s="1430">
        <f t="shared" si="2"/>
        <v>0</v>
      </c>
      <c r="T68" s="1696"/>
      <c r="U68" s="1653"/>
      <c r="V68" s="1500">
        <f t="shared" si="1"/>
        <v>0</v>
      </c>
      <c r="W68" s="1654">
        <f>(Q68+((S68-0)*R68))*((100-P68)/100)</f>
        <v>0</v>
      </c>
      <c r="X68" s="1419"/>
      <c r="Y68" s="1440">
        <f>(Q68+((S68-0)*R68))*((100-P68)/100)</f>
        <v>0</v>
      </c>
      <c r="Z68" s="1419"/>
      <c r="AA68" s="1419"/>
      <c r="AB68" s="1419"/>
      <c r="AC68" s="1419"/>
      <c r="AD68" s="1419"/>
      <c r="AE68" s="1419"/>
      <c r="AF68" s="1419"/>
    </row>
    <row r="69" spans="1:32" s="1420" customFormat="1" hidden="1">
      <c r="A69" s="1360"/>
      <c r="B69" s="1359"/>
      <c r="C69" s="1393"/>
      <c r="D69" s="1362"/>
      <c r="E69" s="1483"/>
      <c r="F69" s="1484"/>
      <c r="G69" s="1484"/>
      <c r="H69" s="1409"/>
      <c r="I69" s="1364"/>
      <c r="J69" s="1364"/>
      <c r="K69" s="1394"/>
      <c r="L69" s="1399"/>
      <c r="M69" s="1395"/>
      <c r="N69" s="1486"/>
      <c r="O69" s="1399"/>
      <c r="P69" s="1468"/>
      <c r="Q69" s="1401">
        <f t="shared" si="7"/>
        <v>0</v>
      </c>
      <c r="R69" s="1650"/>
      <c r="S69" s="1430">
        <f t="shared" si="2"/>
        <v>0</v>
      </c>
      <c r="T69" s="1696"/>
      <c r="U69" s="1452"/>
      <c r="V69" s="1453">
        <f t="shared" si="1"/>
        <v>0</v>
      </c>
      <c r="W69" s="1431">
        <f>V69</f>
        <v>0</v>
      </c>
      <c r="X69" s="1419"/>
      <c r="Y69" s="1419"/>
      <c r="Z69" s="1419"/>
      <c r="AA69" s="1419"/>
      <c r="AB69" s="1419"/>
      <c r="AC69" s="1419"/>
      <c r="AD69" s="1419"/>
      <c r="AE69" s="1419"/>
      <c r="AF69" s="1419"/>
    </row>
    <row r="70" spans="1:32" s="1420" customFormat="1" hidden="1">
      <c r="A70" s="1655"/>
      <c r="B70" s="1359"/>
      <c r="C70" s="1393"/>
      <c r="D70" s="1362"/>
      <c r="E70" s="1483"/>
      <c r="F70" s="1484"/>
      <c r="G70" s="1484"/>
      <c r="H70" s="1365"/>
      <c r="I70" s="1364"/>
      <c r="J70" s="1364"/>
      <c r="K70" s="1393"/>
      <c r="L70" s="1409"/>
      <c r="M70" s="1536"/>
      <c r="N70" s="1570"/>
      <c r="O70" s="1409"/>
      <c r="P70" s="1656"/>
      <c r="Q70" s="1401">
        <f t="shared" si="7"/>
        <v>0</v>
      </c>
      <c r="R70" s="1437"/>
      <c r="S70" s="1430">
        <f t="shared" si="2"/>
        <v>0</v>
      </c>
      <c r="T70" s="1696"/>
      <c r="U70" s="1657"/>
      <c r="V70" s="1658">
        <f t="shared" si="1"/>
        <v>0</v>
      </c>
      <c r="W70" s="1431">
        <f>V70</f>
        <v>0</v>
      </c>
      <c r="X70" s="1417"/>
      <c r="Y70" s="1440">
        <f>(Q70+((S70-0)*R70))*((100-P70)/100)</f>
        <v>0</v>
      </c>
      <c r="Z70" s="1417"/>
      <c r="AA70" s="1419"/>
      <c r="AB70" s="1419"/>
      <c r="AC70" s="1419"/>
      <c r="AD70" s="1419"/>
      <c r="AE70" s="1419"/>
      <c r="AF70" s="1419"/>
    </row>
    <row r="71" spans="1:32" s="1420" customFormat="1" ht="29.15" hidden="1" customHeight="1">
      <c r="A71" s="1359"/>
      <c r="B71" s="1359"/>
      <c r="C71" s="1393"/>
      <c r="D71" s="1362"/>
      <c r="E71" s="1483"/>
      <c r="F71" s="1484"/>
      <c r="G71" s="1484"/>
      <c r="H71" s="1365"/>
      <c r="I71" s="1364"/>
      <c r="J71" s="1364"/>
      <c r="K71" s="1393"/>
      <c r="L71" s="1365"/>
      <c r="M71" s="1364"/>
      <c r="N71" s="1549"/>
      <c r="O71" s="1365"/>
      <c r="P71" s="1365"/>
      <c r="Q71" s="1401">
        <f t="shared" si="7"/>
        <v>0</v>
      </c>
      <c r="R71" s="1443"/>
      <c r="S71" s="1430">
        <f t="shared" si="2"/>
        <v>0</v>
      </c>
      <c r="T71" s="1480"/>
      <c r="U71" s="1481"/>
      <c r="V71" s="1479">
        <f t="shared" ref="V71:V87" si="10">S71*R71*(100-P71)/100</f>
        <v>0</v>
      </c>
      <c r="W71" s="1490">
        <f>(Q71+((S71-8)*R71))*((100-P71)/100)</f>
        <v>0</v>
      </c>
      <c r="X71" s="1419"/>
      <c r="Y71" s="1431">
        <f>(Q71+((S71-0)*R71))*((100-P71)/100)</f>
        <v>0</v>
      </c>
      <c r="Z71" s="1419"/>
      <c r="AA71" s="1419"/>
      <c r="AB71" s="1419"/>
      <c r="AC71" s="1419"/>
      <c r="AD71" s="1419"/>
      <c r="AE71" s="1419"/>
      <c r="AF71" s="1419"/>
    </row>
    <row r="72" spans="1:32" s="1420" customFormat="1" ht="13" hidden="1">
      <c r="A72" s="1359"/>
      <c r="B72" s="1359"/>
      <c r="C72" s="1393"/>
      <c r="D72" s="1362"/>
      <c r="E72" s="1659"/>
      <c r="F72" s="1484"/>
      <c r="G72" s="1484"/>
      <c r="H72" s="1365"/>
      <c r="I72" s="1364"/>
      <c r="J72" s="1364"/>
      <c r="K72" s="1393"/>
      <c r="L72" s="1365"/>
      <c r="M72" s="1364"/>
      <c r="N72" s="1660"/>
      <c r="O72" s="1365"/>
      <c r="P72" s="1661"/>
      <c r="Q72" s="1401">
        <f t="shared" si="7"/>
        <v>0</v>
      </c>
      <c r="R72" s="1650"/>
      <c r="S72" s="1430">
        <f t="shared" ref="S72:S87" si="11">(G72-F72)/100</f>
        <v>0</v>
      </c>
      <c r="T72" s="1696"/>
      <c r="U72" s="1473"/>
      <c r="V72" s="1658">
        <f t="shared" si="10"/>
        <v>0</v>
      </c>
      <c r="W72" s="1454">
        <f>(Q72+((S72-8)*R72))*((100-P72)/100)</f>
        <v>0</v>
      </c>
      <c r="X72" s="1419"/>
      <c r="Y72" s="1431">
        <f>(Q72+((S72-0)*R72))*((100-P72)/100)</f>
        <v>0</v>
      </c>
      <c r="Z72" s="1419"/>
      <c r="AA72" s="1419"/>
      <c r="AB72" s="1419"/>
      <c r="AC72" s="1419"/>
      <c r="AD72" s="1419"/>
      <c r="AE72" s="1419"/>
      <c r="AF72" s="1419"/>
    </row>
    <row r="73" spans="1:32" s="1420" customFormat="1" ht="13" hidden="1">
      <c r="A73" s="1359"/>
      <c r="B73" s="1359"/>
      <c r="C73" s="1393"/>
      <c r="D73" s="1362"/>
      <c r="E73" s="1392"/>
      <c r="F73" s="1484"/>
      <c r="G73" s="1484"/>
      <c r="H73" s="1365"/>
      <c r="I73" s="1364"/>
      <c r="J73" s="1364"/>
      <c r="K73" s="1391"/>
      <c r="L73" s="1449"/>
      <c r="M73" s="1364"/>
      <c r="N73" s="1662"/>
      <c r="O73" s="1364"/>
      <c r="P73" s="1663"/>
      <c r="Q73" s="1401">
        <f t="shared" si="7"/>
        <v>0</v>
      </c>
      <c r="R73" s="1650"/>
      <c r="S73" s="1430">
        <f t="shared" si="11"/>
        <v>0</v>
      </c>
      <c r="T73" s="1696"/>
      <c r="U73" s="1473"/>
      <c r="V73" s="1658">
        <f t="shared" si="10"/>
        <v>0</v>
      </c>
      <c r="W73" s="1454">
        <f>(Q73+((S73-8)*R73))*((100-P73)/100)</f>
        <v>0</v>
      </c>
      <c r="X73" s="1419"/>
      <c r="Y73" s="1431">
        <f>(Q73+((S73-0)*R73))*((100-P73)/100)</f>
        <v>0</v>
      </c>
      <c r="Z73" s="1419"/>
      <c r="AA73" s="1419"/>
      <c r="AB73" s="1419"/>
      <c r="AC73" s="1419"/>
      <c r="AD73" s="1419"/>
      <c r="AE73" s="1419"/>
      <c r="AF73" s="1419"/>
    </row>
    <row r="74" spans="1:32" s="1405" customFormat="1" hidden="1">
      <c r="A74" s="1359"/>
      <c r="B74" s="1359"/>
      <c r="C74" s="1393"/>
      <c r="D74" s="1362"/>
      <c r="E74" s="1483"/>
      <c r="F74" s="1484"/>
      <c r="G74" s="1484"/>
      <c r="H74" s="1365"/>
      <c r="I74" s="1364"/>
      <c r="J74" s="1364"/>
      <c r="K74" s="1394"/>
      <c r="L74" s="1399"/>
      <c r="M74" s="1469"/>
      <c r="N74" s="1549"/>
      <c r="O74" s="1365"/>
      <c r="P74" s="1365"/>
      <c r="Q74" s="1401">
        <f t="shared" si="7"/>
        <v>0</v>
      </c>
      <c r="R74" s="1664"/>
      <c r="S74" s="1430">
        <f t="shared" si="11"/>
        <v>0</v>
      </c>
      <c r="T74" s="1696"/>
      <c r="U74" s="1473"/>
      <c r="V74" s="1401">
        <f t="shared" si="10"/>
        <v>0</v>
      </c>
      <c r="W74" s="1431">
        <f>V74</f>
        <v>0</v>
      </c>
      <c r="X74" s="1419"/>
      <c r="Y74" s="1419"/>
      <c r="Z74" s="1419"/>
      <c r="AA74" s="1419"/>
      <c r="AB74" s="1419"/>
      <c r="AC74" s="1419"/>
      <c r="AD74" s="1419"/>
      <c r="AE74" s="1419"/>
      <c r="AF74" s="1419"/>
    </row>
    <row r="75" spans="1:32" s="1420" customFormat="1" ht="13" hidden="1">
      <c r="A75" s="1359"/>
      <c r="B75" s="1359"/>
      <c r="C75" s="1393"/>
      <c r="D75" s="1362"/>
      <c r="E75" s="1392"/>
      <c r="F75" s="1484"/>
      <c r="G75" s="1484"/>
      <c r="H75" s="1365"/>
      <c r="I75" s="1364"/>
      <c r="J75" s="1364"/>
      <c r="K75" s="1391"/>
      <c r="L75" s="1409"/>
      <c r="M75" s="1364"/>
      <c r="N75" s="1662"/>
      <c r="O75" s="1364"/>
      <c r="P75" s="1365"/>
      <c r="Q75" s="1401">
        <f t="shared" si="7"/>
        <v>0</v>
      </c>
      <c r="R75" s="1369"/>
      <c r="S75" s="1430">
        <f t="shared" si="11"/>
        <v>0</v>
      </c>
      <c r="T75" s="1415"/>
      <c r="U75" s="1558"/>
      <c r="V75" s="1414">
        <f t="shared" si="10"/>
        <v>0</v>
      </c>
      <c r="W75" s="1459">
        <f>(Q75+((S75-0)*R75))*((100-P75)/100)</f>
        <v>0</v>
      </c>
      <c r="X75" s="1419"/>
      <c r="Y75" s="1419"/>
      <c r="Z75" s="1419"/>
      <c r="AA75" s="1419"/>
      <c r="AB75" s="1419"/>
      <c r="AC75" s="1419"/>
      <c r="AD75" s="1419"/>
      <c r="AE75" s="1419"/>
      <c r="AF75" s="1419"/>
    </row>
    <row r="76" spans="1:32" s="1420" customFormat="1" ht="13" hidden="1">
      <c r="A76" s="1427"/>
      <c r="B76" s="1427"/>
      <c r="C76" s="1552"/>
      <c r="D76" s="1408"/>
      <c r="E76" s="1665"/>
      <c r="F76" s="1553"/>
      <c r="G76" s="1553"/>
      <c r="H76" s="1409"/>
      <c r="I76" s="1536"/>
      <c r="J76" s="1536"/>
      <c r="K76" s="1666"/>
      <c r="L76" s="1409"/>
      <c r="M76" s="1536"/>
      <c r="N76" s="1667"/>
      <c r="O76" s="1639"/>
      <c r="P76" s="1409"/>
      <c r="Q76" s="1401">
        <f t="shared" si="7"/>
        <v>0</v>
      </c>
      <c r="R76" s="1559"/>
      <c r="S76" s="1430">
        <f t="shared" si="11"/>
        <v>0</v>
      </c>
      <c r="T76" s="1480"/>
      <c r="U76" s="1481"/>
      <c r="V76" s="1437">
        <f t="shared" si="10"/>
        <v>0</v>
      </c>
      <c r="W76" s="1501">
        <f>(Q76+((S76-0)*R76))*((100-P76)/100)</f>
        <v>0</v>
      </c>
      <c r="X76" s="1419"/>
      <c r="Y76" s="1431">
        <f>(Q76+((S76-0)*R76))*((100-P76)/100)</f>
        <v>0</v>
      </c>
      <c r="Z76" s="1419"/>
      <c r="AA76" s="1419"/>
      <c r="AB76" s="1419"/>
      <c r="AC76" s="1419"/>
      <c r="AD76" s="1419"/>
      <c r="AE76" s="1419"/>
      <c r="AF76" s="1419"/>
    </row>
    <row r="77" spans="1:32" s="1420" customFormat="1" ht="13" hidden="1">
      <c r="A77" s="1359"/>
      <c r="B77" s="1359"/>
      <c r="C77" s="1393"/>
      <c r="D77" s="1362"/>
      <c r="E77" s="1392"/>
      <c r="F77" s="1484"/>
      <c r="G77" s="1484"/>
      <c r="H77" s="1365"/>
      <c r="I77" s="1364"/>
      <c r="J77" s="1364"/>
      <c r="K77" s="1668"/>
      <c r="L77" s="1502"/>
      <c r="M77" s="1364"/>
      <c r="N77" s="1669"/>
      <c r="O77" s="1670"/>
      <c r="P77" s="1365"/>
      <c r="Q77" s="1401">
        <f t="shared" si="7"/>
        <v>0</v>
      </c>
      <c r="R77" s="1472"/>
      <c r="S77" s="1430">
        <f t="shared" si="11"/>
        <v>0</v>
      </c>
      <c r="T77" s="1696"/>
      <c r="U77" s="1473"/>
      <c r="V77" s="1401">
        <f t="shared" si="10"/>
        <v>0</v>
      </c>
      <c r="W77" s="1431">
        <f>(Q77+((S77-0)*R77))*((100-P77)/100)</f>
        <v>0</v>
      </c>
      <c r="X77" s="1419"/>
      <c r="Y77" s="1431">
        <f>(Q77+((S77-0)*R77))*((100-P77)/100)</f>
        <v>0</v>
      </c>
      <c r="Z77" s="1419"/>
      <c r="AA77" s="1419"/>
      <c r="AB77" s="1419"/>
      <c r="AC77" s="1419"/>
      <c r="AD77" s="1419"/>
      <c r="AE77" s="1419"/>
      <c r="AF77" s="1419"/>
    </row>
    <row r="78" spans="1:32" s="1420" customFormat="1" ht="13" hidden="1">
      <c r="A78" s="1359"/>
      <c r="B78" s="1359"/>
      <c r="C78" s="1393"/>
      <c r="D78" s="1362"/>
      <c r="E78" s="1392"/>
      <c r="F78" s="1484"/>
      <c r="G78" s="1484"/>
      <c r="H78" s="1365"/>
      <c r="I78" s="1364"/>
      <c r="J78" s="1364"/>
      <c r="K78" s="1668"/>
      <c r="L78" s="1399"/>
      <c r="M78" s="1364"/>
      <c r="N78" s="1669"/>
      <c r="O78" s="1670"/>
      <c r="P78" s="1365"/>
      <c r="Q78" s="1401">
        <f t="shared" si="7"/>
        <v>0</v>
      </c>
      <c r="R78" s="1672"/>
      <c r="S78" s="1430">
        <f t="shared" si="11"/>
        <v>0</v>
      </c>
      <c r="T78" s="1415"/>
      <c r="U78" s="1558"/>
      <c r="V78" s="1559">
        <f t="shared" si="10"/>
        <v>0</v>
      </c>
      <c r="W78" s="1501">
        <f>Q78+((S78-0)*R78)</f>
        <v>0</v>
      </c>
      <c r="X78" s="1419"/>
      <c r="Y78" s="1419"/>
      <c r="Z78" s="1419"/>
      <c r="AA78" s="1419"/>
      <c r="AB78" s="1419"/>
      <c r="AC78" s="1419"/>
      <c r="AD78" s="1419"/>
      <c r="AE78" s="1419"/>
      <c r="AF78" s="1419"/>
    </row>
    <row r="79" spans="1:32" s="1420" customFormat="1" ht="13" hidden="1">
      <c r="A79" s="1359"/>
      <c r="B79" s="1359"/>
      <c r="C79" s="1393"/>
      <c r="D79" s="1362"/>
      <c r="E79" s="1659"/>
      <c r="F79" s="1484"/>
      <c r="G79" s="1484"/>
      <c r="H79" s="1365"/>
      <c r="I79" s="1364"/>
      <c r="J79" s="1364"/>
      <c r="K79" s="1394"/>
      <c r="L79" s="1365"/>
      <c r="M79" s="1364"/>
      <c r="N79" s="1669"/>
      <c r="O79" s="1673"/>
      <c r="P79" s="1365"/>
      <c r="Q79" s="1401">
        <f t="shared" si="7"/>
        <v>0</v>
      </c>
      <c r="R79" s="1672"/>
      <c r="S79" s="1430">
        <f t="shared" si="11"/>
        <v>0</v>
      </c>
      <c r="T79" s="1370"/>
      <c r="U79" s="1422"/>
      <c r="V79" s="1674">
        <f t="shared" si="10"/>
        <v>0</v>
      </c>
      <c r="W79" s="1431">
        <f>(Q79+((S79-0)*R79))*((100-P79)/100)</f>
        <v>0</v>
      </c>
      <c r="X79" s="1419"/>
      <c r="Y79" s="1419"/>
      <c r="Z79" s="1419"/>
      <c r="AA79" s="1419"/>
      <c r="AB79" s="1419"/>
      <c r="AC79" s="1419"/>
      <c r="AD79" s="1419"/>
      <c r="AE79" s="1419"/>
      <c r="AF79" s="1419"/>
    </row>
    <row r="80" spans="1:32" s="1420" customFormat="1" ht="13" hidden="1">
      <c r="A80" s="1359"/>
      <c r="B80" s="1359"/>
      <c r="C80" s="1393"/>
      <c r="D80" s="1362"/>
      <c r="E80" s="1659"/>
      <c r="F80" s="1484"/>
      <c r="G80" s="1484"/>
      <c r="H80" s="1365"/>
      <c r="I80" s="1364"/>
      <c r="J80" s="1364"/>
      <c r="K80" s="1394"/>
      <c r="L80" s="1365"/>
      <c r="M80" s="1364"/>
      <c r="N80" s="1660"/>
      <c r="O80" s="1673"/>
      <c r="P80" s="1365"/>
      <c r="Q80" s="1401">
        <f t="shared" si="7"/>
        <v>0</v>
      </c>
      <c r="R80" s="1675"/>
      <c r="S80" s="1430">
        <f t="shared" si="11"/>
        <v>0</v>
      </c>
      <c r="T80" s="1370"/>
      <c r="U80" s="1422"/>
      <c r="V80" s="1674">
        <f t="shared" si="10"/>
        <v>0</v>
      </c>
      <c r="W80" s="1431">
        <f>Q80+((S80-4)*R80)</f>
        <v>0</v>
      </c>
      <c r="X80" s="1419"/>
      <c r="Y80" s="1419"/>
      <c r="Z80" s="1419"/>
      <c r="AA80" s="1419"/>
      <c r="AB80" s="1419"/>
      <c r="AC80" s="1419"/>
      <c r="AD80" s="1419"/>
      <c r="AE80" s="1419"/>
      <c r="AF80" s="1419"/>
    </row>
    <row r="81" spans="1:32" s="1420" customFormat="1" ht="17.25" hidden="1" customHeight="1">
      <c r="A81" s="1359"/>
      <c r="B81" s="1359"/>
      <c r="C81" s="1393"/>
      <c r="D81" s="1365"/>
      <c r="E81" s="1659"/>
      <c r="F81" s="1484"/>
      <c r="G81" s="1484"/>
      <c r="H81" s="1365"/>
      <c r="I81" s="1676"/>
      <c r="J81" s="1676"/>
      <c r="K81" s="1677"/>
      <c r="L81" s="1365"/>
      <c r="M81" s="1364"/>
      <c r="N81" s="1678"/>
      <c r="O81" s="1679"/>
      <c r="P81" s="1365"/>
      <c r="Q81" s="1401">
        <f t="shared" si="7"/>
        <v>0</v>
      </c>
      <c r="R81" s="1675"/>
      <c r="S81" s="1430">
        <f t="shared" si="11"/>
        <v>0</v>
      </c>
      <c r="T81" s="1370"/>
      <c r="U81" s="1534"/>
      <c r="V81" s="1674">
        <f t="shared" si="10"/>
        <v>0</v>
      </c>
      <c r="W81" s="1431">
        <f>Q81+((S81-4)*R81)</f>
        <v>0</v>
      </c>
      <c r="X81" s="1417"/>
      <c r="Y81" s="1431">
        <f>(Q81+((S81-0)*R81))*((100-P81)/100)</f>
        <v>0</v>
      </c>
      <c r="Z81" s="1417"/>
      <c r="AA81" s="1419"/>
      <c r="AB81" s="1419"/>
      <c r="AC81" s="1419"/>
      <c r="AD81" s="1419"/>
      <c r="AE81" s="1419"/>
      <c r="AF81" s="1419"/>
    </row>
    <row r="82" spans="1:32" s="1420" customFormat="1" ht="13" hidden="1">
      <c r="A82" s="1359"/>
      <c r="B82" s="1390"/>
      <c r="C82" s="1390"/>
      <c r="D82" s="1365"/>
      <c r="E82" s="1659"/>
      <c r="F82" s="1393"/>
      <c r="G82" s="1393"/>
      <c r="H82" s="1365"/>
      <c r="I82" s="1670"/>
      <c r="J82" s="1364"/>
      <c r="K82" s="1668"/>
      <c r="L82" s="1502"/>
      <c r="M82" s="1395"/>
      <c r="N82" s="1667"/>
      <c r="O82" s="1670"/>
      <c r="P82" s="1365"/>
      <c r="Q82" s="1401">
        <f t="shared" si="7"/>
        <v>0</v>
      </c>
      <c r="R82" s="1672"/>
      <c r="S82" s="1430">
        <f t="shared" si="11"/>
        <v>0</v>
      </c>
      <c r="T82" s="1370"/>
      <c r="U82" s="1422"/>
      <c r="V82" s="1674">
        <f t="shared" si="10"/>
        <v>0</v>
      </c>
      <c r="W82" s="1431">
        <f>(Q82+((S82-8)*R82))*((100-P82)/100)</f>
        <v>0</v>
      </c>
      <c r="X82" s="1419"/>
      <c r="Y82" s="1431">
        <f>(Q82+((S82-0)*R82))*((100-P82)/100)</f>
        <v>0</v>
      </c>
      <c r="Z82" s="1419"/>
      <c r="AA82" s="1419"/>
      <c r="AB82" s="1419"/>
      <c r="AC82" s="1419"/>
      <c r="AD82" s="1419"/>
      <c r="AE82" s="1419"/>
      <c r="AF82" s="1419"/>
    </row>
    <row r="83" spans="1:32" s="1420" customFormat="1" ht="13" hidden="1">
      <c r="A83" s="1359"/>
      <c r="B83" s="1390"/>
      <c r="C83" s="1390"/>
      <c r="D83" s="1365"/>
      <c r="E83" s="1659"/>
      <c r="F83" s="1393"/>
      <c r="G83" s="1393"/>
      <c r="H83" s="1681"/>
      <c r="I83" s="1670"/>
      <c r="J83" s="1364"/>
      <c r="K83" s="1668"/>
      <c r="L83" s="1399"/>
      <c r="M83" s="1682"/>
      <c r="N83" s="1669"/>
      <c r="O83" s="1670"/>
      <c r="P83" s="1365"/>
      <c r="Q83" s="1401">
        <f t="shared" si="7"/>
        <v>0</v>
      </c>
      <c r="R83" s="1672"/>
      <c r="S83" s="1430">
        <f t="shared" si="11"/>
        <v>0</v>
      </c>
      <c r="T83" s="1370"/>
      <c r="U83" s="1422"/>
      <c r="V83" s="1674">
        <f t="shared" si="10"/>
        <v>0</v>
      </c>
      <c r="W83" s="1431">
        <f>(Q83+((S83-0)*R83))*((100-P83)/100)</f>
        <v>0</v>
      </c>
      <c r="X83" s="1419"/>
      <c r="Y83" s="1431">
        <f>(Q83+((S83-0)*R83))*((100-P83)/100)</f>
        <v>0</v>
      </c>
      <c r="Z83" s="1419"/>
      <c r="AA83" s="1419"/>
      <c r="AB83" s="1419"/>
      <c r="AC83" s="1419"/>
      <c r="AD83" s="1419"/>
      <c r="AE83" s="1419"/>
      <c r="AF83" s="1419"/>
    </row>
    <row r="84" spans="1:32" s="1420" customFormat="1" ht="13" hidden="1">
      <c r="A84" s="1359"/>
      <c r="B84" s="1390"/>
      <c r="C84" s="1390"/>
      <c r="D84" s="1365"/>
      <c r="E84" s="1659"/>
      <c r="F84" s="1393"/>
      <c r="G84" s="1393"/>
      <c r="H84" s="1683"/>
      <c r="I84" s="1670"/>
      <c r="J84" s="1364"/>
      <c r="K84" s="1668"/>
      <c r="L84" s="1399"/>
      <c r="M84" s="1364"/>
      <c r="N84" s="1669"/>
      <c r="O84" s="1670"/>
      <c r="P84" s="1365"/>
      <c r="Q84" s="1401">
        <f t="shared" si="7"/>
        <v>0</v>
      </c>
      <c r="R84" s="1672"/>
      <c r="S84" s="1430">
        <f t="shared" si="11"/>
        <v>0</v>
      </c>
      <c r="T84" s="1370"/>
      <c r="U84" s="1422"/>
      <c r="V84" s="1674">
        <f t="shared" si="10"/>
        <v>0</v>
      </c>
      <c r="W84" s="1431">
        <f>Q84+((S84-0)*R84)</f>
        <v>0</v>
      </c>
      <c r="X84" s="1419"/>
      <c r="Y84" s="1419"/>
      <c r="Z84" s="1419"/>
      <c r="AA84" s="1419"/>
      <c r="AB84" s="1419"/>
      <c r="AC84" s="1419"/>
      <c r="AD84" s="1419"/>
      <c r="AE84" s="1419"/>
      <c r="AF84" s="1419"/>
    </row>
    <row r="85" spans="1:32" s="1420" customFormat="1" ht="13" hidden="1">
      <c r="A85" s="1359"/>
      <c r="B85" s="1359"/>
      <c r="C85" s="1391"/>
      <c r="D85" s="1364"/>
      <c r="E85" s="1392"/>
      <c r="F85" s="1484"/>
      <c r="G85" s="1484"/>
      <c r="H85" s="1364"/>
      <c r="I85" s="1364"/>
      <c r="J85" s="1364"/>
      <c r="K85" s="1668"/>
      <c r="L85" s="1399"/>
      <c r="M85" s="1395"/>
      <c r="N85" s="1669"/>
      <c r="O85" s="1670"/>
      <c r="P85" s="1365"/>
      <c r="Q85" s="1401">
        <f t="shared" si="7"/>
        <v>0</v>
      </c>
      <c r="R85" s="1672"/>
      <c r="S85" s="1430">
        <f t="shared" si="11"/>
        <v>0</v>
      </c>
      <c r="T85" s="1370"/>
      <c r="U85" s="1422"/>
      <c r="V85" s="1674">
        <f t="shared" si="10"/>
        <v>0</v>
      </c>
      <c r="W85" s="1402">
        <f>Q85+((S85-0)*R85)</f>
        <v>0</v>
      </c>
      <c r="X85" s="1419"/>
      <c r="Y85" s="1431">
        <f>(Q85+((S85-0)*R85))*((100-P85)/100)</f>
        <v>0</v>
      </c>
      <c r="Z85" s="1419"/>
      <c r="AA85" s="1419"/>
      <c r="AB85" s="1419"/>
      <c r="AC85" s="1419"/>
      <c r="AD85" s="1419"/>
      <c r="AE85" s="1419"/>
      <c r="AF85" s="1419"/>
    </row>
    <row r="86" spans="1:32" s="1420" customFormat="1" ht="13" hidden="1">
      <c r="A86" s="1359"/>
      <c r="B86" s="1359"/>
      <c r="C86" s="1391"/>
      <c r="D86" s="1364"/>
      <c r="E86" s="1392"/>
      <c r="F86" s="1484"/>
      <c r="G86" s="1484"/>
      <c r="H86" s="1364"/>
      <c r="I86" s="1364"/>
      <c r="J86" s="1364"/>
      <c r="K86" s="1668"/>
      <c r="L86" s="1399"/>
      <c r="M86" s="1395"/>
      <c r="N86" s="1669"/>
      <c r="O86" s="1670"/>
      <c r="P86" s="1365"/>
      <c r="Q86" s="1401">
        <f t="shared" si="7"/>
        <v>0</v>
      </c>
      <c r="R86" s="1672"/>
      <c r="S86" s="1430">
        <f t="shared" si="11"/>
        <v>0</v>
      </c>
      <c r="T86" s="1370"/>
      <c r="U86" s="1422"/>
      <c r="V86" s="1674">
        <f t="shared" si="10"/>
        <v>0</v>
      </c>
      <c r="W86" s="1402">
        <f>Q86+((S86-0)*R86)</f>
        <v>0</v>
      </c>
      <c r="X86" s="1419"/>
      <c r="Y86" s="1431">
        <f>(Q86+((S86-0)*R86))*((100-P86)/100)</f>
        <v>0</v>
      </c>
      <c r="Z86" s="1419"/>
      <c r="AA86" s="1419"/>
      <c r="AB86" s="1419"/>
      <c r="AC86" s="1419"/>
      <c r="AD86" s="1419"/>
      <c r="AE86" s="1419"/>
      <c r="AF86" s="1419"/>
    </row>
    <row r="87" spans="1:32" s="1420" customFormat="1" ht="13" hidden="1">
      <c r="A87" s="1434"/>
      <c r="B87" s="1434"/>
      <c r="C87" s="1684"/>
      <c r="D87" s="1562"/>
      <c r="E87" s="1685"/>
      <c r="F87" s="1561"/>
      <c r="G87" s="1561"/>
      <c r="H87" s="1562"/>
      <c r="I87" s="1562"/>
      <c r="J87" s="1562"/>
      <c r="K87" s="1686"/>
      <c r="L87" s="1513"/>
      <c r="M87" s="1514"/>
      <c r="N87" s="1687"/>
      <c r="O87" s="1642"/>
      <c r="P87" s="1449"/>
      <c r="Q87" s="1401">
        <f t="shared" si="7"/>
        <v>0</v>
      </c>
      <c r="R87" s="1688"/>
      <c r="S87" s="1430">
        <f t="shared" si="11"/>
        <v>0</v>
      </c>
      <c r="T87" s="1444"/>
      <c r="U87" s="1567"/>
      <c r="V87" s="1689">
        <f t="shared" si="10"/>
        <v>0</v>
      </c>
      <c r="W87" s="1690">
        <f>Q87+((S87-0)*R87)</f>
        <v>0</v>
      </c>
      <c r="X87" s="1419"/>
      <c r="Y87" s="1419"/>
      <c r="Z87" s="1419"/>
      <c r="AA87" s="1419"/>
      <c r="AB87" s="1419"/>
      <c r="AC87" s="1419"/>
      <c r="AD87" s="1419"/>
      <c r="AE87" s="1419"/>
      <c r="AF87" s="1419"/>
    </row>
    <row r="88" spans="1:32" s="1064" customFormat="1" ht="13">
      <c r="A88" s="1707"/>
      <c r="B88" s="1708"/>
      <c r="C88" s="1708"/>
      <c r="D88" s="1708"/>
      <c r="E88" s="1708"/>
      <c r="F88" s="1708"/>
      <c r="G88" s="1708"/>
      <c r="H88" s="1708"/>
      <c r="I88" s="910"/>
      <c r="J88" s="140"/>
      <c r="K88" s="1022"/>
      <c r="L88" s="1708"/>
      <c r="M88" s="1708"/>
      <c r="N88" s="1708"/>
      <c r="O88" s="1708"/>
      <c r="P88" s="1823"/>
      <c r="Q88" s="1711"/>
      <c r="R88" s="1711"/>
      <c r="S88" s="1708"/>
      <c r="T88" s="1713" t="s">
        <v>1252</v>
      </c>
      <c r="U88" s="1712"/>
      <c r="V88" s="1706">
        <f>SUBTOTAL(109,V7:V87)</f>
        <v>3600000</v>
      </c>
      <c r="W88" s="1066">
        <f>SUBTOTAL(109,W7:W87)</f>
        <v>0</v>
      </c>
      <c r="Z88" s="1067">
        <f>W88*1.1</f>
        <v>0</v>
      </c>
    </row>
    <row r="89" spans="1:32" s="1825" customFormat="1" ht="13">
      <c r="A89" s="104"/>
      <c r="B89" s="104"/>
      <c r="C89" s="104"/>
      <c r="D89" s="104"/>
      <c r="E89" s="104"/>
      <c r="F89" s="104"/>
      <c r="G89" s="104"/>
      <c r="H89" s="104"/>
      <c r="I89" s="160"/>
      <c r="J89" s="160"/>
      <c r="K89" s="104"/>
      <c r="L89" s="104"/>
      <c r="M89" s="104"/>
      <c r="N89" s="104"/>
      <c r="O89" s="104"/>
      <c r="P89" s="104"/>
      <c r="Q89" s="1824"/>
      <c r="R89" s="104"/>
      <c r="S89" s="104"/>
      <c r="T89" s="104"/>
      <c r="U89" s="104"/>
      <c r="V89" s="104"/>
      <c r="W89" s="1824"/>
      <c r="X89" s="104"/>
      <c r="Y89" s="104"/>
      <c r="Z89" s="104"/>
      <c r="AA89" s="104"/>
      <c r="AB89" s="104"/>
      <c r="AC89" s="104"/>
      <c r="AD89" s="104"/>
      <c r="AE89" s="104"/>
      <c r="AF89" s="104"/>
    </row>
    <row r="90" spans="1:32">
      <c r="A90" s="68"/>
      <c r="B90" s="68"/>
      <c r="C90" s="68"/>
      <c r="D90" s="68"/>
      <c r="E90" s="68"/>
      <c r="F90" s="68"/>
      <c r="G90" s="68"/>
      <c r="H90" s="68"/>
      <c r="I90" s="59"/>
      <c r="J90" s="59"/>
      <c r="K90" s="68"/>
      <c r="L90" s="68"/>
      <c r="M90" s="68"/>
      <c r="N90" s="68"/>
      <c r="O90" s="68"/>
      <c r="P90" s="68"/>
      <c r="Q90" s="1782"/>
      <c r="R90" s="68"/>
      <c r="S90" s="68"/>
      <c r="T90" s="68"/>
      <c r="U90" s="68"/>
      <c r="V90" s="68" t="s">
        <v>1253</v>
      </c>
      <c r="W90" s="1826">
        <v>2000000</v>
      </c>
      <c r="X90" s="68"/>
      <c r="Y90" s="68"/>
      <c r="Z90" s="68"/>
      <c r="AA90" s="68"/>
      <c r="AB90" s="68"/>
      <c r="AC90" s="68"/>
      <c r="AD90" s="68"/>
      <c r="AE90" s="68"/>
      <c r="AF90" s="68"/>
    </row>
    <row r="91" spans="1:32">
      <c r="A91" s="68"/>
      <c r="B91" s="68"/>
      <c r="C91" s="68"/>
      <c r="D91" s="68"/>
      <c r="E91" s="68"/>
      <c r="F91" s="68"/>
      <c r="G91" s="68"/>
      <c r="H91" s="68"/>
      <c r="I91" s="59"/>
      <c r="J91" s="59"/>
      <c r="K91" s="68"/>
      <c r="L91" s="68"/>
      <c r="M91" s="68"/>
      <c r="N91" s="68"/>
      <c r="O91" s="68"/>
      <c r="P91" s="68"/>
      <c r="Q91" s="1782"/>
      <c r="R91" s="1826"/>
      <c r="S91" s="68"/>
      <c r="T91" s="68"/>
      <c r="U91" s="68"/>
      <c r="V91" s="68" t="s">
        <v>1254</v>
      </c>
      <c r="W91" s="1705">
        <f>W88-W90</f>
        <v>-2000000</v>
      </c>
      <c r="X91" s="68"/>
      <c r="Y91" s="68"/>
      <c r="Z91" s="68"/>
      <c r="AA91" s="68"/>
      <c r="AB91" s="68"/>
      <c r="AC91" s="68"/>
      <c r="AD91" s="68"/>
      <c r="AE91" s="68"/>
      <c r="AF91" s="68"/>
    </row>
    <row r="92" spans="1:32">
      <c r="A92" s="68"/>
      <c r="B92" s="68"/>
      <c r="C92" s="68"/>
      <c r="D92" s="68"/>
      <c r="E92" s="68"/>
      <c r="F92" s="68"/>
      <c r="G92" s="68"/>
      <c r="H92" s="68"/>
      <c r="I92" s="59"/>
      <c r="J92" s="59"/>
      <c r="K92" s="68"/>
      <c r="L92" s="68"/>
      <c r="M92" s="68"/>
      <c r="N92" s="68"/>
      <c r="O92" s="68"/>
      <c r="P92" s="68"/>
      <c r="Q92" s="68"/>
      <c r="R92" s="1826"/>
      <c r="S92" s="68"/>
      <c r="T92" s="68"/>
      <c r="U92" s="68"/>
      <c r="V92" s="1826"/>
      <c r="W92" s="68"/>
      <c r="X92" s="68"/>
      <c r="Y92" s="68"/>
      <c r="Z92" s="68"/>
      <c r="AA92" s="68"/>
      <c r="AB92" s="68"/>
      <c r="AC92" s="68"/>
      <c r="AD92" s="68"/>
      <c r="AE92" s="68"/>
      <c r="AF92" s="68"/>
    </row>
    <row r="93" spans="1:32">
      <c r="A93" s="68"/>
      <c r="B93" s="68"/>
      <c r="C93" s="68"/>
      <c r="D93" s="68"/>
      <c r="E93" s="68"/>
      <c r="F93" s="68"/>
      <c r="G93" s="68"/>
      <c r="H93" s="68"/>
      <c r="I93" s="59"/>
      <c r="J93" s="59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 t="s">
        <v>1184</v>
      </c>
      <c r="V93" s="1826"/>
      <c r="W93" s="68"/>
      <c r="X93" s="1827">
        <f>Q38+R38*((S38*(100-P38)/100)-4)</f>
        <v>0</v>
      </c>
      <c r="Y93" s="68"/>
      <c r="Z93" s="68"/>
      <c r="AA93" s="68"/>
      <c r="AB93" s="68"/>
      <c r="AC93" s="68"/>
      <c r="AD93" s="68"/>
      <c r="AE93" s="68"/>
      <c r="AF93" s="68"/>
    </row>
    <row r="94" spans="1:32">
      <c r="A94" s="68"/>
      <c r="B94" s="68"/>
      <c r="C94" s="68"/>
      <c r="D94" s="68"/>
      <c r="E94" s="68"/>
      <c r="F94" s="68"/>
      <c r="G94" s="68"/>
      <c r="H94" s="68"/>
      <c r="I94" s="59"/>
      <c r="J94" s="59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</row>
    <row r="95" spans="1:32">
      <c r="A95" s="68"/>
      <c r="B95" s="68"/>
      <c r="C95" s="68"/>
      <c r="D95" s="68"/>
      <c r="E95" s="68"/>
      <c r="F95" s="68"/>
      <c r="G95" s="68"/>
      <c r="H95" s="68"/>
      <c r="I95" s="59"/>
      <c r="J95" s="59"/>
      <c r="K95" s="68"/>
      <c r="L95" s="68"/>
      <c r="M95" s="68"/>
      <c r="N95" s="68"/>
      <c r="O95" s="68"/>
      <c r="P95" s="68"/>
      <c r="Q95" s="1782"/>
      <c r="R95" s="68"/>
      <c r="S95" s="68"/>
      <c r="T95" s="68"/>
      <c r="U95" s="68"/>
      <c r="V95" s="68"/>
      <c r="W95" s="1782"/>
      <c r="X95" s="68"/>
      <c r="Y95" s="68"/>
      <c r="Z95" s="68"/>
      <c r="AA95" s="68"/>
      <c r="AB95" s="68"/>
      <c r="AC95" s="68"/>
      <c r="AD95" s="68"/>
      <c r="AE95" s="68"/>
      <c r="AF95" s="68"/>
    </row>
    <row r="96" spans="1:32">
      <c r="A96" s="68"/>
      <c r="B96" s="68"/>
      <c r="C96" s="68"/>
      <c r="D96" s="68"/>
      <c r="E96" s="68"/>
      <c r="F96" s="68"/>
      <c r="G96" s="68"/>
      <c r="H96" s="68"/>
      <c r="I96" s="59"/>
      <c r="J96" s="59"/>
      <c r="K96" s="68"/>
      <c r="L96" s="68"/>
      <c r="M96" s="68"/>
      <c r="N96" s="68" t="s">
        <v>1185</v>
      </c>
      <c r="O96" s="68"/>
      <c r="P96" s="68"/>
      <c r="Q96" s="1782"/>
      <c r="R96" s="68"/>
      <c r="S96" s="68"/>
      <c r="T96" s="68"/>
      <c r="U96" s="68"/>
      <c r="V96" s="68"/>
      <c r="W96" s="1782"/>
      <c r="X96" s="68"/>
      <c r="Y96" s="68"/>
      <c r="Z96" s="68"/>
      <c r="AA96" s="68"/>
      <c r="AB96" s="68"/>
      <c r="AC96" s="68"/>
      <c r="AD96" s="68"/>
      <c r="AE96" s="68"/>
      <c r="AF96" s="68"/>
    </row>
    <row r="97" spans="1:32">
      <c r="A97" s="68"/>
      <c r="B97" s="68"/>
      <c r="C97" s="68"/>
      <c r="D97" s="68"/>
      <c r="E97" s="68"/>
      <c r="F97" s="68"/>
      <c r="G97" s="68"/>
      <c r="H97" s="68"/>
      <c r="I97" s="59"/>
      <c r="J97" s="59"/>
      <c r="K97" s="68"/>
      <c r="L97" s="68"/>
      <c r="M97" s="68"/>
      <c r="N97" s="68" t="s">
        <v>1186</v>
      </c>
      <c r="O97" s="68"/>
      <c r="P97" s="68"/>
      <c r="Q97" s="1782"/>
      <c r="R97" s="68"/>
      <c r="S97" s="68"/>
      <c r="T97" s="68"/>
      <c r="U97" s="68"/>
      <c r="V97" s="68"/>
      <c r="W97" s="1782"/>
      <c r="X97" s="68"/>
      <c r="Y97" s="68"/>
      <c r="Z97" s="68"/>
      <c r="AA97" s="68"/>
      <c r="AB97" s="68"/>
      <c r="AC97" s="68"/>
      <c r="AD97" s="68"/>
      <c r="AE97" s="68"/>
      <c r="AF97" s="68"/>
    </row>
    <row r="98" spans="1:32">
      <c r="A98" s="68"/>
      <c r="B98" s="68"/>
      <c r="C98" s="68"/>
      <c r="D98" s="68"/>
      <c r="E98" s="68"/>
      <c r="F98" s="68"/>
      <c r="G98" s="68"/>
      <c r="H98" s="68"/>
      <c r="I98" s="59"/>
      <c r="J98" s="59"/>
      <c r="K98" s="68"/>
      <c r="L98" s="68"/>
      <c r="M98" s="68"/>
      <c r="N98" s="68"/>
      <c r="O98" s="68"/>
      <c r="P98" s="68"/>
      <c r="Q98" s="1782"/>
      <c r="R98" s="68"/>
      <c r="S98" s="68"/>
      <c r="T98" s="68"/>
      <c r="U98" s="68"/>
      <c r="V98" s="68"/>
      <c r="W98" s="1782"/>
      <c r="X98" s="68"/>
      <c r="Y98" s="68"/>
      <c r="Z98" s="68"/>
      <c r="AA98" s="68"/>
      <c r="AB98" s="68"/>
      <c r="AC98" s="68"/>
      <c r="AD98" s="68"/>
      <c r="AE98" s="68"/>
      <c r="AF98" s="68"/>
    </row>
    <row r="99" spans="1:32">
      <c r="A99" s="68"/>
      <c r="B99" s="68"/>
      <c r="C99" s="68"/>
      <c r="D99" s="68"/>
      <c r="E99" s="68"/>
      <c r="F99" s="68"/>
      <c r="G99" s="68"/>
      <c r="H99" s="68"/>
      <c r="I99" s="59"/>
      <c r="J99" s="59"/>
      <c r="K99" s="68"/>
      <c r="L99" s="68"/>
      <c r="M99" s="68"/>
      <c r="N99" s="68"/>
      <c r="O99" s="68"/>
      <c r="P99" s="68"/>
      <c r="Q99" s="1782"/>
      <c r="R99" s="68"/>
      <c r="S99" s="68"/>
      <c r="T99" s="68"/>
      <c r="U99" s="68"/>
      <c r="V99" s="68"/>
      <c r="W99" s="1782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2">
      <c r="A100" s="68"/>
      <c r="B100" s="68"/>
      <c r="C100" s="68"/>
      <c r="D100" s="68"/>
      <c r="E100" s="68"/>
      <c r="F100" s="68"/>
      <c r="G100" s="68"/>
      <c r="H100" s="68"/>
      <c r="I100" s="59"/>
      <c r="J100" s="59"/>
      <c r="K100" s="68"/>
      <c r="L100" s="68"/>
      <c r="M100" s="68"/>
      <c r="N100" s="68"/>
      <c r="O100" s="68"/>
      <c r="P100" s="68"/>
      <c r="Q100" s="1782"/>
      <c r="R100" s="68"/>
      <c r="S100" s="68"/>
      <c r="T100" s="68"/>
      <c r="U100" s="68"/>
      <c r="V100" s="68"/>
      <c r="W100" s="1782"/>
      <c r="X100" s="68"/>
      <c r="Y100" s="68"/>
      <c r="Z100" s="68"/>
      <c r="AA100" s="68"/>
      <c r="AB100" s="68"/>
      <c r="AC100" s="68"/>
      <c r="AD100" s="68"/>
      <c r="AE100" s="68"/>
      <c r="AF100" s="68"/>
    </row>
  </sheetData>
  <autoFilter ref="A6:AF87" xr:uid="{1028D278-910A-4D41-890F-0D5DC76C3F25}">
    <filterColumn colId="12">
      <filters>
        <filter val="CHANEL"/>
      </filters>
    </filterColumn>
    <filterColumn colId="14">
      <filters>
        <filter val="APPROVED"/>
      </filters>
    </filterColumn>
    <sortState xmlns:xlrd2="http://schemas.microsoft.com/office/spreadsheetml/2017/richdata2" ref="A7:AF87">
      <sortCondition descending="1" ref="E6:E87"/>
    </sortState>
  </autoFilter>
  <pageMargins left="0.7" right="0.7" top="0.75" bottom="0.75" header="0.3" footer="0.3"/>
  <pageSetup scale="27" fitToHeight="0" orientation="landscape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41D44-C315-4F54-8481-DE5258C7739A}">
  <sheetPr codeName="Sheet25"/>
  <dimension ref="A1:Q41"/>
  <sheetViews>
    <sheetView workbookViewId="0">
      <selection activeCell="J2" sqref="J2"/>
    </sheetView>
  </sheetViews>
  <sheetFormatPr defaultRowHeight="14.5"/>
  <cols>
    <col min="1" max="1" width="30" customWidth="1"/>
    <col min="2" max="2" width="21.1796875" customWidth="1"/>
    <col min="9" max="9" width="21.26953125" customWidth="1"/>
    <col min="10" max="10" width="17.81640625" customWidth="1"/>
  </cols>
  <sheetData>
    <row r="1" spans="1:17">
      <c r="A1" t="s">
        <v>2088</v>
      </c>
      <c r="B1" t="s">
        <v>2089</v>
      </c>
      <c r="I1" t="s">
        <v>2090</v>
      </c>
    </row>
    <row r="2" spans="1:17">
      <c r="A2" t="s">
        <v>43</v>
      </c>
      <c r="B2">
        <v>500000</v>
      </c>
      <c r="I2" t="s">
        <v>2091</v>
      </c>
      <c r="J2" t="s">
        <v>2092</v>
      </c>
    </row>
    <row r="3" spans="1:17">
      <c r="A3" t="s">
        <v>75</v>
      </c>
      <c r="B3">
        <v>500000</v>
      </c>
      <c r="I3" t="s">
        <v>38</v>
      </c>
      <c r="J3" t="s">
        <v>2093</v>
      </c>
    </row>
    <row r="4" spans="1:17">
      <c r="A4" t="s">
        <v>2094</v>
      </c>
      <c r="B4">
        <v>180000</v>
      </c>
      <c r="J4" t="s">
        <v>2095</v>
      </c>
    </row>
    <row r="5" spans="1:17">
      <c r="A5" t="s">
        <v>375</v>
      </c>
      <c r="B5">
        <v>180000</v>
      </c>
      <c r="I5" t="s">
        <v>1221</v>
      </c>
      <c r="J5" t="s">
        <v>2096</v>
      </c>
      <c r="O5" s="387"/>
      <c r="P5" s="387"/>
      <c r="Q5" s="387"/>
    </row>
    <row r="6" spans="1:17">
      <c r="A6" t="s">
        <v>65</v>
      </c>
      <c r="B6">
        <v>180000</v>
      </c>
      <c r="I6" t="s">
        <v>47</v>
      </c>
      <c r="J6" t="s">
        <v>2097</v>
      </c>
    </row>
    <row r="7" spans="1:17">
      <c r="A7" t="s">
        <v>32</v>
      </c>
      <c r="B7">
        <v>950000</v>
      </c>
      <c r="I7" s="387"/>
      <c r="J7" s="387"/>
      <c r="K7" s="387"/>
      <c r="L7" s="387"/>
      <c r="M7" s="387"/>
      <c r="N7" s="387"/>
      <c r="O7" s="387"/>
      <c r="P7" s="387"/>
    </row>
    <row r="8" spans="1:17">
      <c r="A8" t="s">
        <v>198</v>
      </c>
      <c r="B8">
        <v>2200000</v>
      </c>
      <c r="I8" s="387"/>
      <c r="J8" s="387"/>
    </row>
    <row r="9" spans="1:17">
      <c r="I9" s="387" t="s">
        <v>2098</v>
      </c>
      <c r="J9" s="387"/>
    </row>
    <row r="10" spans="1:17">
      <c r="C10" s="472"/>
      <c r="I10" s="387" t="s">
        <v>2099</v>
      </c>
    </row>
    <row r="11" spans="1:17">
      <c r="I11" s="387" t="s">
        <v>2100</v>
      </c>
      <c r="J11" s="387"/>
    </row>
    <row r="12" spans="1:17">
      <c r="I12" s="387" t="s">
        <v>2101</v>
      </c>
    </row>
    <row r="14" spans="1:17" ht="14.9" customHeight="1">
      <c r="B14" s="649" t="s">
        <v>541</v>
      </c>
      <c r="C14" s="581" t="s">
        <v>2102</v>
      </c>
      <c r="D14" s="582">
        <v>720000</v>
      </c>
      <c r="E14" s="583">
        <v>950000</v>
      </c>
      <c r="F14" s="584">
        <v>1187500</v>
      </c>
      <c r="G14" s="570"/>
      <c r="H14" s="570"/>
      <c r="I14" s="2142" t="s">
        <v>2103</v>
      </c>
      <c r="J14" s="2143"/>
      <c r="K14" s="540" t="s">
        <v>2104</v>
      </c>
      <c r="L14" s="541" t="s">
        <v>2105</v>
      </c>
      <c r="M14" s="542" t="s">
        <v>2106</v>
      </c>
    </row>
    <row r="15" spans="1:17" ht="15" customHeight="1">
      <c r="B15" s="650"/>
      <c r="C15" s="26" t="s">
        <v>2107</v>
      </c>
      <c r="D15" s="28">
        <v>2160000</v>
      </c>
      <c r="E15" s="29">
        <v>2850000</v>
      </c>
      <c r="F15" s="585">
        <v>3562500</v>
      </c>
      <c r="G15" s="571"/>
      <c r="H15" s="571"/>
      <c r="I15" s="2144" t="s">
        <v>2108</v>
      </c>
      <c r="J15" s="573" t="s">
        <v>2109</v>
      </c>
      <c r="K15" s="544">
        <v>1125000</v>
      </c>
      <c r="L15" s="545">
        <v>2000000</v>
      </c>
      <c r="M15" s="2148" t="s">
        <v>2110</v>
      </c>
    </row>
    <row r="16" spans="1:17" ht="14.9" customHeight="1">
      <c r="B16" s="653"/>
      <c r="C16" s="586" t="s">
        <v>2111</v>
      </c>
      <c r="D16" s="587">
        <v>4100000</v>
      </c>
      <c r="E16" s="588">
        <v>5700000</v>
      </c>
      <c r="F16" s="589">
        <v>7125000</v>
      </c>
      <c r="G16" s="571"/>
      <c r="H16" s="571"/>
      <c r="I16" s="2144"/>
      <c r="J16" s="597" t="s">
        <v>2112</v>
      </c>
      <c r="K16" s="544">
        <v>1125000</v>
      </c>
      <c r="L16" s="546">
        <v>2000000</v>
      </c>
      <c r="M16" s="2149"/>
    </row>
    <row r="17" spans="2:13" ht="24.5">
      <c r="I17" s="2145"/>
      <c r="J17" s="574" t="s">
        <v>2113</v>
      </c>
      <c r="K17" s="548">
        <v>1687500</v>
      </c>
      <c r="L17" s="549">
        <v>3000000</v>
      </c>
      <c r="M17" s="2150"/>
    </row>
    <row r="18" spans="2:13">
      <c r="B18" s="649" t="s">
        <v>2114</v>
      </c>
      <c r="C18" s="581" t="s">
        <v>2102</v>
      </c>
      <c r="D18" s="582">
        <v>100000</v>
      </c>
      <c r="E18" s="590">
        <v>180000</v>
      </c>
      <c r="F18" s="584">
        <v>225000</v>
      </c>
      <c r="G18" s="570"/>
      <c r="H18" s="570"/>
      <c r="I18" s="2144" t="s">
        <v>2115</v>
      </c>
      <c r="J18" s="573" t="s">
        <v>2102</v>
      </c>
      <c r="K18" s="544">
        <v>70000</v>
      </c>
      <c r="L18" s="550">
        <v>120000</v>
      </c>
      <c r="M18" s="551">
        <v>150000</v>
      </c>
    </row>
    <row r="19" spans="2:13" ht="24" customHeight="1">
      <c r="B19" s="650"/>
      <c r="C19" s="30" t="s">
        <v>2116</v>
      </c>
      <c r="D19" s="35">
        <v>150000</v>
      </c>
      <c r="E19" s="36">
        <v>270000</v>
      </c>
      <c r="F19" s="591">
        <v>337500</v>
      </c>
      <c r="G19" s="570"/>
      <c r="H19" s="570"/>
      <c r="I19" s="2144"/>
      <c r="J19" s="575" t="s">
        <v>2111</v>
      </c>
      <c r="K19" s="544">
        <v>350000</v>
      </c>
      <c r="L19" s="546">
        <v>600000</v>
      </c>
      <c r="M19" s="551">
        <v>750000</v>
      </c>
    </row>
    <row r="20" spans="2:13" ht="24" customHeight="1">
      <c r="B20" s="650"/>
      <c r="C20" s="30" t="s">
        <v>2117</v>
      </c>
      <c r="D20" s="35">
        <v>325000</v>
      </c>
      <c r="E20" s="36">
        <v>585000</v>
      </c>
      <c r="F20" s="591">
        <v>731250</v>
      </c>
      <c r="G20" s="570"/>
      <c r="H20" s="570"/>
      <c r="I20" s="2144"/>
      <c r="J20" s="576" t="s">
        <v>2118</v>
      </c>
      <c r="K20" s="552">
        <v>1400000</v>
      </c>
      <c r="L20" s="553">
        <v>2400000</v>
      </c>
      <c r="M20" s="2151" t="s">
        <v>2110</v>
      </c>
    </row>
    <row r="21" spans="2:13" ht="24.65" customHeight="1">
      <c r="B21" s="651"/>
      <c r="C21" s="31" t="s">
        <v>2119</v>
      </c>
      <c r="D21" s="32">
        <v>500000</v>
      </c>
      <c r="E21" s="33">
        <v>900000</v>
      </c>
      <c r="F21" s="592">
        <v>1125000</v>
      </c>
      <c r="G21" s="570"/>
      <c r="H21" s="570"/>
      <c r="I21" s="2144"/>
      <c r="J21" s="577" t="s">
        <v>2120</v>
      </c>
      <c r="K21" s="554">
        <v>2100000</v>
      </c>
      <c r="L21" s="555">
        <v>3600000</v>
      </c>
      <c r="M21" s="2151"/>
    </row>
    <row r="22" spans="2:13" ht="14.9" customHeight="1">
      <c r="B22" s="652" t="s">
        <v>2121</v>
      </c>
      <c r="C22" s="25" t="s">
        <v>2102</v>
      </c>
      <c r="D22" s="27">
        <v>400000</v>
      </c>
      <c r="E22" s="34">
        <v>500000</v>
      </c>
      <c r="F22" s="593">
        <v>625000</v>
      </c>
      <c r="G22" s="570"/>
      <c r="H22" s="570"/>
      <c r="I22" s="2144"/>
      <c r="J22" s="576" t="s">
        <v>2122</v>
      </c>
      <c r="K22" s="556">
        <v>2625000</v>
      </c>
      <c r="L22" s="555">
        <v>4500000</v>
      </c>
      <c r="M22" s="2151"/>
    </row>
    <row r="23" spans="2:13" ht="14.9" customHeight="1">
      <c r="B23" s="650"/>
      <c r="C23" s="26" t="s">
        <v>2107</v>
      </c>
      <c r="D23" s="32">
        <v>1200000</v>
      </c>
      <c r="E23" s="33">
        <v>1500000</v>
      </c>
      <c r="F23" s="592">
        <v>1875000</v>
      </c>
      <c r="G23" s="570"/>
      <c r="H23" s="570"/>
      <c r="I23" s="2144"/>
      <c r="J23" s="576" t="s">
        <v>2123</v>
      </c>
      <c r="K23" s="556">
        <v>4200000</v>
      </c>
      <c r="L23" s="555">
        <v>7200000</v>
      </c>
      <c r="M23" s="2151"/>
    </row>
    <row r="24" spans="2:13">
      <c r="B24" s="650"/>
      <c r="C24" s="26" t="s">
        <v>2111</v>
      </c>
      <c r="D24" s="32">
        <v>2400000</v>
      </c>
      <c r="E24" s="33">
        <v>3000000</v>
      </c>
      <c r="F24" s="592">
        <v>3750000</v>
      </c>
      <c r="G24" s="570"/>
      <c r="H24" s="570"/>
      <c r="I24" s="2152" t="s">
        <v>2114</v>
      </c>
      <c r="J24" s="578" t="s">
        <v>2102</v>
      </c>
      <c r="K24" s="558">
        <v>100000</v>
      </c>
      <c r="L24" s="559">
        <v>180000</v>
      </c>
      <c r="M24" s="560">
        <v>225000</v>
      </c>
    </row>
    <row r="25" spans="2:13" ht="24" customHeight="1">
      <c r="B25" s="650"/>
      <c r="C25" s="30" t="s">
        <v>2116</v>
      </c>
      <c r="D25" s="37">
        <v>600000</v>
      </c>
      <c r="E25" s="38">
        <v>750000</v>
      </c>
      <c r="F25" s="2139" t="s">
        <v>2110</v>
      </c>
      <c r="G25" s="572"/>
      <c r="H25" s="572"/>
      <c r="I25" s="2144"/>
      <c r="J25" s="579" t="s">
        <v>2116</v>
      </c>
      <c r="K25" s="544">
        <v>150000</v>
      </c>
      <c r="L25" s="561">
        <v>270000</v>
      </c>
      <c r="M25" s="551">
        <v>337500</v>
      </c>
    </row>
    <row r="26" spans="2:13" ht="24" customHeight="1">
      <c r="B26" s="650"/>
      <c r="C26" s="30" t="s">
        <v>2117</v>
      </c>
      <c r="D26" s="37">
        <v>1300000</v>
      </c>
      <c r="E26" s="38">
        <v>1625000</v>
      </c>
      <c r="F26" s="2140"/>
      <c r="G26" s="572"/>
      <c r="H26" s="572"/>
      <c r="I26" s="2144"/>
      <c r="J26" s="579" t="s">
        <v>2117</v>
      </c>
      <c r="K26" s="544">
        <v>325000</v>
      </c>
      <c r="L26" s="561">
        <v>585000</v>
      </c>
      <c r="M26" s="551">
        <v>731250</v>
      </c>
    </row>
    <row r="27" spans="2:13" ht="24.65" customHeight="1">
      <c r="B27" s="653"/>
      <c r="C27" s="594" t="s">
        <v>2119</v>
      </c>
      <c r="D27" s="595">
        <v>2000000</v>
      </c>
      <c r="E27" s="596">
        <v>2500000</v>
      </c>
      <c r="F27" s="2141"/>
      <c r="G27" s="572"/>
      <c r="H27" s="572"/>
      <c r="I27" s="2145"/>
      <c r="J27" s="580" t="s">
        <v>2119</v>
      </c>
      <c r="K27" s="544">
        <v>500000</v>
      </c>
      <c r="L27" s="546">
        <v>900000</v>
      </c>
      <c r="M27" s="551">
        <v>1125000</v>
      </c>
    </row>
    <row r="28" spans="2:13">
      <c r="I28" s="2144" t="s">
        <v>2121</v>
      </c>
      <c r="J28" s="573" t="s">
        <v>2102</v>
      </c>
      <c r="K28" s="558">
        <v>400000</v>
      </c>
      <c r="L28" s="559">
        <v>500000</v>
      </c>
      <c r="M28" s="560">
        <v>625000</v>
      </c>
    </row>
    <row r="29" spans="2:13" ht="14.9" customHeight="1">
      <c r="I29" s="2144"/>
      <c r="J29" s="573" t="s">
        <v>2107</v>
      </c>
      <c r="K29" s="544">
        <v>1200000</v>
      </c>
      <c r="L29" s="546">
        <v>1500000</v>
      </c>
      <c r="M29" s="551">
        <v>1875000</v>
      </c>
    </row>
    <row r="30" spans="2:13" ht="14.9" customHeight="1">
      <c r="I30" s="2144"/>
      <c r="J30" s="573" t="s">
        <v>2111</v>
      </c>
      <c r="K30" s="544">
        <v>2400000</v>
      </c>
      <c r="L30" s="546">
        <v>3000000</v>
      </c>
      <c r="M30" s="551">
        <v>3750000</v>
      </c>
    </row>
    <row r="31" spans="2:13" ht="14.9" customHeight="1">
      <c r="I31" s="2144"/>
      <c r="J31" s="579" t="s">
        <v>2116</v>
      </c>
      <c r="K31" s="562">
        <v>600000</v>
      </c>
      <c r="L31" s="550">
        <v>750000</v>
      </c>
      <c r="M31" s="2153" t="s">
        <v>2110</v>
      </c>
    </row>
    <row r="32" spans="2:13" ht="14.9" customHeight="1">
      <c r="I32" s="2144"/>
      <c r="J32" s="579" t="s">
        <v>2117</v>
      </c>
      <c r="K32" s="562">
        <v>1300000</v>
      </c>
      <c r="L32" s="550">
        <v>1625000</v>
      </c>
      <c r="M32" s="2153"/>
    </row>
    <row r="33" spans="9:13" ht="14.9" customHeight="1">
      <c r="I33" s="2144"/>
      <c r="J33" s="580" t="s">
        <v>2119</v>
      </c>
      <c r="K33" s="563">
        <v>2000000</v>
      </c>
      <c r="L33" s="564">
        <v>2500000</v>
      </c>
      <c r="M33" s="2154"/>
    </row>
    <row r="34" spans="9:13">
      <c r="I34" s="2128" t="s">
        <v>541</v>
      </c>
      <c r="J34" s="573" t="s">
        <v>2102</v>
      </c>
      <c r="K34" s="544">
        <v>720000</v>
      </c>
      <c r="L34" s="561">
        <v>950000</v>
      </c>
      <c r="M34" s="551">
        <v>1187500</v>
      </c>
    </row>
    <row r="35" spans="9:13" ht="14.9" customHeight="1">
      <c r="I35" s="2129"/>
      <c r="J35" s="573" t="s">
        <v>2107</v>
      </c>
      <c r="K35" s="565">
        <v>2160000</v>
      </c>
      <c r="L35" s="561">
        <v>2850000</v>
      </c>
      <c r="M35" s="566">
        <v>3562500</v>
      </c>
    </row>
    <row r="36" spans="9:13" ht="14.9" customHeight="1">
      <c r="I36" s="2130"/>
      <c r="J36" s="575" t="s">
        <v>2111</v>
      </c>
      <c r="K36" s="567">
        <v>4100000</v>
      </c>
      <c r="L36" s="568">
        <v>5700000</v>
      </c>
      <c r="M36" s="569">
        <v>7125000</v>
      </c>
    </row>
    <row r="37" spans="9:13">
      <c r="I37" s="2131" t="s">
        <v>2124</v>
      </c>
      <c r="J37" s="2132"/>
      <c r="K37" s="2135" t="s">
        <v>2125</v>
      </c>
      <c r="L37" s="2137" t="s">
        <v>2126</v>
      </c>
      <c r="M37" s="2146" t="s">
        <v>2127</v>
      </c>
    </row>
    <row r="38" spans="9:13" ht="14.9" customHeight="1">
      <c r="I38" s="2133"/>
      <c r="J38" s="2134"/>
      <c r="K38" s="2136"/>
      <c r="L38" s="2138"/>
      <c r="M38" s="2147"/>
    </row>
    <row r="39" spans="9:13">
      <c r="I39" s="2126" t="s">
        <v>2128</v>
      </c>
      <c r="J39" s="557" t="s">
        <v>2102</v>
      </c>
      <c r="K39" s="565">
        <v>1800000</v>
      </c>
      <c r="L39" s="561">
        <v>2200000</v>
      </c>
      <c r="M39" s="566">
        <v>2750000</v>
      </c>
    </row>
    <row r="40" spans="9:13">
      <c r="I40" s="2126"/>
      <c r="J40" s="543" t="s">
        <v>2107</v>
      </c>
      <c r="K40" s="565">
        <v>5400000</v>
      </c>
      <c r="L40" s="561">
        <v>6600000</v>
      </c>
      <c r="M40" s="566">
        <v>8250000</v>
      </c>
    </row>
    <row r="41" spans="9:13">
      <c r="I41" s="2127"/>
      <c r="J41" s="547" t="s">
        <v>2111</v>
      </c>
      <c r="K41" s="598">
        <v>10800000</v>
      </c>
      <c r="L41" s="599">
        <v>13200000</v>
      </c>
      <c r="M41" s="600">
        <v>16500000</v>
      </c>
    </row>
  </sheetData>
  <mergeCells count="15">
    <mergeCell ref="F25:F27"/>
    <mergeCell ref="I14:J14"/>
    <mergeCell ref="I15:I17"/>
    <mergeCell ref="M37:M38"/>
    <mergeCell ref="M15:M17"/>
    <mergeCell ref="I18:I23"/>
    <mergeCell ref="M20:M23"/>
    <mergeCell ref="I24:I27"/>
    <mergeCell ref="I28:I33"/>
    <mergeCell ref="M31:M33"/>
    <mergeCell ref="I39:I41"/>
    <mergeCell ref="I34:I36"/>
    <mergeCell ref="I37:J38"/>
    <mergeCell ref="K37:K38"/>
    <mergeCell ref="L37:L38"/>
  </mergeCells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A1E5C-A58F-4733-BB70-3248CD5B0BDE}">
  <sheetPr codeName="Sheet28" filterMode="1">
    <pageSetUpPr fitToPage="1"/>
  </sheetPr>
  <dimension ref="A1:AF1048576"/>
  <sheetViews>
    <sheetView topLeftCell="N1" zoomScale="90" zoomScaleNormal="90" workbookViewId="0">
      <selection activeCell="W7" sqref="W7"/>
    </sheetView>
  </sheetViews>
  <sheetFormatPr defaultColWidth="9.1796875" defaultRowHeight="14.5" outlineLevelCol="1"/>
  <cols>
    <col min="1" max="2" width="8.81640625" style="837" customWidth="1"/>
    <col min="3" max="3" width="8.81640625" style="837" bestFit="1" customWidth="1"/>
    <col min="4" max="4" width="27.26953125" style="837" customWidth="1"/>
    <col min="5" max="5" width="13.81640625" style="837" customWidth="1"/>
    <col min="6" max="6" width="10.81640625" style="837" bestFit="1" customWidth="1"/>
    <col min="7" max="7" width="10" style="837" customWidth="1"/>
    <col min="8" max="8" width="38.26953125" style="837" customWidth="1" outlineLevel="1"/>
    <col min="9" max="9" width="13.81640625" style="838" customWidth="1" outlineLevel="1"/>
    <col min="10" max="10" width="9.7265625" style="838" customWidth="1" outlineLevel="1"/>
    <col min="11" max="11" width="9.26953125" style="837" customWidth="1" outlineLevel="1"/>
    <col min="12" max="12" width="13.1796875" style="837" customWidth="1" outlineLevel="1"/>
    <col min="13" max="13" width="15" style="837" customWidth="1"/>
    <col min="14" max="14" width="22.26953125" style="837" customWidth="1"/>
    <col min="15" max="15" width="12.54296875" style="837" customWidth="1"/>
    <col min="16" max="16" width="13.1796875" style="837" customWidth="1"/>
    <col min="17" max="17" width="13.26953125" style="1828" customWidth="1"/>
    <col min="18" max="18" width="11.26953125" style="837" bestFit="1" customWidth="1"/>
    <col min="19" max="19" width="9.1796875" style="837" bestFit="1" customWidth="1"/>
    <col min="20" max="20" width="9.1796875" style="837" customWidth="1"/>
    <col min="21" max="21" width="14.1796875" style="837" customWidth="1"/>
    <col min="22" max="22" width="16.54296875" style="837" customWidth="1"/>
    <col min="23" max="23" width="14.26953125" style="1828" customWidth="1"/>
    <col min="24" max="24" width="13.1796875" style="837" bestFit="1" customWidth="1"/>
    <col min="25" max="25" width="28.1796875" style="837" customWidth="1"/>
    <col min="26" max="26" width="13.7265625" style="837" customWidth="1"/>
    <col min="27" max="30" width="9.1796875" style="837" customWidth="1"/>
    <col min="31" max="16384" width="9.1796875" style="837"/>
  </cols>
  <sheetData>
    <row r="1" spans="1:32">
      <c r="A1" s="68"/>
      <c r="B1" s="68"/>
      <c r="C1" s="68"/>
      <c r="D1" s="68"/>
      <c r="E1" s="68"/>
      <c r="F1" s="68"/>
      <c r="G1" s="68"/>
      <c r="H1" s="68"/>
      <c r="I1" s="59"/>
      <c r="J1" s="59"/>
      <c r="K1" s="68"/>
      <c r="L1" s="68"/>
      <c r="M1" s="68"/>
      <c r="N1" s="68"/>
      <c r="O1" s="68"/>
      <c r="P1" s="68"/>
      <c r="Q1" s="1782"/>
      <c r="R1" s="68"/>
      <c r="S1" s="68"/>
      <c r="T1" s="68"/>
      <c r="U1" s="68"/>
      <c r="V1" s="68"/>
      <c r="W1" s="1782"/>
      <c r="X1" s="68"/>
      <c r="Y1" s="68"/>
      <c r="Z1" s="68"/>
      <c r="AA1" s="68"/>
      <c r="AB1" s="68"/>
      <c r="AC1" s="68"/>
      <c r="AD1" s="68"/>
      <c r="AE1" s="68"/>
      <c r="AF1" s="68"/>
    </row>
    <row r="2" spans="1:32" s="1787" customFormat="1" ht="20.25" customHeight="1">
      <c r="A2" s="390" t="s">
        <v>0</v>
      </c>
      <c r="B2" s="391"/>
      <c r="C2" s="391"/>
      <c r="D2" s="391"/>
      <c r="E2" s="391"/>
      <c r="F2" s="391"/>
      <c r="G2" s="391"/>
      <c r="H2" s="391"/>
      <c r="I2" s="52"/>
      <c r="J2" s="389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1783"/>
      <c r="X2" s="1784"/>
      <c r="Y2" s="391"/>
      <c r="Z2" s="1785"/>
      <c r="AA2" s="67"/>
      <c r="AB2" s="67"/>
      <c r="AC2" s="67"/>
      <c r="AD2" s="67"/>
      <c r="AE2" s="1786"/>
      <c r="AF2" s="68" t="s">
        <v>1</v>
      </c>
    </row>
    <row r="3" spans="1:32" s="1787" customFormat="1" ht="20.25" customHeight="1">
      <c r="A3" s="393" t="s">
        <v>2</v>
      </c>
      <c r="B3" s="394"/>
      <c r="C3" s="394"/>
      <c r="D3" s="394"/>
      <c r="E3" s="394"/>
      <c r="F3" s="394"/>
      <c r="G3" s="394"/>
      <c r="H3" s="394"/>
      <c r="I3" s="60"/>
      <c r="J3" s="392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4"/>
      <c r="W3" s="1788"/>
      <c r="X3" s="1789"/>
      <c r="Y3" s="394"/>
      <c r="Z3" s="1790"/>
      <c r="AA3" s="67"/>
      <c r="AB3" s="67"/>
      <c r="AC3" s="67"/>
      <c r="AD3" s="67"/>
      <c r="AE3" s="1791"/>
      <c r="AF3" s="68" t="s">
        <v>3</v>
      </c>
    </row>
    <row r="4" spans="1:32" s="1787" customFormat="1" ht="20.25" customHeight="1">
      <c r="A4" s="393" t="s">
        <v>2129</v>
      </c>
      <c r="B4" s="394"/>
      <c r="C4" s="394"/>
      <c r="D4" s="394"/>
      <c r="E4" s="394"/>
      <c r="F4" s="394"/>
      <c r="G4" s="394"/>
      <c r="H4" s="394"/>
      <c r="I4" s="60"/>
      <c r="J4" s="392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1788"/>
      <c r="X4" s="1789"/>
      <c r="Y4" s="394"/>
      <c r="Z4" s="1790"/>
      <c r="AA4" s="67"/>
      <c r="AB4" s="67"/>
      <c r="AC4" s="67"/>
      <c r="AD4" s="67"/>
      <c r="AE4" s="1792"/>
      <c r="AF4" s="68" t="s">
        <v>5</v>
      </c>
    </row>
    <row r="5" spans="1:32" s="1787" customFormat="1" ht="6" customHeight="1">
      <c r="A5" s="67"/>
      <c r="B5" s="67"/>
      <c r="C5" s="67"/>
      <c r="D5" s="67"/>
      <c r="E5" s="67"/>
      <c r="F5" s="67"/>
      <c r="G5" s="67"/>
      <c r="H5" s="67"/>
      <c r="I5" s="66"/>
      <c r="J5" s="66"/>
      <c r="K5" s="67"/>
      <c r="L5" s="67"/>
      <c r="M5" s="68"/>
      <c r="N5" s="68"/>
      <c r="O5" s="68"/>
      <c r="P5" s="67"/>
      <c r="Q5" s="1793"/>
      <c r="R5" s="67"/>
      <c r="S5" s="67"/>
      <c r="T5" s="67"/>
      <c r="U5" s="67"/>
      <c r="V5" s="67"/>
      <c r="W5" s="1793"/>
      <c r="X5" s="1794"/>
      <c r="Y5" s="67"/>
      <c r="Z5" s="1795"/>
      <c r="AA5" s="67"/>
      <c r="AB5" s="67"/>
      <c r="AC5" s="67"/>
      <c r="AD5" s="67"/>
      <c r="AE5" s="67"/>
      <c r="AF5" s="67"/>
    </row>
    <row r="6" spans="1:32" s="1871" customFormat="1" ht="51" customHeight="1">
      <c r="A6" s="1872" t="s">
        <v>6</v>
      </c>
      <c r="B6" s="1872" t="s">
        <v>6</v>
      </c>
      <c r="C6" s="1872" t="s">
        <v>7</v>
      </c>
      <c r="D6" s="1872" t="s">
        <v>8</v>
      </c>
      <c r="E6" s="1872" t="s">
        <v>9</v>
      </c>
      <c r="F6" s="1872" t="s">
        <v>10</v>
      </c>
      <c r="G6" s="1873" t="s">
        <v>11</v>
      </c>
      <c r="H6" s="1872" t="s">
        <v>1143</v>
      </c>
      <c r="I6" s="1874" t="s">
        <v>13</v>
      </c>
      <c r="J6" s="1875" t="s">
        <v>14</v>
      </c>
      <c r="K6" s="1876" t="s">
        <v>15</v>
      </c>
      <c r="L6" s="1873" t="s">
        <v>16</v>
      </c>
      <c r="M6" s="1873" t="s">
        <v>17</v>
      </c>
      <c r="N6" s="1872" t="s">
        <v>18</v>
      </c>
      <c r="O6" s="1877" t="s">
        <v>19</v>
      </c>
      <c r="P6" s="1873" t="s">
        <v>20</v>
      </c>
      <c r="Q6" s="1878" t="s">
        <v>21</v>
      </c>
      <c r="R6" s="1873" t="s">
        <v>22</v>
      </c>
      <c r="S6" s="1873" t="s">
        <v>23</v>
      </c>
      <c r="T6" s="1873" t="s">
        <v>1145</v>
      </c>
      <c r="U6" s="1873" t="s">
        <v>24</v>
      </c>
      <c r="V6" s="1879" t="s">
        <v>25</v>
      </c>
      <c r="W6" s="1873" t="s">
        <v>1146</v>
      </c>
      <c r="X6" s="1868"/>
      <c r="Y6" s="1868"/>
      <c r="Z6" s="1868"/>
      <c r="AA6" s="1867" t="s">
        <v>27</v>
      </c>
      <c r="AB6" s="1869" t="s">
        <v>28</v>
      </c>
      <c r="AC6" s="1870" t="s">
        <v>29</v>
      </c>
      <c r="AD6" s="1867" t="s">
        <v>30</v>
      </c>
      <c r="AE6" s="1868"/>
      <c r="AF6" s="1868"/>
    </row>
    <row r="7" spans="1:32" s="1375" customFormat="1" ht="13">
      <c r="A7" s="1427"/>
      <c r="B7" s="1893">
        <v>1</v>
      </c>
      <c r="C7" s="1894" t="s">
        <v>2130</v>
      </c>
      <c r="D7" s="1895" t="s">
        <v>32</v>
      </c>
      <c r="E7" s="1895" t="s">
        <v>2131</v>
      </c>
      <c r="F7" s="1896">
        <v>930</v>
      </c>
      <c r="G7" s="1896">
        <v>1100</v>
      </c>
      <c r="H7" s="1895" t="s">
        <v>1284</v>
      </c>
      <c r="I7" s="1897" t="s">
        <v>35</v>
      </c>
      <c r="J7" s="1898" t="s">
        <v>36</v>
      </c>
      <c r="K7" s="1899" t="s">
        <v>37</v>
      </c>
      <c r="L7" s="1900"/>
      <c r="M7" s="1901" t="s">
        <v>47</v>
      </c>
      <c r="N7" s="1902" t="s">
        <v>2132</v>
      </c>
      <c r="O7" s="1895" t="s">
        <v>40</v>
      </c>
      <c r="P7" s="1903"/>
      <c r="Q7" s="1508">
        <f t="shared" ref="Q7:Q13" si="0">IF((S7-T7)&gt;=8,R7*6,IF(AND((S7-T7)&lt;8,(S7-T7)&gt;=4),R7*3,0))</f>
        <v>0</v>
      </c>
      <c r="R7" s="1508">
        <v>950000</v>
      </c>
      <c r="S7" s="1904">
        <f>(G7-950)/100</f>
        <v>1.5</v>
      </c>
      <c r="T7" s="1776"/>
      <c r="U7" s="1903"/>
      <c r="V7" s="1508">
        <f t="shared" ref="V7:V70" si="1">S7*R7*(100-P7)/100</f>
        <v>1425000</v>
      </c>
      <c r="W7" s="1501">
        <f>(Q7+(((S7-T7)-0)*R7))*((100-P7)/100)</f>
        <v>1425000</v>
      </c>
      <c r="X7" s="1372"/>
      <c r="Y7" s="1372"/>
      <c r="Z7" s="1372"/>
      <c r="AA7" s="1372"/>
      <c r="AB7" s="1373"/>
      <c r="AC7" s="1374"/>
      <c r="AD7" s="1372"/>
      <c r="AE7" s="1372"/>
      <c r="AF7" s="1372"/>
    </row>
    <row r="8" spans="1:32" s="1389" customFormat="1" ht="13" hidden="1">
      <c r="A8" s="1376"/>
      <c r="B8" s="1762">
        <v>2</v>
      </c>
      <c r="C8" s="1750" t="s">
        <v>2133</v>
      </c>
      <c r="D8" s="1751" t="s">
        <v>32</v>
      </c>
      <c r="E8" s="1751" t="s">
        <v>2134</v>
      </c>
      <c r="F8" s="1752">
        <v>1430</v>
      </c>
      <c r="G8" s="1752">
        <v>1730</v>
      </c>
      <c r="H8" s="1751" t="s">
        <v>1472</v>
      </c>
      <c r="I8" s="1742" t="s">
        <v>35</v>
      </c>
      <c r="J8" s="1733" t="s">
        <v>36</v>
      </c>
      <c r="K8" s="1740" t="s">
        <v>37</v>
      </c>
      <c r="L8" s="1751"/>
      <c r="M8" s="1833" t="s">
        <v>38</v>
      </c>
      <c r="N8" s="1757" t="s">
        <v>2135</v>
      </c>
      <c r="O8" s="1751" t="s">
        <v>40</v>
      </c>
      <c r="P8" s="1834"/>
      <c r="Q8" s="1401">
        <f t="shared" si="0"/>
        <v>0</v>
      </c>
      <c r="R8" s="1402">
        <v>950000</v>
      </c>
      <c r="S8" s="1778">
        <f t="shared" ref="S8:S71" si="2">(G8-F8)/100</f>
        <v>3</v>
      </c>
      <c r="T8" s="1403">
        <v>3</v>
      </c>
      <c r="U8" s="1750"/>
      <c r="V8" s="1834">
        <f t="shared" si="1"/>
        <v>2850000</v>
      </c>
      <c r="W8" s="1431">
        <f>(Q8+(((S8-T8)-0)*R8))*((100-P8)/100)</f>
        <v>0</v>
      </c>
      <c r="X8" s="1386"/>
      <c r="Y8" s="1387"/>
      <c r="Z8" s="1386"/>
      <c r="AA8" s="1388"/>
      <c r="AB8" s="1388"/>
      <c r="AC8" s="1388"/>
      <c r="AD8" s="1388"/>
      <c r="AE8" s="1388"/>
      <c r="AF8" s="1388"/>
    </row>
    <row r="9" spans="1:32" s="1375" customFormat="1" hidden="1">
      <c r="A9" s="1359"/>
      <c r="B9" s="1763">
        <v>3</v>
      </c>
      <c r="C9" s="1753">
        <v>4724</v>
      </c>
      <c r="D9" s="1755" t="s">
        <v>43</v>
      </c>
      <c r="E9" s="1754" t="s">
        <v>2134</v>
      </c>
      <c r="F9" s="1755" t="s">
        <v>1484</v>
      </c>
      <c r="G9" s="1755" t="s">
        <v>2136</v>
      </c>
      <c r="H9" s="1813" t="s">
        <v>2137</v>
      </c>
      <c r="I9" s="1736" t="s">
        <v>35</v>
      </c>
      <c r="J9" s="1905" t="s">
        <v>36</v>
      </c>
      <c r="K9" s="1738" t="s">
        <v>76</v>
      </c>
      <c r="L9" s="1739"/>
      <c r="M9" s="1472" t="s">
        <v>287</v>
      </c>
      <c r="N9" s="1472" t="s">
        <v>2138</v>
      </c>
      <c r="O9" s="1813" t="s">
        <v>40</v>
      </c>
      <c r="P9" s="1395"/>
      <c r="Q9" s="1401">
        <f t="shared" si="0"/>
        <v>0</v>
      </c>
      <c r="R9" s="1401">
        <v>500000</v>
      </c>
      <c r="S9" s="1778">
        <f t="shared" si="2"/>
        <v>1</v>
      </c>
      <c r="T9" s="1403"/>
      <c r="U9" s="1777"/>
      <c r="V9" s="1401">
        <f t="shared" si="1"/>
        <v>500000</v>
      </c>
      <c r="W9" s="1431">
        <f t="shared" ref="W9:W15" si="3">(Q9+(((S9-T9)-0)*R9))*((100-P9)/100)</f>
        <v>500000</v>
      </c>
      <c r="X9" s="1405"/>
      <c r="Y9" s="1405"/>
      <c r="Z9" s="1405"/>
      <c r="AA9" s="1405"/>
      <c r="AB9" s="1405"/>
      <c r="AC9" s="1405"/>
      <c r="AD9" s="1405"/>
      <c r="AE9" s="1405"/>
      <c r="AF9" s="1405"/>
    </row>
    <row r="10" spans="1:32" s="1420" customFormat="1" ht="13" hidden="1">
      <c r="A10" s="1359"/>
      <c r="B10" s="1761">
        <v>4</v>
      </c>
      <c r="C10" s="1747" t="s">
        <v>2139</v>
      </c>
      <c r="D10" s="1748" t="s">
        <v>75</v>
      </c>
      <c r="E10" s="1748" t="s">
        <v>2140</v>
      </c>
      <c r="F10" s="1749">
        <v>1000</v>
      </c>
      <c r="G10" s="1749">
        <v>1100</v>
      </c>
      <c r="H10" s="1748" t="s">
        <v>2141</v>
      </c>
      <c r="I10" s="1742" t="s">
        <v>35</v>
      </c>
      <c r="J10" s="1733" t="s">
        <v>36</v>
      </c>
      <c r="K10" s="1740" t="s">
        <v>64</v>
      </c>
      <c r="L10" s="1739"/>
      <c r="M10" s="1472" t="s">
        <v>287</v>
      </c>
      <c r="N10" s="1744" t="s">
        <v>2142</v>
      </c>
      <c r="O10" s="1748" t="s">
        <v>40</v>
      </c>
      <c r="P10" s="1399"/>
      <c r="Q10" s="1401">
        <f t="shared" si="0"/>
        <v>0</v>
      </c>
      <c r="R10" s="1401">
        <v>500000</v>
      </c>
      <c r="S10" s="1778">
        <f t="shared" si="2"/>
        <v>1</v>
      </c>
      <c r="T10" s="1403"/>
      <c r="U10" s="1496"/>
      <c r="V10" s="1401">
        <f t="shared" si="1"/>
        <v>500000</v>
      </c>
      <c r="W10" s="1431">
        <f t="shared" si="3"/>
        <v>500000</v>
      </c>
      <c r="X10" s="1417"/>
      <c r="Y10" s="1418"/>
      <c r="Z10" s="1417"/>
      <c r="AA10" s="1419"/>
      <c r="AB10" s="1419"/>
      <c r="AC10" s="1419"/>
      <c r="AD10" s="1419"/>
      <c r="AE10" s="1419"/>
      <c r="AF10" s="1419"/>
    </row>
    <row r="11" spans="1:32" s="1420" customFormat="1" ht="13" hidden="1">
      <c r="A11" s="1359"/>
      <c r="B11" s="1803">
        <v>5</v>
      </c>
      <c r="C11" s="1747" t="s">
        <v>2143</v>
      </c>
      <c r="D11" s="1748" t="s">
        <v>43</v>
      </c>
      <c r="E11" s="1748" t="s">
        <v>2140</v>
      </c>
      <c r="F11" s="1749">
        <v>1000</v>
      </c>
      <c r="G11" s="1749">
        <v>1100</v>
      </c>
      <c r="H11" s="1748" t="s">
        <v>2141</v>
      </c>
      <c r="I11" s="1742" t="s">
        <v>35</v>
      </c>
      <c r="J11" s="1733" t="s">
        <v>36</v>
      </c>
      <c r="K11" s="1740" t="s">
        <v>64</v>
      </c>
      <c r="L11" s="1755"/>
      <c r="M11" s="1472" t="s">
        <v>287</v>
      </c>
      <c r="N11" s="1744" t="s">
        <v>2144</v>
      </c>
      <c r="O11" s="1748" t="s">
        <v>40</v>
      </c>
      <c r="P11" s="1758"/>
      <c r="Q11" s="1401">
        <f t="shared" si="0"/>
        <v>0</v>
      </c>
      <c r="R11" s="1401">
        <v>500000</v>
      </c>
      <c r="S11" s="1778">
        <f t="shared" si="2"/>
        <v>1</v>
      </c>
      <c r="T11" s="1403"/>
      <c r="U11" s="1753"/>
      <c r="V11" s="1401">
        <f t="shared" si="1"/>
        <v>500000</v>
      </c>
      <c r="W11" s="1431">
        <f t="shared" si="3"/>
        <v>500000</v>
      </c>
      <c r="X11" s="1419"/>
      <c r="Y11" s="1419"/>
      <c r="Z11" s="1419"/>
      <c r="AA11" s="1419"/>
      <c r="AB11" s="1419"/>
      <c r="AC11" s="1419"/>
      <c r="AD11" s="1419"/>
      <c r="AE11" s="1419"/>
      <c r="AF11" s="1419"/>
    </row>
    <row r="12" spans="1:32" s="1420" customFormat="1" ht="14">
      <c r="A12" s="1359"/>
      <c r="B12" s="1803">
        <v>6</v>
      </c>
      <c r="C12" s="1747" t="s">
        <v>2145</v>
      </c>
      <c r="D12" s="1748" t="s">
        <v>375</v>
      </c>
      <c r="E12" s="1748" t="s">
        <v>2146</v>
      </c>
      <c r="F12" s="1749">
        <v>1100</v>
      </c>
      <c r="G12" s="1749">
        <v>1200</v>
      </c>
      <c r="H12" s="1748" t="s">
        <v>2061</v>
      </c>
      <c r="I12" s="1742" t="s">
        <v>35</v>
      </c>
      <c r="J12" s="1733" t="s">
        <v>36</v>
      </c>
      <c r="K12" s="1740" t="s">
        <v>133</v>
      </c>
      <c r="L12" s="1804" t="s">
        <v>1164</v>
      </c>
      <c r="M12" s="1804" t="s">
        <v>47</v>
      </c>
      <c r="N12" s="1744" t="s">
        <v>2147</v>
      </c>
      <c r="O12" s="1748" t="s">
        <v>40</v>
      </c>
      <c r="P12" s="1836"/>
      <c r="Q12" s="1401">
        <f t="shared" si="0"/>
        <v>0</v>
      </c>
      <c r="R12" s="1402">
        <v>180000</v>
      </c>
      <c r="S12" s="1778">
        <f t="shared" si="2"/>
        <v>1</v>
      </c>
      <c r="T12" s="1403"/>
      <c r="U12" s="1755"/>
      <c r="V12" s="1472">
        <f t="shared" si="1"/>
        <v>180000</v>
      </c>
      <c r="W12" s="1501">
        <f t="shared" si="3"/>
        <v>180000</v>
      </c>
      <c r="X12" s="1417"/>
      <c r="Y12" s="1426"/>
      <c r="Z12" s="1417"/>
      <c r="AA12" s="1419"/>
      <c r="AB12" s="1419"/>
      <c r="AC12" s="1419"/>
      <c r="AD12" s="1419"/>
      <c r="AE12" s="1419"/>
      <c r="AF12" s="1419"/>
    </row>
    <row r="13" spans="1:32" s="1420" customFormat="1" ht="13">
      <c r="A13" s="1497"/>
      <c r="B13" s="1803">
        <v>7</v>
      </c>
      <c r="C13" s="1747" t="s">
        <v>2148</v>
      </c>
      <c r="D13" s="1748" t="s">
        <v>32</v>
      </c>
      <c r="E13" s="1748" t="s">
        <v>2149</v>
      </c>
      <c r="F13" s="1749">
        <v>1430</v>
      </c>
      <c r="G13" s="1749">
        <v>1630</v>
      </c>
      <c r="H13" s="1748" t="s">
        <v>2150</v>
      </c>
      <c r="I13" s="1742" t="s">
        <v>35</v>
      </c>
      <c r="J13" s="1733" t="s">
        <v>36</v>
      </c>
      <c r="K13" s="1740" t="s">
        <v>37</v>
      </c>
      <c r="L13" s="1804" t="s">
        <v>403</v>
      </c>
      <c r="M13" s="1804" t="s">
        <v>47</v>
      </c>
      <c r="N13" s="1744" t="s">
        <v>2151</v>
      </c>
      <c r="O13" s="1748" t="s">
        <v>40</v>
      </c>
      <c r="P13" s="1832"/>
      <c r="Q13" s="1401">
        <f t="shared" si="0"/>
        <v>0</v>
      </c>
      <c r="R13" s="1508">
        <v>950000</v>
      </c>
      <c r="S13" s="1778">
        <f t="shared" si="2"/>
        <v>2</v>
      </c>
      <c r="T13" s="1403"/>
      <c r="U13" s="1832"/>
      <c r="V13" s="1401">
        <f t="shared" si="1"/>
        <v>1900000</v>
      </c>
      <c r="W13" s="1501">
        <f t="shared" si="3"/>
        <v>1900000</v>
      </c>
      <c r="X13" s="1432"/>
      <c r="Y13" s="1433"/>
      <c r="Z13" s="1372"/>
      <c r="AA13" s="1372"/>
      <c r="AB13" s="1373"/>
      <c r="AC13" s="1374"/>
      <c r="AD13" s="1372"/>
      <c r="AE13" s="1372"/>
      <c r="AF13" s="1372"/>
    </row>
    <row r="14" spans="1:32" s="1420" customFormat="1" ht="14.5" customHeight="1">
      <c r="A14" s="1830"/>
      <c r="B14" s="1835">
        <v>8</v>
      </c>
      <c r="C14" s="1747" t="s">
        <v>2152</v>
      </c>
      <c r="D14" s="1748" t="s">
        <v>43</v>
      </c>
      <c r="E14" s="1748" t="s">
        <v>2149</v>
      </c>
      <c r="F14" s="1749">
        <v>1400</v>
      </c>
      <c r="G14" s="1749">
        <v>1500</v>
      </c>
      <c r="H14" s="1748" t="s">
        <v>2150</v>
      </c>
      <c r="I14" s="1742" t="s">
        <v>35</v>
      </c>
      <c r="J14" s="1733" t="s">
        <v>36</v>
      </c>
      <c r="K14" s="1740" t="s">
        <v>76</v>
      </c>
      <c r="L14" s="1804" t="s">
        <v>403</v>
      </c>
      <c r="M14" s="1804" t="s">
        <v>47</v>
      </c>
      <c r="N14" s="1744" t="s">
        <v>2153</v>
      </c>
      <c r="O14" s="1748" t="s">
        <v>40</v>
      </c>
      <c r="P14" s="1758"/>
      <c r="Q14" s="1401">
        <f>IF((S14-T14)&gt;=8,R14*6,IF(AND((S14-T14)&lt;8,(S14-T14)&gt;=4),R14*3,0))</f>
        <v>0</v>
      </c>
      <c r="R14" s="1401">
        <v>500000</v>
      </c>
      <c r="S14" s="1778">
        <f t="shared" si="2"/>
        <v>1</v>
      </c>
      <c r="T14" s="1403"/>
      <c r="U14" s="1758"/>
      <c r="V14" s="1401">
        <f t="shared" si="1"/>
        <v>500000</v>
      </c>
      <c r="W14" s="1501">
        <f t="shared" si="3"/>
        <v>500000</v>
      </c>
      <c r="X14" s="1417"/>
      <c r="Y14" s="1431">
        <f>(Q14+((S14-0)*R14))*((100-P14)/100)</f>
        <v>500000</v>
      </c>
      <c r="Z14" s="1417"/>
      <c r="AA14" s="1419"/>
      <c r="AB14" s="1419"/>
      <c r="AC14" s="1419"/>
      <c r="AD14" s="1419"/>
      <c r="AE14" s="1419"/>
      <c r="AF14" s="1419"/>
    </row>
    <row r="15" spans="1:32" s="1420" customFormat="1" ht="13" hidden="1">
      <c r="A15" s="1427"/>
      <c r="B15" s="1803">
        <v>9</v>
      </c>
      <c r="C15" s="1747" t="s">
        <v>2154</v>
      </c>
      <c r="D15" s="1748" t="s">
        <v>65</v>
      </c>
      <c r="E15" s="1748" t="s">
        <v>2155</v>
      </c>
      <c r="F15" s="1749">
        <v>1400</v>
      </c>
      <c r="G15" s="1749">
        <v>1530</v>
      </c>
      <c r="H15" s="1748" t="s">
        <v>2156</v>
      </c>
      <c r="I15" s="1742" t="s">
        <v>35</v>
      </c>
      <c r="J15" s="1733" t="s">
        <v>36</v>
      </c>
      <c r="K15" s="1740" t="s">
        <v>61</v>
      </c>
      <c r="L15" s="1804"/>
      <c r="M15" s="1853" t="s">
        <v>1462</v>
      </c>
      <c r="N15" s="1744">
        <v>45630.480185185188</v>
      </c>
      <c r="O15" s="1748" t="s">
        <v>40</v>
      </c>
      <c r="P15" s="1832"/>
      <c r="Q15" s="1401">
        <f>IF((S15-T15)&gt;=8,R15*6,IF(AND((S15-T15)&lt;8,(S15-T15)&gt;=4),R15*3,0))</f>
        <v>0</v>
      </c>
      <c r="R15" s="1401">
        <v>180000</v>
      </c>
      <c r="S15" s="1778">
        <f>(1550-F15)/100</f>
        <v>1.5</v>
      </c>
      <c r="T15" s="1403"/>
      <c r="U15" s="1832"/>
      <c r="V15" s="1401">
        <f t="shared" si="1"/>
        <v>270000</v>
      </c>
      <c r="W15" s="1431">
        <f t="shared" si="3"/>
        <v>270000</v>
      </c>
      <c r="X15" s="1372"/>
      <c r="Y15" s="1372"/>
      <c r="Z15" s="1372"/>
      <c r="AA15" s="1372"/>
      <c r="AB15" s="1373"/>
      <c r="AC15" s="1374"/>
      <c r="AD15" s="1372"/>
      <c r="AE15" s="1372"/>
      <c r="AF15" s="1372"/>
    </row>
    <row r="16" spans="1:32" s="1808" customFormat="1" ht="13">
      <c r="A16" s="1802"/>
      <c r="B16" s="1803">
        <v>10</v>
      </c>
      <c r="C16" s="1747" t="s">
        <v>2157</v>
      </c>
      <c r="D16" s="1748" t="s">
        <v>32</v>
      </c>
      <c r="E16" s="1748" t="s">
        <v>2158</v>
      </c>
      <c r="F16" s="1749">
        <v>1500</v>
      </c>
      <c r="G16" s="1749">
        <v>1630</v>
      </c>
      <c r="H16" s="1748" t="s">
        <v>2159</v>
      </c>
      <c r="I16" s="1742" t="s">
        <v>35</v>
      </c>
      <c r="J16" s="1733" t="s">
        <v>36</v>
      </c>
      <c r="K16" s="1740" t="s">
        <v>37</v>
      </c>
      <c r="L16" s="1804" t="s">
        <v>2160</v>
      </c>
      <c r="M16" s="1804" t="s">
        <v>47</v>
      </c>
      <c r="N16" s="1744">
        <v>45508.694652777776</v>
      </c>
      <c r="O16" s="1748" t="s">
        <v>40</v>
      </c>
      <c r="P16" s="1747"/>
      <c r="Q16" s="1401">
        <f>IF((S16-T16)&gt;=8,R16*6,IF(AND((S16-T16)&lt;8,(S16-T16)&gt;=4),R16*3,0))</f>
        <v>0</v>
      </c>
      <c r="R16" s="1508">
        <v>950000</v>
      </c>
      <c r="S16" s="1778">
        <f>(1650-F16)/100</f>
        <v>1.5</v>
      </c>
      <c r="T16" s="1403"/>
      <c r="U16" s="1747"/>
      <c r="V16" s="1453">
        <f t="shared" si="1"/>
        <v>1425000</v>
      </c>
      <c r="W16" s="1501">
        <f>(Q16+(((S16-T16)-0)*R16))*((100-P16)/100)</f>
        <v>1425000</v>
      </c>
      <c r="X16" s="1805"/>
      <c r="Y16" s="1806"/>
      <c r="Z16" s="1805"/>
      <c r="AA16" s="1807"/>
      <c r="AB16" s="1807"/>
      <c r="AC16" s="1807"/>
      <c r="AD16" s="1807"/>
      <c r="AE16" s="1807"/>
      <c r="AF16" s="1807"/>
    </row>
    <row r="17" spans="1:32" s="1808" customFormat="1" ht="13" hidden="1">
      <c r="A17" s="1811"/>
      <c r="B17" s="1803">
        <v>11</v>
      </c>
      <c r="C17" s="1747" t="s">
        <v>2161</v>
      </c>
      <c r="D17" s="1748" t="s">
        <v>32</v>
      </c>
      <c r="E17" s="1748" t="s">
        <v>2162</v>
      </c>
      <c r="F17" s="1749">
        <v>1600</v>
      </c>
      <c r="G17" s="1749">
        <v>1800</v>
      </c>
      <c r="H17" s="1748" t="s">
        <v>2163</v>
      </c>
      <c r="I17" s="1742" t="s">
        <v>259</v>
      </c>
      <c r="J17" s="1733" t="s">
        <v>36</v>
      </c>
      <c r="K17" s="1740" t="s">
        <v>100</v>
      </c>
      <c r="L17" s="1804" t="s">
        <v>2164</v>
      </c>
      <c r="M17" s="1804" t="s">
        <v>124</v>
      </c>
      <c r="N17" s="1744">
        <v>45508.684201388889</v>
      </c>
      <c r="O17" s="1748" t="s">
        <v>40</v>
      </c>
      <c r="P17" s="1401"/>
      <c r="Q17" s="1401">
        <f t="shared" ref="Q17:Q22" si="4">IF((S17-T17)&gt;=8,R17*6,IF(AND((S17-T17)&lt;8,(S17-T17)&gt;=4),R17*3,0))</f>
        <v>0</v>
      </c>
      <c r="R17" s="1401">
        <v>950000</v>
      </c>
      <c r="S17" s="1778">
        <f t="shared" si="2"/>
        <v>2</v>
      </c>
      <c r="T17" s="1403"/>
      <c r="U17" s="1747"/>
      <c r="V17" s="1453">
        <f t="shared" si="1"/>
        <v>1900000</v>
      </c>
      <c r="W17" s="1431">
        <f>(Q17+(((S17-T17)-0)*R17))*((100-P17)/100)</f>
        <v>1900000</v>
      </c>
      <c r="X17" s="1805"/>
      <c r="Y17" s="1440">
        <f>(Q17+((S17-0)*R17))*((100-P17)/100)</f>
        <v>1900000</v>
      </c>
      <c r="Z17" s="1805"/>
      <c r="AA17" s="1807"/>
      <c r="AB17" s="1807"/>
      <c r="AC17" s="1807"/>
      <c r="AD17" s="1807"/>
      <c r="AE17" s="1807"/>
      <c r="AF17" s="1807"/>
    </row>
    <row r="18" spans="1:32" s="1420" customFormat="1" hidden="1">
      <c r="A18" s="1831"/>
      <c r="B18" s="1835">
        <v>12</v>
      </c>
      <c r="C18" s="1747" t="s">
        <v>2165</v>
      </c>
      <c r="D18" s="1748" t="s">
        <v>32</v>
      </c>
      <c r="E18" s="1748" t="s">
        <v>2162</v>
      </c>
      <c r="F18" s="1749">
        <v>1400</v>
      </c>
      <c r="G18" s="1749">
        <v>1600</v>
      </c>
      <c r="H18" s="1748" t="s">
        <v>2166</v>
      </c>
      <c r="I18" s="1742" t="s">
        <v>259</v>
      </c>
      <c r="J18" s="1733" t="s">
        <v>36</v>
      </c>
      <c r="K18" s="1740" t="s">
        <v>100</v>
      </c>
      <c r="L18" s="1804" t="s">
        <v>124</v>
      </c>
      <c r="M18" s="1804" t="s">
        <v>124</v>
      </c>
      <c r="N18" s="1744">
        <v>45508.672858796293</v>
      </c>
      <c r="O18" s="1748" t="s">
        <v>174</v>
      </c>
      <c r="P18" s="1809"/>
      <c r="Q18" s="1401">
        <f t="shared" si="4"/>
        <v>0</v>
      </c>
      <c r="R18" s="1401">
        <v>950000</v>
      </c>
      <c r="S18" s="1778">
        <f t="shared" si="2"/>
        <v>2</v>
      </c>
      <c r="T18" s="1403"/>
      <c r="U18" s="1747"/>
      <c r="V18" s="1453">
        <f t="shared" si="1"/>
        <v>1900000</v>
      </c>
      <c r="W18" s="1431">
        <f t="shared" ref="W18:W21" si="5">(Q18+(((S18-T18)-0)*R18))*((100-P18)/100)</f>
        <v>1900000</v>
      </c>
      <c r="X18" s="1417"/>
      <c r="Y18" s="1418"/>
      <c r="Z18" s="1417"/>
      <c r="AA18" s="1419"/>
      <c r="AB18" s="1419"/>
      <c r="AC18" s="1419"/>
      <c r="AD18" s="1419"/>
      <c r="AE18" s="1419"/>
      <c r="AF18" s="1419"/>
    </row>
    <row r="19" spans="1:32" s="1420" customFormat="1" ht="13" hidden="1">
      <c r="A19" s="1539"/>
      <c r="B19" s="1803">
        <v>13</v>
      </c>
      <c r="C19" s="1747" t="s">
        <v>2167</v>
      </c>
      <c r="D19" s="1748" t="s">
        <v>32</v>
      </c>
      <c r="E19" s="1748" t="s">
        <v>2149</v>
      </c>
      <c r="F19" s="1749">
        <v>1430</v>
      </c>
      <c r="G19" s="1749">
        <v>1630</v>
      </c>
      <c r="H19" s="1748" t="s">
        <v>2061</v>
      </c>
      <c r="I19" s="1742" t="s">
        <v>35</v>
      </c>
      <c r="J19" s="1733" t="s">
        <v>36</v>
      </c>
      <c r="K19" s="1740" t="s">
        <v>1529</v>
      </c>
      <c r="L19" s="1804" t="s">
        <v>2168</v>
      </c>
      <c r="M19" s="1804" t="s">
        <v>47</v>
      </c>
      <c r="N19" s="1744">
        <v>45416.649062500001</v>
      </c>
      <c r="O19" s="1748" t="s">
        <v>174</v>
      </c>
      <c r="P19" s="1814"/>
      <c r="Q19" s="1401">
        <f t="shared" si="4"/>
        <v>0</v>
      </c>
      <c r="R19" s="1402"/>
      <c r="S19" s="1778">
        <f t="shared" si="2"/>
        <v>2</v>
      </c>
      <c r="T19" s="1403"/>
      <c r="U19" s="1814"/>
      <c r="V19" s="1453">
        <f t="shared" si="1"/>
        <v>0</v>
      </c>
      <c r="W19" s="1431">
        <f>(Q19+(((S19-T19)-8)*R19))*((100-P19)/100)</f>
        <v>0</v>
      </c>
      <c r="X19" s="1455"/>
      <c r="Y19" s="1440">
        <f>(Q19+((S19-0)*R19))*((100-P19)/100)</f>
        <v>0</v>
      </c>
      <c r="Z19" s="1419"/>
      <c r="AA19" s="1419"/>
      <c r="AB19" s="1419"/>
      <c r="AC19" s="1419"/>
      <c r="AD19" s="1419"/>
      <c r="AE19" s="1419"/>
      <c r="AF19" s="1419"/>
    </row>
    <row r="20" spans="1:32" s="1420" customFormat="1" ht="13" hidden="1">
      <c r="A20" s="1359"/>
      <c r="B20" s="1803">
        <v>14</v>
      </c>
      <c r="C20" s="1747" t="s">
        <v>2169</v>
      </c>
      <c r="D20" s="1748" t="s">
        <v>75</v>
      </c>
      <c r="E20" s="1748" t="s">
        <v>2140</v>
      </c>
      <c r="F20" s="1749">
        <v>1330</v>
      </c>
      <c r="G20" s="1749">
        <v>1730</v>
      </c>
      <c r="H20" s="1748" t="s">
        <v>2170</v>
      </c>
      <c r="I20" s="1742" t="s">
        <v>35</v>
      </c>
      <c r="J20" s="1733" t="s">
        <v>36</v>
      </c>
      <c r="K20" s="1740" t="s">
        <v>906</v>
      </c>
      <c r="L20" s="1804"/>
      <c r="M20" s="1804" t="s">
        <v>2171</v>
      </c>
      <c r="N20" s="1744">
        <v>45386.425694444442</v>
      </c>
      <c r="O20" s="1748" t="s">
        <v>40</v>
      </c>
      <c r="P20" s="1401"/>
      <c r="Q20" s="1401">
        <f t="shared" si="4"/>
        <v>0</v>
      </c>
      <c r="R20" s="1401"/>
      <c r="S20" s="1778">
        <f t="shared" si="2"/>
        <v>4</v>
      </c>
      <c r="T20" s="1403"/>
      <c r="U20" s="1758"/>
      <c r="V20" s="1472">
        <f t="shared" si="1"/>
        <v>0</v>
      </c>
      <c r="W20" s="1431">
        <f t="shared" si="5"/>
        <v>0</v>
      </c>
      <c r="X20" s="1417"/>
      <c r="Y20" s="1431">
        <f>(Q20+((S20-0)*R20))*((100-P20)/100)</f>
        <v>0</v>
      </c>
      <c r="Z20" s="1417"/>
      <c r="AA20" s="1419"/>
      <c r="AB20" s="1419"/>
      <c r="AC20" s="1419"/>
      <c r="AD20" s="1419"/>
      <c r="AE20" s="1419"/>
      <c r="AF20" s="1419"/>
    </row>
    <row r="21" spans="1:32" s="1420" customFormat="1" ht="13" hidden="1">
      <c r="A21" s="1427"/>
      <c r="B21" s="1803">
        <v>15</v>
      </c>
      <c r="C21" s="1747" t="s">
        <v>2172</v>
      </c>
      <c r="D21" s="1748" t="s">
        <v>43</v>
      </c>
      <c r="E21" s="1748" t="s">
        <v>2140</v>
      </c>
      <c r="F21" s="1749">
        <v>1330</v>
      </c>
      <c r="G21" s="1749">
        <v>1730</v>
      </c>
      <c r="H21" s="1748" t="s">
        <v>2170</v>
      </c>
      <c r="I21" s="1742" t="s">
        <v>35</v>
      </c>
      <c r="J21" s="1733" t="s">
        <v>36</v>
      </c>
      <c r="K21" s="1740" t="s">
        <v>37</v>
      </c>
      <c r="L21" s="1804"/>
      <c r="M21" s="1804" t="s">
        <v>2171</v>
      </c>
      <c r="N21" s="1744">
        <v>45386.425462962965</v>
      </c>
      <c r="O21" s="1748" t="s">
        <v>40</v>
      </c>
      <c r="P21" s="1758"/>
      <c r="Q21" s="1401">
        <f t="shared" si="4"/>
        <v>0</v>
      </c>
      <c r="R21" s="1401"/>
      <c r="S21" s="1778">
        <f t="shared" si="2"/>
        <v>4</v>
      </c>
      <c r="T21" s="1403"/>
      <c r="U21" s="1758"/>
      <c r="V21" s="1401">
        <f t="shared" si="1"/>
        <v>0</v>
      </c>
      <c r="W21" s="1402">
        <f t="shared" si="5"/>
        <v>0</v>
      </c>
      <c r="X21" s="1417"/>
      <c r="Y21" s="1418"/>
      <c r="Z21" s="1417"/>
      <c r="AA21" s="1419"/>
      <c r="AB21" s="1419"/>
      <c r="AC21" s="1419"/>
      <c r="AD21" s="1419"/>
      <c r="AE21" s="1419"/>
      <c r="AF21" s="1419"/>
    </row>
    <row r="22" spans="1:32" s="1466" customFormat="1" hidden="1">
      <c r="A22" s="1802"/>
      <c r="B22" s="1803">
        <v>16</v>
      </c>
      <c r="C22" s="1747" t="s">
        <v>2173</v>
      </c>
      <c r="D22" s="1748" t="s">
        <v>32</v>
      </c>
      <c r="E22" s="1748" t="s">
        <v>2140</v>
      </c>
      <c r="F22" s="1749">
        <v>930</v>
      </c>
      <c r="G22" s="1749">
        <v>1330</v>
      </c>
      <c r="H22" s="1748" t="s">
        <v>2170</v>
      </c>
      <c r="I22" s="1742" t="s">
        <v>35</v>
      </c>
      <c r="J22" s="1733" t="s">
        <v>36</v>
      </c>
      <c r="K22" s="1740" t="s">
        <v>37</v>
      </c>
      <c r="L22" s="1804"/>
      <c r="M22" s="1804" t="s">
        <v>2171</v>
      </c>
      <c r="N22" s="1744">
        <v>45386.425162037034</v>
      </c>
      <c r="O22" s="1748" t="s">
        <v>40</v>
      </c>
      <c r="P22" s="1809"/>
      <c r="Q22" s="1401">
        <f t="shared" si="4"/>
        <v>0</v>
      </c>
      <c r="R22" s="1401"/>
      <c r="S22" s="1778">
        <f t="shared" si="2"/>
        <v>4</v>
      </c>
      <c r="T22" s="1403"/>
      <c r="U22" s="1747"/>
      <c r="V22" s="1453">
        <f t="shared" si="1"/>
        <v>0</v>
      </c>
      <c r="W22" s="1431">
        <f>(Q22+(((S22-T22)-4)*R22))*((100-P22)/100)</f>
        <v>0</v>
      </c>
      <c r="X22" s="1805"/>
      <c r="Y22" s="1810"/>
      <c r="Z22" s="1805"/>
      <c r="AA22" s="1807"/>
      <c r="AB22" s="1807"/>
      <c r="AC22" s="1807"/>
      <c r="AD22" s="1807"/>
      <c r="AE22" s="1807"/>
      <c r="AF22" s="1807"/>
    </row>
    <row r="23" spans="1:32" s="1420" customFormat="1" ht="13" hidden="1">
      <c r="A23" s="1427"/>
      <c r="B23" s="1360">
        <v>17</v>
      </c>
      <c r="C23" s="1540" t="s">
        <v>2174</v>
      </c>
      <c r="D23" s="1745" t="s">
        <v>43</v>
      </c>
      <c r="E23" s="1764" t="s">
        <v>2175</v>
      </c>
      <c r="F23" s="1765">
        <v>1500</v>
      </c>
      <c r="G23" s="1766">
        <v>1530</v>
      </c>
      <c r="H23" s="1838" t="s">
        <v>1315</v>
      </c>
      <c r="I23" s="1742" t="s">
        <v>35</v>
      </c>
      <c r="J23" s="1733" t="s">
        <v>36</v>
      </c>
      <c r="K23" s="1740" t="s">
        <v>76</v>
      </c>
      <c r="L23" s="1768"/>
      <c r="M23" s="1854" t="s">
        <v>1209</v>
      </c>
      <c r="N23" s="1769">
        <v>45355.678310185183</v>
      </c>
      <c r="O23" s="1838" t="s">
        <v>40</v>
      </c>
      <c r="P23" s="1480"/>
      <c r="Q23" s="1401">
        <f t="shared" ref="Q23:Q87" si="6">IF((S23-T23)&gt;=8,R23*6,IF(AND((S23-T23)&lt;8,(S23-T23)&gt;=4),R23*3,0))</f>
        <v>0</v>
      </c>
      <c r="R23" s="1500">
        <v>500000</v>
      </c>
      <c r="S23" s="1778">
        <f>(1550-F23)/100</f>
        <v>0.5</v>
      </c>
      <c r="T23" s="1772"/>
      <c r="U23" s="1780"/>
      <c r="V23" s="1500">
        <f t="shared" si="1"/>
        <v>250000</v>
      </c>
      <c r="W23" s="1431">
        <f>(Q23+(((S23-T23)-0)*R23))*((100-P23)/100)</f>
        <v>250000</v>
      </c>
      <c r="X23" s="1419"/>
      <c r="Y23" s="1440">
        <f>(Q23+((S23-0)*R23))*((100-P23)/100)</f>
        <v>250000</v>
      </c>
      <c r="Z23" s="1419"/>
      <c r="AA23" s="1419"/>
      <c r="AB23" s="1419"/>
      <c r="AC23" s="1419"/>
      <c r="AD23" s="1419"/>
      <c r="AE23" s="1419"/>
      <c r="AF23" s="1419"/>
    </row>
    <row r="24" spans="1:32" s="1420" customFormat="1" ht="13" hidden="1">
      <c r="A24" s="1434"/>
      <c r="B24" s="1803">
        <v>18</v>
      </c>
      <c r="C24" s="1747" t="s">
        <v>2176</v>
      </c>
      <c r="D24" s="1748" t="s">
        <v>32</v>
      </c>
      <c r="E24" s="1748" t="s">
        <v>2162</v>
      </c>
      <c r="F24" s="1749">
        <v>800</v>
      </c>
      <c r="G24" s="1749">
        <v>1200</v>
      </c>
      <c r="H24" s="1748" t="s">
        <v>2177</v>
      </c>
      <c r="I24" s="1742" t="s">
        <v>35</v>
      </c>
      <c r="J24" s="1733" t="s">
        <v>36</v>
      </c>
      <c r="K24" s="1740" t="s">
        <v>37</v>
      </c>
      <c r="L24" s="1804"/>
      <c r="M24" s="1804" t="s">
        <v>218</v>
      </c>
      <c r="N24" s="1744">
        <v>45355.526944444442</v>
      </c>
      <c r="O24" s="1748" t="s">
        <v>40</v>
      </c>
      <c r="P24" s="1401"/>
      <c r="Q24" s="1401">
        <f t="shared" si="6"/>
        <v>2850000</v>
      </c>
      <c r="R24" s="1402">
        <v>950000</v>
      </c>
      <c r="S24" s="1778">
        <f t="shared" si="2"/>
        <v>4</v>
      </c>
      <c r="T24" s="1403"/>
      <c r="U24" s="1753"/>
      <c r="V24" s="1401">
        <f t="shared" si="1"/>
        <v>3800000</v>
      </c>
      <c r="W24" s="1431">
        <f>(Q24+(((S24-T24)-4)*R24))*((100-P24)/100)</f>
        <v>2850000</v>
      </c>
      <c r="X24" s="1419"/>
      <c r="Y24" s="1419"/>
      <c r="Z24" s="1419"/>
      <c r="AA24" s="1419"/>
      <c r="AB24" s="1419"/>
      <c r="AC24" s="1419"/>
      <c r="AD24" s="1419"/>
      <c r="AE24" s="1419"/>
      <c r="AF24" s="1419"/>
    </row>
    <row r="25" spans="1:32" s="1808" customFormat="1" ht="13">
      <c r="A25" s="1811"/>
      <c r="B25" s="1763">
        <v>19</v>
      </c>
      <c r="C25" s="1758" t="s">
        <v>2178</v>
      </c>
      <c r="D25" s="1748" t="s">
        <v>32</v>
      </c>
      <c r="E25" s="1759">
        <v>45386</v>
      </c>
      <c r="F25" s="1760">
        <v>1400</v>
      </c>
      <c r="G25" s="1760">
        <v>1600</v>
      </c>
      <c r="H25" s="1755" t="s">
        <v>2061</v>
      </c>
      <c r="I25" s="1742" t="s">
        <v>35</v>
      </c>
      <c r="J25" s="1733" t="s">
        <v>36</v>
      </c>
      <c r="K25" s="1734" t="s">
        <v>171</v>
      </c>
      <c r="L25" s="1813" t="s">
        <v>2168</v>
      </c>
      <c r="M25" s="1813" t="s">
        <v>47</v>
      </c>
      <c r="N25" s="1829">
        <v>45295.611724537041</v>
      </c>
      <c r="O25" s="1755" t="s">
        <v>40</v>
      </c>
      <c r="P25" s="1747"/>
      <c r="Q25" s="1401">
        <f t="shared" si="6"/>
        <v>0</v>
      </c>
      <c r="R25" s="1508">
        <v>950000</v>
      </c>
      <c r="S25" s="1778">
        <f t="shared" si="2"/>
        <v>2</v>
      </c>
      <c r="T25" s="1403"/>
      <c r="U25" s="1814"/>
      <c r="V25" s="1453">
        <f t="shared" si="1"/>
        <v>1900000</v>
      </c>
      <c r="W25" s="1501">
        <f t="shared" ref="W25:W27" si="7">(Q25+(((S25-T25)-0)*R25))*((100-P25)/100)</f>
        <v>1900000</v>
      </c>
      <c r="X25" s="1807"/>
      <c r="Y25" s="1440">
        <f>(Q25+((S25-0)*R25))*((100-P25)/100)</f>
        <v>1900000</v>
      </c>
      <c r="Z25" s="1807"/>
      <c r="AA25" s="1807"/>
      <c r="AB25" s="1807"/>
      <c r="AC25" s="1807"/>
      <c r="AD25" s="1807"/>
      <c r="AE25" s="1807"/>
      <c r="AF25" s="1807"/>
    </row>
    <row r="26" spans="1:32" s="1808" customFormat="1" ht="13">
      <c r="A26" s="1390"/>
      <c r="B26" s="1803">
        <v>20</v>
      </c>
      <c r="C26" s="1747" t="s">
        <v>2179</v>
      </c>
      <c r="D26" s="1748" t="s">
        <v>43</v>
      </c>
      <c r="E26" s="1748" t="s">
        <v>2180</v>
      </c>
      <c r="F26" s="1749">
        <v>1600</v>
      </c>
      <c r="G26" s="1749">
        <v>1730</v>
      </c>
      <c r="H26" s="1748" t="s">
        <v>2061</v>
      </c>
      <c r="I26" s="1742" t="s">
        <v>35</v>
      </c>
      <c r="J26" s="1733" t="s">
        <v>36</v>
      </c>
      <c r="K26" s="1740" t="s">
        <v>76</v>
      </c>
      <c r="L26" s="1804" t="s">
        <v>2168</v>
      </c>
      <c r="M26" s="1804" t="s">
        <v>47</v>
      </c>
      <c r="N26" s="1744" t="s">
        <v>2181</v>
      </c>
      <c r="O26" s="1748" t="s">
        <v>40</v>
      </c>
      <c r="P26" s="1758"/>
      <c r="Q26" s="1401">
        <f t="shared" si="6"/>
        <v>0</v>
      </c>
      <c r="R26" s="1401">
        <v>500000</v>
      </c>
      <c r="S26" s="1778">
        <f>(1750-F26)/100</f>
        <v>1.5</v>
      </c>
      <c r="T26" s="1403"/>
      <c r="U26" s="1758"/>
      <c r="V26" s="1401">
        <f t="shared" si="1"/>
        <v>750000</v>
      </c>
      <c r="W26" s="1501">
        <f t="shared" si="7"/>
        <v>750000</v>
      </c>
      <c r="X26" s="1805"/>
      <c r="Y26" s="1810"/>
      <c r="Z26" s="1805"/>
      <c r="AA26" s="1807"/>
      <c r="AB26" s="1807"/>
      <c r="AC26" s="1807"/>
      <c r="AD26" s="1807"/>
      <c r="AE26" s="1807"/>
      <c r="AF26" s="1807"/>
    </row>
    <row r="27" spans="1:32" s="1817" customFormat="1" ht="13">
      <c r="A27" s="1812"/>
      <c r="B27" s="1803">
        <v>21</v>
      </c>
      <c r="C27" s="1747" t="s">
        <v>2182</v>
      </c>
      <c r="D27" s="1748" t="s">
        <v>43</v>
      </c>
      <c r="E27" s="1748" t="s">
        <v>2183</v>
      </c>
      <c r="F27" s="1749">
        <v>1600</v>
      </c>
      <c r="G27" s="1749">
        <v>1730</v>
      </c>
      <c r="H27" s="1748" t="s">
        <v>2061</v>
      </c>
      <c r="I27" s="1742" t="s">
        <v>35</v>
      </c>
      <c r="J27" s="1733" t="s">
        <v>36</v>
      </c>
      <c r="K27" s="1740" t="s">
        <v>76</v>
      </c>
      <c r="L27" s="1804" t="s">
        <v>2168</v>
      </c>
      <c r="M27" s="1804" t="s">
        <v>47</v>
      </c>
      <c r="N27" s="1744" t="s">
        <v>2184</v>
      </c>
      <c r="O27" s="1748" t="s">
        <v>40</v>
      </c>
      <c r="P27" s="1401"/>
      <c r="Q27" s="1401">
        <f t="shared" si="6"/>
        <v>0</v>
      </c>
      <c r="R27" s="1401">
        <v>500000</v>
      </c>
      <c r="S27" s="1778">
        <f>(1750-F27)/100</f>
        <v>1.5</v>
      </c>
      <c r="T27" s="1403">
        <v>1</v>
      </c>
      <c r="U27" s="1815"/>
      <c r="V27" s="1401">
        <f t="shared" si="1"/>
        <v>750000</v>
      </c>
      <c r="W27" s="1501">
        <f t="shared" si="7"/>
        <v>250000</v>
      </c>
      <c r="X27" s="1816"/>
      <c r="Y27" s="1431">
        <f>(Q27+((S27-0)*R27))*((100-P27)/100)</f>
        <v>750000</v>
      </c>
      <c r="Z27" s="1816"/>
      <c r="AA27" s="1816"/>
      <c r="AB27" s="1816"/>
      <c r="AC27" s="1816"/>
      <c r="AD27" s="1816"/>
      <c r="AE27" s="1816"/>
      <c r="AF27" s="1816"/>
    </row>
    <row r="28" spans="1:32" s="1817" customFormat="1" ht="13" hidden="1">
      <c r="A28" s="1390"/>
      <c r="B28" s="1803">
        <v>22</v>
      </c>
      <c r="C28" s="1747" t="s">
        <v>2185</v>
      </c>
      <c r="D28" s="1748" t="s">
        <v>32</v>
      </c>
      <c r="E28" s="1748" t="s">
        <v>2186</v>
      </c>
      <c r="F28" s="1749">
        <v>900</v>
      </c>
      <c r="G28" s="1749">
        <v>1800</v>
      </c>
      <c r="H28" s="1748" t="s">
        <v>1132</v>
      </c>
      <c r="I28" s="1742" t="s">
        <v>35</v>
      </c>
      <c r="J28" s="1733" t="s">
        <v>36</v>
      </c>
      <c r="K28" s="1740" t="s">
        <v>167</v>
      </c>
      <c r="L28" s="1804" t="s">
        <v>1920</v>
      </c>
      <c r="M28" s="1804" t="s">
        <v>1221</v>
      </c>
      <c r="N28" s="1744" t="s">
        <v>2187</v>
      </c>
      <c r="O28" s="1748" t="s">
        <v>40</v>
      </c>
      <c r="P28" s="1401"/>
      <c r="Q28" s="1401">
        <f t="shared" si="6"/>
        <v>5700000</v>
      </c>
      <c r="R28" s="1402">
        <v>950000</v>
      </c>
      <c r="S28" s="1778">
        <f t="shared" si="2"/>
        <v>9</v>
      </c>
      <c r="T28" s="1403"/>
      <c r="U28" s="1758"/>
      <c r="V28" s="1401">
        <f t="shared" si="1"/>
        <v>8550000</v>
      </c>
      <c r="W28" s="1431">
        <f>(Q28+(((S28-T28)-8)*R28))*((100-P28)/100)</f>
        <v>6650000</v>
      </c>
      <c r="X28" s="1805"/>
      <c r="Y28" s="1810"/>
      <c r="Z28" s="1805"/>
      <c r="AA28" s="1807"/>
      <c r="AB28" s="1807"/>
      <c r="AC28" s="1807"/>
      <c r="AD28" s="1807"/>
      <c r="AE28" s="1807"/>
      <c r="AF28" s="1807"/>
    </row>
    <row r="29" spans="1:32" s="1492" customFormat="1" ht="13" hidden="1">
      <c r="A29" s="1497"/>
      <c r="B29" s="1360">
        <v>23</v>
      </c>
      <c r="C29" s="1540" t="s">
        <v>2188</v>
      </c>
      <c r="D29" s="1764" t="s">
        <v>32</v>
      </c>
      <c r="E29" s="1764" t="s">
        <v>2140</v>
      </c>
      <c r="F29" s="1765">
        <v>1600</v>
      </c>
      <c r="G29" s="1765">
        <v>1730</v>
      </c>
      <c r="H29" s="1764" t="s">
        <v>1132</v>
      </c>
      <c r="I29" s="1733" t="s">
        <v>35</v>
      </c>
      <c r="J29" s="1733" t="s">
        <v>36</v>
      </c>
      <c r="K29" s="1740" t="s">
        <v>167</v>
      </c>
      <c r="L29" s="1768" t="s">
        <v>1920</v>
      </c>
      <c r="M29" s="1804" t="s">
        <v>1221</v>
      </c>
      <c r="N29" s="1769" t="s">
        <v>2189</v>
      </c>
      <c r="O29" s="1838" t="s">
        <v>40</v>
      </c>
      <c r="P29" s="1774"/>
      <c r="Q29" s="1401">
        <f t="shared" si="6"/>
        <v>0</v>
      </c>
      <c r="R29" s="1402">
        <v>950000</v>
      </c>
      <c r="S29" s="1778">
        <f>(1750-F29)/100</f>
        <v>1.5</v>
      </c>
      <c r="T29" s="1772"/>
      <c r="U29" s="1718"/>
      <c r="V29" s="1500">
        <f t="shared" si="1"/>
        <v>1425000</v>
      </c>
      <c r="W29" s="1431">
        <f>(Q29+(((S29-T29)-0)*R29))*((100-P29)/100)</f>
        <v>1425000</v>
      </c>
      <c r="X29" s="1417"/>
      <c r="Y29" s="1418"/>
      <c r="Z29" s="1417"/>
      <c r="AA29" s="1491"/>
      <c r="AB29" s="1491"/>
      <c r="AC29" s="1491"/>
      <c r="AD29" s="1491"/>
      <c r="AE29" s="1491"/>
      <c r="AF29" s="1491"/>
    </row>
    <row r="30" spans="1:32" s="1466" customFormat="1" ht="13" hidden="1">
      <c r="A30" s="1390"/>
      <c r="B30" s="1803">
        <v>24</v>
      </c>
      <c r="C30" s="1747" t="s">
        <v>2190</v>
      </c>
      <c r="D30" s="1748" t="s">
        <v>32</v>
      </c>
      <c r="E30" s="1748" t="s">
        <v>2155</v>
      </c>
      <c r="F30" s="1749">
        <v>900</v>
      </c>
      <c r="G30" s="1749">
        <v>1300</v>
      </c>
      <c r="H30" s="1748" t="s">
        <v>1579</v>
      </c>
      <c r="I30" s="1742" t="s">
        <v>35</v>
      </c>
      <c r="J30" s="1733" t="s">
        <v>36</v>
      </c>
      <c r="K30" s="1740" t="s">
        <v>167</v>
      </c>
      <c r="L30" s="1804" t="s">
        <v>1920</v>
      </c>
      <c r="M30" s="1804" t="s">
        <v>1221</v>
      </c>
      <c r="N30" s="1744" t="s">
        <v>2191</v>
      </c>
      <c r="O30" s="1748" t="s">
        <v>40</v>
      </c>
      <c r="P30" s="1401"/>
      <c r="Q30" s="1401">
        <f t="shared" si="6"/>
        <v>2850000</v>
      </c>
      <c r="R30" s="1402">
        <v>950000</v>
      </c>
      <c r="S30" s="1778">
        <f t="shared" si="2"/>
        <v>4</v>
      </c>
      <c r="T30" s="1403"/>
      <c r="U30" s="1819"/>
      <c r="V30" s="1401">
        <f t="shared" si="1"/>
        <v>3800000</v>
      </c>
      <c r="W30" s="1431">
        <f>(Q30+(((S30-T30)-4)*R30))*((100-P30)/100)</f>
        <v>2850000</v>
      </c>
      <c r="X30" s="1807"/>
      <c r="Y30" s="1820">
        <f>W30*((100-P30)/100)</f>
        <v>2850000</v>
      </c>
      <c r="Z30" s="1807"/>
      <c r="AA30" s="1807"/>
      <c r="AB30" s="1807"/>
      <c r="AC30" s="1807"/>
      <c r="AD30" s="1807"/>
      <c r="AE30" s="1807"/>
      <c r="AF30" s="1807"/>
    </row>
    <row r="31" spans="1:32" s="1808" customFormat="1" ht="13" hidden="1">
      <c r="A31" s="1390"/>
      <c r="B31" s="1802">
        <v>25</v>
      </c>
      <c r="C31" s="1747" t="s">
        <v>2192</v>
      </c>
      <c r="D31" s="1748" t="s">
        <v>32</v>
      </c>
      <c r="E31" s="1617" t="s">
        <v>2155</v>
      </c>
      <c r="F31" s="1619">
        <v>900</v>
      </c>
      <c r="G31" s="1619">
        <v>1500</v>
      </c>
      <c r="H31" s="1540" t="s">
        <v>1132</v>
      </c>
      <c r="I31" s="1364" t="s">
        <v>35</v>
      </c>
      <c r="J31" s="1364" t="s">
        <v>36</v>
      </c>
      <c r="K31" s="1456" t="s">
        <v>167</v>
      </c>
      <c r="L31" s="1804" t="s">
        <v>1920</v>
      </c>
      <c r="M31" s="1804" t="s">
        <v>1221</v>
      </c>
      <c r="N31" s="1477" t="s">
        <v>2193</v>
      </c>
      <c r="O31" s="1748" t="s">
        <v>174</v>
      </c>
      <c r="P31" s="1591"/>
      <c r="Q31" s="1401">
        <f t="shared" si="6"/>
        <v>0</v>
      </c>
      <c r="R31" s="1401"/>
      <c r="S31" s="1778">
        <f t="shared" si="2"/>
        <v>6</v>
      </c>
      <c r="T31" s="1776"/>
      <c r="U31" s="1822"/>
      <c r="V31" s="1479">
        <f t="shared" si="1"/>
        <v>0</v>
      </c>
      <c r="W31" s="1431">
        <f>(Q31+(((S31-T31)-4)*R31))*((100-P31)/100)</f>
        <v>0</v>
      </c>
      <c r="X31" s="1805"/>
      <c r="Y31" s="1810"/>
      <c r="Z31" s="1805"/>
      <c r="AA31" s="1807"/>
      <c r="AB31" s="1807"/>
      <c r="AC31" s="1807"/>
      <c r="AD31" s="1807"/>
      <c r="AE31" s="1807"/>
      <c r="AF31" s="1807"/>
    </row>
    <row r="32" spans="1:32" s="1420" customFormat="1" hidden="1">
      <c r="A32" s="1497"/>
      <c r="B32" s="1359">
        <v>26</v>
      </c>
      <c r="C32" s="1393" t="s">
        <v>2194</v>
      </c>
      <c r="D32" s="1361" t="s">
        <v>32</v>
      </c>
      <c r="E32" s="1483">
        <v>45416</v>
      </c>
      <c r="F32" s="1484">
        <v>1600</v>
      </c>
      <c r="G32" s="1485">
        <v>1730</v>
      </c>
      <c r="H32" s="1758" t="s">
        <v>1132</v>
      </c>
      <c r="I32" s="1469" t="s">
        <v>35</v>
      </c>
      <c r="J32" s="1364" t="s">
        <v>36</v>
      </c>
      <c r="K32" s="1394" t="s">
        <v>167</v>
      </c>
      <c r="L32" s="1514" t="s">
        <v>1920</v>
      </c>
      <c r="M32" s="1804" t="s">
        <v>1221</v>
      </c>
      <c r="N32" s="1515" t="s">
        <v>2195</v>
      </c>
      <c r="O32" s="1839" t="s">
        <v>40</v>
      </c>
      <c r="P32" s="1513"/>
      <c r="Q32" s="1401">
        <f t="shared" si="6"/>
        <v>0</v>
      </c>
      <c r="R32" s="1402">
        <v>950000</v>
      </c>
      <c r="S32" s="1778">
        <f>(1750-F32)/100</f>
        <v>1.5</v>
      </c>
      <c r="T32" s="1403"/>
      <c r="U32" s="1717"/>
      <c r="V32" s="1401">
        <f t="shared" si="1"/>
        <v>1425000</v>
      </c>
      <c r="W32" s="1431">
        <f>(Q32+(((S32-T32)-0)*R32))*((100-P32)/100)</f>
        <v>1425000</v>
      </c>
      <c r="X32" s="1419"/>
      <c r="Y32" s="1440">
        <f>(Q32+((S32-0)*R32))*((100-P32)/100)</f>
        <v>1425000</v>
      </c>
      <c r="Z32" s="1419"/>
      <c r="AA32" s="1419"/>
      <c r="AB32" s="1419"/>
      <c r="AC32" s="1419"/>
      <c r="AD32" s="1419"/>
      <c r="AE32" s="1419"/>
      <c r="AF32" s="1419"/>
    </row>
    <row r="33" spans="1:32" s="1420" customFormat="1" ht="13">
      <c r="A33" s="1359"/>
      <c r="B33" s="1360">
        <v>27</v>
      </c>
      <c r="C33" s="1361" t="s">
        <v>2196</v>
      </c>
      <c r="D33" s="1361" t="s">
        <v>32</v>
      </c>
      <c r="E33" s="1361" t="s">
        <v>2183</v>
      </c>
      <c r="F33" s="1363">
        <v>800</v>
      </c>
      <c r="G33" s="1363">
        <v>1200</v>
      </c>
      <c r="H33" s="1617" t="s">
        <v>2197</v>
      </c>
      <c r="I33" s="1364" t="s">
        <v>35</v>
      </c>
      <c r="J33" s="1364" t="s">
        <v>36</v>
      </c>
      <c r="K33" s="1456" t="s">
        <v>37</v>
      </c>
      <c r="L33" s="1470" t="s">
        <v>2168</v>
      </c>
      <c r="M33" s="1814" t="s">
        <v>47</v>
      </c>
      <c r="N33" s="1471" t="s">
        <v>2198</v>
      </c>
      <c r="O33" s="1747" t="s">
        <v>40</v>
      </c>
      <c r="P33" s="1498"/>
      <c r="Q33" s="1401">
        <f t="shared" si="6"/>
        <v>0</v>
      </c>
      <c r="R33" s="1508">
        <v>950000</v>
      </c>
      <c r="S33" s="1778">
        <f t="shared" si="2"/>
        <v>4</v>
      </c>
      <c r="T33" s="1403">
        <v>4</v>
      </c>
      <c r="U33" s="1719"/>
      <c r="V33" s="1414">
        <f t="shared" si="1"/>
        <v>3800000</v>
      </c>
      <c r="W33" s="1501">
        <f>(Q33+(((S33-T33)-0)*R33))*((100-P33)/100)</f>
        <v>0</v>
      </c>
      <c r="X33" s="1491"/>
      <c r="Y33" s="1491"/>
      <c r="Z33" s="1491"/>
      <c r="AA33" s="1491"/>
      <c r="AB33" s="1491"/>
      <c r="AC33" s="1491"/>
      <c r="AD33" s="1491"/>
      <c r="AE33" s="1491"/>
      <c r="AF33" s="1491"/>
    </row>
    <row r="34" spans="1:32" s="1420" customFormat="1" ht="13" hidden="1">
      <c r="A34" s="1377"/>
      <c r="B34" s="1377">
        <v>28</v>
      </c>
      <c r="C34" s="1378" t="s">
        <v>2199</v>
      </c>
      <c r="D34" s="1379" t="s">
        <v>32</v>
      </c>
      <c r="E34" s="1378" t="s">
        <v>2183</v>
      </c>
      <c r="F34" s="1380">
        <v>800</v>
      </c>
      <c r="G34" s="1380">
        <v>1200</v>
      </c>
      <c r="H34" s="1525" t="s">
        <v>2197</v>
      </c>
      <c r="I34" s="1364" t="s">
        <v>35</v>
      </c>
      <c r="J34" s="1364" t="s">
        <v>36</v>
      </c>
      <c r="K34" s="1361" t="s">
        <v>37</v>
      </c>
      <c r="L34" s="1519"/>
      <c r="M34" s="1519" t="s">
        <v>47</v>
      </c>
      <c r="N34" s="1520" t="s">
        <v>2200</v>
      </c>
      <c r="O34" s="1840" t="s">
        <v>174</v>
      </c>
      <c r="P34" s="1522"/>
      <c r="Q34" s="1401">
        <f t="shared" si="6"/>
        <v>0</v>
      </c>
      <c r="R34" s="1524"/>
      <c r="S34" s="1778">
        <f t="shared" si="2"/>
        <v>4</v>
      </c>
      <c r="T34" s="1403"/>
      <c r="U34" s="1720"/>
      <c r="V34" s="1526">
        <f t="shared" si="1"/>
        <v>0</v>
      </c>
      <c r="W34" s="1527">
        <f>(Q34+((S34-0)*R34))*((100-P34)/100)</f>
        <v>0</v>
      </c>
      <c r="X34" s="1528"/>
      <c r="Y34" s="1529"/>
      <c r="Z34" s="1528"/>
      <c r="AA34" s="1466"/>
      <c r="AB34" s="1466"/>
      <c r="AC34" s="1466"/>
      <c r="AD34" s="1466"/>
      <c r="AE34" s="1466"/>
      <c r="AF34" s="1466"/>
    </row>
    <row r="35" spans="1:32" s="1420" customFormat="1" hidden="1">
      <c r="A35" s="1359"/>
      <c r="B35" s="1359">
        <v>29</v>
      </c>
      <c r="C35" s="1393" t="s">
        <v>2201</v>
      </c>
      <c r="D35" s="1361" t="s">
        <v>43</v>
      </c>
      <c r="E35" s="1393" t="s">
        <v>2202</v>
      </c>
      <c r="F35" s="1484">
        <v>900</v>
      </c>
      <c r="G35" s="1485">
        <v>1800</v>
      </c>
      <c r="H35" s="1758" t="s">
        <v>2203</v>
      </c>
      <c r="I35" s="1469" t="s">
        <v>35</v>
      </c>
      <c r="J35" s="1364" t="s">
        <v>36</v>
      </c>
      <c r="K35" s="1394" t="s">
        <v>76</v>
      </c>
      <c r="L35" s="1514"/>
      <c r="M35" s="1853" t="s">
        <v>1462</v>
      </c>
      <c r="N35" s="1515">
        <v>45629.444224537037</v>
      </c>
      <c r="O35" s="1839" t="s">
        <v>40</v>
      </c>
      <c r="P35" s="1513"/>
      <c r="Q35" s="1401">
        <f t="shared" si="6"/>
        <v>3000000</v>
      </c>
      <c r="R35" s="1495">
        <v>500000</v>
      </c>
      <c r="S35" s="1778">
        <f t="shared" si="2"/>
        <v>9</v>
      </c>
      <c r="T35" s="1403"/>
      <c r="U35" s="1717"/>
      <c r="V35" s="1401">
        <f t="shared" si="1"/>
        <v>4500000</v>
      </c>
      <c r="W35" s="1431">
        <f>(Q35+(((S35-T35)-8)*R35))*((100-P35)/100)</f>
        <v>3500000</v>
      </c>
      <c r="X35" s="1419"/>
      <c r="Y35" s="1440">
        <f>(Q35+((S35-0)*R35))*((100-P35)/100)</f>
        <v>7500000</v>
      </c>
      <c r="Z35" s="1419"/>
      <c r="AA35" s="1419"/>
      <c r="AB35" s="1419"/>
      <c r="AC35" s="1419"/>
      <c r="AD35" s="1419"/>
      <c r="AE35" s="1419"/>
      <c r="AF35" s="1419"/>
    </row>
    <row r="36" spans="1:32" s="1420" customFormat="1" hidden="1">
      <c r="A36" s="1448"/>
      <c r="B36" s="1434">
        <v>30</v>
      </c>
      <c r="C36" s="1560" t="s">
        <v>2204</v>
      </c>
      <c r="D36" s="1611" t="s">
        <v>43</v>
      </c>
      <c r="E36" s="1560" t="s">
        <v>2205</v>
      </c>
      <c r="F36" s="1561">
        <v>900</v>
      </c>
      <c r="G36" s="1561">
        <v>1800</v>
      </c>
      <c r="H36" s="1591" t="s">
        <v>2203</v>
      </c>
      <c r="I36" s="1562" t="s">
        <v>35</v>
      </c>
      <c r="J36" s="1562" t="s">
        <v>36</v>
      </c>
      <c r="K36" s="1563" t="s">
        <v>56</v>
      </c>
      <c r="L36" s="1887"/>
      <c r="M36" s="1853" t="s">
        <v>1462</v>
      </c>
      <c r="N36" s="1515">
        <v>45629.443888888891</v>
      </c>
      <c r="O36" s="1839" t="s">
        <v>40</v>
      </c>
      <c r="P36" s="1888"/>
      <c r="Q36" s="1495">
        <f t="shared" si="6"/>
        <v>3000000</v>
      </c>
      <c r="R36" s="1495">
        <v>500000</v>
      </c>
      <c r="S36" s="1889">
        <f t="shared" si="2"/>
        <v>9</v>
      </c>
      <c r="T36" s="1890"/>
      <c r="U36" s="1891"/>
      <c r="V36" s="1577">
        <f t="shared" si="1"/>
        <v>4500000</v>
      </c>
      <c r="W36" s="1431">
        <f>(Q36+(((S36-T36)-8)*R36))*((100-P36)/100)</f>
        <v>3500000</v>
      </c>
      <c r="X36" s="1419"/>
      <c r="Y36" s="1419"/>
      <c r="Z36" s="1419"/>
      <c r="AA36" s="1419"/>
      <c r="AB36" s="1419"/>
      <c r="AC36" s="1419"/>
      <c r="AD36" s="1419"/>
      <c r="AE36" s="1419"/>
      <c r="AF36" s="1419"/>
    </row>
    <row r="37" spans="1:32" s="1420" customFormat="1" ht="13" hidden="1">
      <c r="A37" s="1830"/>
      <c r="B37" s="1830"/>
      <c r="C37" s="1758" t="s">
        <v>197</v>
      </c>
      <c r="D37" s="1468" t="s">
        <v>43</v>
      </c>
      <c r="E37" s="1758" t="s">
        <v>2186</v>
      </c>
      <c r="F37" s="1880">
        <v>1000</v>
      </c>
      <c r="G37" s="1880">
        <v>1200</v>
      </c>
      <c r="H37" s="1758" t="s">
        <v>197</v>
      </c>
      <c r="I37" s="1395" t="s">
        <v>35</v>
      </c>
      <c r="J37" s="1395"/>
      <c r="K37" s="1758"/>
      <c r="L37" s="1399"/>
      <c r="M37" s="1753" t="s">
        <v>284</v>
      </c>
      <c r="N37" s="1881" t="s">
        <v>2206</v>
      </c>
      <c r="O37" s="1758" t="s">
        <v>40</v>
      </c>
      <c r="P37" s="1399"/>
      <c r="Q37" s="1401">
        <f t="shared" si="6"/>
        <v>0</v>
      </c>
      <c r="R37" s="1401">
        <v>500000</v>
      </c>
      <c r="S37" s="1403">
        <f t="shared" si="2"/>
        <v>2</v>
      </c>
      <c r="T37" s="1403"/>
      <c r="U37" s="1496"/>
      <c r="V37" s="1401">
        <f t="shared" si="1"/>
        <v>1000000</v>
      </c>
      <c r="W37" s="1431">
        <f>(Q37+(((S37-T37)-0)*R37))*((100-P37)/100)</f>
        <v>1000000</v>
      </c>
      <c r="X37" s="1417"/>
      <c r="Y37" s="1418"/>
      <c r="Z37" s="1417"/>
      <c r="AA37" s="1419"/>
      <c r="AB37" s="1419"/>
      <c r="AC37" s="1419"/>
      <c r="AD37" s="1419"/>
      <c r="AE37" s="1419"/>
      <c r="AF37" s="1419"/>
    </row>
    <row r="38" spans="1:32" s="1420" customFormat="1" ht="13" hidden="1">
      <c r="A38" s="1831"/>
      <c r="B38" s="1831"/>
      <c r="C38" s="1747" t="s">
        <v>197</v>
      </c>
      <c r="D38" s="1468" t="s">
        <v>43</v>
      </c>
      <c r="E38" s="1758" t="s">
        <v>2186</v>
      </c>
      <c r="F38" s="1882">
        <v>1400</v>
      </c>
      <c r="G38" s="1882">
        <v>1500</v>
      </c>
      <c r="H38" s="1758" t="s">
        <v>197</v>
      </c>
      <c r="I38" s="1395" t="s">
        <v>35</v>
      </c>
      <c r="J38" s="1395"/>
      <c r="K38" s="1758"/>
      <c r="L38" s="1399"/>
      <c r="M38" s="1753" t="s">
        <v>284</v>
      </c>
      <c r="N38" s="1881" t="s">
        <v>2206</v>
      </c>
      <c r="O38" s="1758" t="s">
        <v>40</v>
      </c>
      <c r="P38" s="1401"/>
      <c r="Q38" s="1401">
        <f t="shared" si="6"/>
        <v>0</v>
      </c>
      <c r="R38" s="1401">
        <v>500000</v>
      </c>
      <c r="S38" s="1403">
        <f t="shared" si="2"/>
        <v>1</v>
      </c>
      <c r="T38" s="1403"/>
      <c r="U38" s="1837"/>
      <c r="V38" s="1453">
        <f t="shared" si="1"/>
        <v>500000</v>
      </c>
      <c r="W38" s="1431">
        <f>(Q38+(((S38-T38)-0)*R38))*((100-P38)/100)</f>
        <v>500000</v>
      </c>
      <c r="X38" s="1417"/>
      <c r="Y38" s="1439">
        <f>(Q38+((S38-4)*R38))*((100-P38)/100)</f>
        <v>-1500000</v>
      </c>
      <c r="Z38" s="1417"/>
      <c r="AA38" s="1419"/>
      <c r="AB38" s="1419"/>
      <c r="AC38" s="1419"/>
      <c r="AD38" s="1419"/>
      <c r="AE38" s="1419"/>
      <c r="AF38" s="1419"/>
    </row>
    <row r="39" spans="1:32" s="1420" customFormat="1" hidden="1">
      <c r="A39" s="1539"/>
      <c r="B39" s="1539"/>
      <c r="C39" s="1540"/>
      <c r="D39" s="1445"/>
      <c r="E39" s="1541"/>
      <c r="F39" s="1542"/>
      <c r="G39" s="1542"/>
      <c r="H39" s="1540"/>
      <c r="I39" s="1543"/>
      <c r="J39" s="1543"/>
      <c r="K39" s="1544"/>
      <c r="L39" s="1511"/>
      <c r="M39" s="1856"/>
      <c r="N39" s="1546"/>
      <c r="O39" s="1841"/>
      <c r="P39" s="1475"/>
      <c r="Q39" s="1508">
        <f t="shared" si="6"/>
        <v>0</v>
      </c>
      <c r="R39" s="1414"/>
      <c r="S39" s="1904">
        <f t="shared" si="2"/>
        <v>0</v>
      </c>
      <c r="T39" s="1776"/>
      <c r="U39" s="1723"/>
      <c r="V39" s="1446">
        <f t="shared" si="1"/>
        <v>0</v>
      </c>
      <c r="W39" s="1447">
        <f>(Q39+((S39-8)*R39))*((100-P39)/100)</f>
        <v>0</v>
      </c>
      <c r="X39" s="1417"/>
      <c r="Y39" s="1418"/>
      <c r="Z39" s="1417"/>
      <c r="AA39" s="1419"/>
      <c r="AB39" s="1419"/>
      <c r="AC39" s="1419"/>
      <c r="AD39" s="1419"/>
      <c r="AE39" s="1419"/>
      <c r="AF39" s="1419"/>
    </row>
    <row r="40" spans="1:32" s="1420" customFormat="1" hidden="1">
      <c r="A40" s="1359"/>
      <c r="B40" s="1359"/>
      <c r="C40" s="1393"/>
      <c r="D40" s="1362"/>
      <c r="E40" s="1393"/>
      <c r="F40" s="1484"/>
      <c r="G40" s="1484"/>
      <c r="H40" s="1393"/>
      <c r="I40" s="1364"/>
      <c r="J40" s="1364"/>
      <c r="K40" s="1393"/>
      <c r="L40" s="1365"/>
      <c r="M40" s="1390"/>
      <c r="N40" s="1549"/>
      <c r="O40" s="1393"/>
      <c r="P40" s="1365"/>
      <c r="Q40" s="1401">
        <f t="shared" si="6"/>
        <v>0</v>
      </c>
      <c r="R40" s="1369"/>
      <c r="S40" s="1430">
        <f t="shared" si="2"/>
        <v>0</v>
      </c>
      <c r="T40" s="1403"/>
      <c r="U40" s="1722"/>
      <c r="V40" s="1369">
        <f t="shared" si="1"/>
        <v>0</v>
      </c>
      <c r="W40" s="1371">
        <f>(Q40+((S40-0)*R40))*((100-P40)/100)</f>
        <v>0</v>
      </c>
      <c r="X40" s="1417"/>
      <c r="Y40" s="1440">
        <f>(Q40+((S40-4)*R40))*((100-P40)/100)</f>
        <v>0</v>
      </c>
      <c r="Z40" s="1417"/>
      <c r="AA40" s="1419"/>
      <c r="AB40" s="1419"/>
      <c r="AC40" s="1419"/>
      <c r="AD40" s="1419"/>
      <c r="AE40" s="1419"/>
      <c r="AF40" s="1419"/>
    </row>
    <row r="41" spans="1:32" s="1420" customFormat="1" hidden="1">
      <c r="A41" s="1359"/>
      <c r="B41" s="1359"/>
      <c r="C41" s="1393"/>
      <c r="D41" s="1406"/>
      <c r="E41" s="1393"/>
      <c r="F41" s="1535"/>
      <c r="G41" s="1535"/>
      <c r="H41" s="1393"/>
      <c r="I41" s="1550"/>
      <c r="J41" s="1543"/>
      <c r="K41" s="1393"/>
      <c r="L41" s="1551"/>
      <c r="M41" s="1390"/>
      <c r="N41" s="1549"/>
      <c r="O41" s="1393"/>
      <c r="P41" s="1365"/>
      <c r="Q41" s="1401">
        <f t="shared" si="6"/>
        <v>0</v>
      </c>
      <c r="R41" s="1369"/>
      <c r="S41" s="1430">
        <f t="shared" si="2"/>
        <v>0</v>
      </c>
      <c r="T41" s="1403"/>
      <c r="U41" s="1722"/>
      <c r="V41" s="1369">
        <f t="shared" si="1"/>
        <v>0</v>
      </c>
      <c r="W41" s="1371">
        <f>(Q41+((S41-4)*R41))*((100-P41)/100)</f>
        <v>0</v>
      </c>
      <c r="X41" s="1417"/>
      <c r="Y41" s="1418"/>
      <c r="Z41" s="1417"/>
      <c r="AA41" s="1419"/>
      <c r="AB41" s="1419"/>
      <c r="AC41" s="1419"/>
      <c r="AD41" s="1419"/>
      <c r="AE41" s="1419"/>
      <c r="AF41" s="1419"/>
    </row>
    <row r="42" spans="1:32" s="1420" customFormat="1" hidden="1">
      <c r="A42" s="1427"/>
      <c r="B42" s="1427"/>
      <c r="C42" s="1552"/>
      <c r="D42" s="1409"/>
      <c r="E42" s="1552"/>
      <c r="F42" s="1553"/>
      <c r="G42" s="1553"/>
      <c r="H42" s="1552"/>
      <c r="I42" s="1364"/>
      <c r="J42" s="1364"/>
      <c r="K42" s="1552"/>
      <c r="L42" s="1449"/>
      <c r="M42" s="1857"/>
      <c r="N42" s="1555"/>
      <c r="O42" s="1591"/>
      <c r="P42" s="1449"/>
      <c r="Q42" s="1401">
        <f t="shared" si="6"/>
        <v>0</v>
      </c>
      <c r="R42" s="1556"/>
      <c r="S42" s="1430">
        <f t="shared" si="2"/>
        <v>0</v>
      </c>
      <c r="T42" s="1403"/>
      <c r="U42" s="1700"/>
      <c r="V42" s="1414">
        <f t="shared" si="1"/>
        <v>0</v>
      </c>
      <c r="W42" s="1459">
        <f>(Q42+((S42-0)*R42))*((100-P42)/100)</f>
        <v>0</v>
      </c>
      <c r="X42" s="1417"/>
      <c r="Y42" s="1426"/>
      <c r="Z42" s="1417"/>
      <c r="AA42" s="1419"/>
      <c r="AB42" s="1419"/>
      <c r="AC42" s="1419"/>
      <c r="AD42" s="1419"/>
      <c r="AE42" s="1419"/>
      <c r="AF42" s="1419"/>
    </row>
    <row r="43" spans="1:32" s="1420" customFormat="1" hidden="1">
      <c r="A43" s="1427"/>
      <c r="B43" s="1427"/>
      <c r="C43" s="1552"/>
      <c r="D43" s="1408"/>
      <c r="E43" s="1552"/>
      <c r="F43" s="1553"/>
      <c r="G43" s="1553"/>
      <c r="H43" s="1552"/>
      <c r="I43" s="1536"/>
      <c r="J43" s="1536"/>
      <c r="K43" s="1557"/>
      <c r="L43" s="1399"/>
      <c r="M43" s="1858"/>
      <c r="N43" s="1486"/>
      <c r="O43" s="1758"/>
      <c r="P43" s="1399"/>
      <c r="Q43" s="1401">
        <f t="shared" si="6"/>
        <v>0</v>
      </c>
      <c r="R43" s="1401"/>
      <c r="S43" s="1430">
        <f t="shared" si="2"/>
        <v>0</v>
      </c>
      <c r="T43" s="1403"/>
      <c r="U43" s="1724"/>
      <c r="V43" s="1559">
        <f t="shared" si="1"/>
        <v>0</v>
      </c>
      <c r="W43" s="1501">
        <f>(Q43+((S43-0)*R43))*((100-P43)/100)</f>
        <v>0</v>
      </c>
      <c r="X43" s="1419"/>
      <c r="Y43" s="1419"/>
      <c r="Z43" s="1419"/>
      <c r="AA43" s="1419"/>
      <c r="AB43" s="1419"/>
      <c r="AC43" s="1419"/>
      <c r="AD43" s="1419"/>
      <c r="AE43" s="1419"/>
      <c r="AF43" s="1419"/>
    </row>
    <row r="44" spans="1:32" s="1420" customFormat="1" hidden="1">
      <c r="A44" s="1448"/>
      <c r="B44" s="1434"/>
      <c r="C44" s="1560"/>
      <c r="D44" s="1460"/>
      <c r="E44" s="1560"/>
      <c r="F44" s="1561"/>
      <c r="G44" s="1561"/>
      <c r="H44" s="1560"/>
      <c r="I44" s="1562"/>
      <c r="J44" s="1562"/>
      <c r="K44" s="1563"/>
      <c r="L44" s="1399"/>
      <c r="M44" s="1858"/>
      <c r="N44" s="1486"/>
      <c r="O44" s="1758"/>
      <c r="P44" s="1468"/>
      <c r="Q44" s="1401">
        <f t="shared" si="6"/>
        <v>0</v>
      </c>
      <c r="R44" s="1401"/>
      <c r="S44" s="1430">
        <f t="shared" si="2"/>
        <v>0</v>
      </c>
      <c r="T44" s="1403"/>
      <c r="U44" s="1725"/>
      <c r="V44" s="1565">
        <f t="shared" si="1"/>
        <v>0</v>
      </c>
      <c r="W44" s="1566">
        <f>V44</f>
        <v>0</v>
      </c>
      <c r="X44" s="1419"/>
      <c r="Y44" s="1419"/>
      <c r="Z44" s="1419"/>
      <c r="AA44" s="1419"/>
      <c r="AB44" s="1419"/>
      <c r="AC44" s="1419"/>
      <c r="AD44" s="1419"/>
      <c r="AE44" s="1419"/>
      <c r="AF44" s="1419"/>
    </row>
    <row r="45" spans="1:32" s="1420" customFormat="1" hidden="1">
      <c r="A45" s="1359"/>
      <c r="B45" s="1359"/>
      <c r="C45" s="1393"/>
      <c r="D45" s="1362"/>
      <c r="E45" s="1393"/>
      <c r="F45" s="1484"/>
      <c r="G45" s="1484"/>
      <c r="H45" s="1393"/>
      <c r="I45" s="1364"/>
      <c r="J45" s="1364"/>
      <c r="K45" s="1394"/>
      <c r="L45" s="1399"/>
      <c r="M45" s="1858"/>
      <c r="N45" s="1486"/>
      <c r="O45" s="1758"/>
      <c r="P45" s="1399"/>
      <c r="Q45" s="1401">
        <f t="shared" si="6"/>
        <v>0</v>
      </c>
      <c r="R45" s="1401"/>
      <c r="S45" s="1430">
        <f t="shared" si="2"/>
        <v>0</v>
      </c>
      <c r="T45" s="1403"/>
      <c r="U45" s="1726"/>
      <c r="V45" s="1443">
        <f t="shared" si="1"/>
        <v>0</v>
      </c>
      <c r="W45" s="1425">
        <f>V45</f>
        <v>0</v>
      </c>
      <c r="X45" s="1419"/>
      <c r="Y45" s="1419"/>
      <c r="Z45" s="1419"/>
      <c r="AA45" s="1419"/>
      <c r="AB45" s="1419"/>
      <c r="AC45" s="1419"/>
      <c r="AD45" s="1419"/>
      <c r="AE45" s="1419"/>
      <c r="AF45" s="1419"/>
    </row>
    <row r="46" spans="1:32" s="1420" customFormat="1" hidden="1">
      <c r="A46" s="1434"/>
      <c r="B46" s="1434"/>
      <c r="C46" s="1560"/>
      <c r="D46" s="1460"/>
      <c r="E46" s="1560"/>
      <c r="F46" s="1561"/>
      <c r="G46" s="1561"/>
      <c r="H46" s="1560"/>
      <c r="I46" s="1562"/>
      <c r="J46" s="1562"/>
      <c r="K46" s="1563"/>
      <c r="L46" s="1399"/>
      <c r="M46" s="1858"/>
      <c r="N46" s="1486"/>
      <c r="O46" s="1758"/>
      <c r="P46" s="1399"/>
      <c r="Q46" s="1401">
        <f t="shared" si="6"/>
        <v>0</v>
      </c>
      <c r="R46" s="1401"/>
      <c r="S46" s="1430">
        <f t="shared" si="2"/>
        <v>0</v>
      </c>
      <c r="T46" s="1403"/>
      <c r="U46" s="1727"/>
      <c r="V46" s="1401">
        <f t="shared" si="1"/>
        <v>0</v>
      </c>
      <c r="W46" s="1431">
        <f>(Q46+((S46-4)*R46))*((100-P46)/100)</f>
        <v>0</v>
      </c>
      <c r="X46" s="1419"/>
      <c r="Y46" s="1419"/>
      <c r="Z46" s="1419"/>
      <c r="AA46" s="1419"/>
      <c r="AB46" s="1419"/>
      <c r="AC46" s="1419"/>
      <c r="AD46" s="1419"/>
      <c r="AE46" s="1419"/>
      <c r="AF46" s="1419"/>
    </row>
    <row r="47" spans="1:32" s="1574" customFormat="1" hidden="1">
      <c r="A47" s="1360"/>
      <c r="B47" s="1359"/>
      <c r="C47" s="1393"/>
      <c r="D47" s="1406"/>
      <c r="E47" s="1393"/>
      <c r="F47" s="1535"/>
      <c r="G47" s="1535"/>
      <c r="H47" s="1393"/>
      <c r="I47" s="1364"/>
      <c r="J47" s="1364"/>
      <c r="K47" s="1393"/>
      <c r="L47" s="1409"/>
      <c r="M47" s="1812"/>
      <c r="N47" s="1570"/>
      <c r="O47" s="1552"/>
      <c r="P47" s="1408"/>
      <c r="Q47" s="1401">
        <f t="shared" si="6"/>
        <v>0</v>
      </c>
      <c r="R47" s="1414"/>
      <c r="S47" s="1430">
        <f t="shared" si="2"/>
        <v>0</v>
      </c>
      <c r="T47" s="1403"/>
      <c r="U47" s="1728"/>
      <c r="V47" s="1533">
        <f t="shared" si="1"/>
        <v>0</v>
      </c>
      <c r="W47" s="1571">
        <f>(Q47+((S47-8)*R47))*((100-P47)/100)</f>
        <v>0</v>
      </c>
      <c r="X47" s="1572"/>
      <c r="Y47" s="1573"/>
      <c r="Z47" s="1572"/>
    </row>
    <row r="48" spans="1:32" s="1420" customFormat="1" hidden="1">
      <c r="A48" s="1441"/>
      <c r="B48" s="1427"/>
      <c r="C48" s="1552"/>
      <c r="D48" s="1412"/>
      <c r="E48" s="1552"/>
      <c r="F48" s="1575"/>
      <c r="G48" s="1575"/>
      <c r="H48" s="1552"/>
      <c r="I48" s="1536"/>
      <c r="J48" s="1536"/>
      <c r="K48" s="1552"/>
      <c r="L48" s="1435"/>
      <c r="M48" s="1859"/>
      <c r="N48" s="1555"/>
      <c r="O48" s="1591"/>
      <c r="P48" s="1475"/>
      <c r="Q48" s="1401">
        <f t="shared" si="6"/>
        <v>0</v>
      </c>
      <c r="R48" s="1443"/>
      <c r="S48" s="1430">
        <f t="shared" si="2"/>
        <v>0</v>
      </c>
      <c r="T48" s="1403"/>
      <c r="U48" s="1723"/>
      <c r="V48" s="1577">
        <f t="shared" si="1"/>
        <v>0</v>
      </c>
      <c r="W48" s="1490">
        <f>(Q48+((S48-4)*R48))*((100-P48)/100)</f>
        <v>0</v>
      </c>
      <c r="X48" s="1417"/>
      <c r="Y48" s="1418"/>
      <c r="Z48" s="1417"/>
      <c r="AA48" s="1419"/>
      <c r="AB48" s="1419"/>
      <c r="AC48" s="1419"/>
      <c r="AD48" s="1419"/>
      <c r="AE48" s="1419"/>
      <c r="AF48" s="1419"/>
    </row>
    <row r="49" spans="1:32" s="1420" customFormat="1" hidden="1">
      <c r="A49" s="1359"/>
      <c r="B49" s="1359"/>
      <c r="C49" s="1393"/>
      <c r="D49" s="1362"/>
      <c r="E49" s="1393"/>
      <c r="F49" s="1484"/>
      <c r="G49" s="1484"/>
      <c r="H49" s="1393"/>
      <c r="I49" s="1578"/>
      <c r="J49" s="1536"/>
      <c r="K49" s="1394"/>
      <c r="L49" s="1399"/>
      <c r="M49" s="1753"/>
      <c r="N49" s="1486"/>
      <c r="O49" s="1758"/>
      <c r="P49" s="1399"/>
      <c r="Q49" s="1401">
        <f t="shared" si="6"/>
        <v>0</v>
      </c>
      <c r="R49" s="1401"/>
      <c r="S49" s="1430">
        <f t="shared" si="2"/>
        <v>0</v>
      </c>
      <c r="T49" s="1403"/>
      <c r="U49" s="1717"/>
      <c r="V49" s="1401">
        <f t="shared" si="1"/>
        <v>0</v>
      </c>
      <c r="W49" s="1431">
        <f>(Q49+((S49-0)*R49))*((100-P49)/100)</f>
        <v>0</v>
      </c>
      <c r="X49" s="1419"/>
      <c r="Y49" s="1440">
        <f>(Q49+((S49-0)*R49))*((100-P49)/100)</f>
        <v>0</v>
      </c>
      <c r="Z49" s="1419"/>
      <c r="AA49" s="1419"/>
      <c r="AB49" s="1419"/>
      <c r="AC49" s="1419"/>
      <c r="AD49" s="1419"/>
      <c r="AE49" s="1419"/>
      <c r="AF49" s="1419"/>
    </row>
    <row r="50" spans="1:32" s="1420" customFormat="1" hidden="1">
      <c r="A50" s="1579"/>
      <c r="B50" s="1579"/>
      <c r="C50" s="1580"/>
      <c r="D50" s="1518"/>
      <c r="E50" s="1580"/>
      <c r="F50" s="1581"/>
      <c r="G50" s="1581"/>
      <c r="H50" s="1580"/>
      <c r="I50" s="1562"/>
      <c r="J50" s="1562"/>
      <c r="K50" s="1582"/>
      <c r="L50" s="1583"/>
      <c r="M50" s="1519"/>
      <c r="N50" s="1584"/>
      <c r="O50" s="1842"/>
      <c r="P50" s="1521"/>
      <c r="Q50" s="1401">
        <f t="shared" si="6"/>
        <v>0</v>
      </c>
      <c r="R50" s="1587"/>
      <c r="S50" s="1430">
        <f t="shared" si="2"/>
        <v>0</v>
      </c>
      <c r="T50" s="1403"/>
      <c r="U50" s="1729"/>
      <c r="V50" s="1523">
        <f t="shared" si="1"/>
        <v>0</v>
      </c>
      <c r="W50" s="1589">
        <f>(Q50+((S50-0)*R50))*((100-P50)/100)</f>
        <v>0</v>
      </c>
      <c r="X50" s="1466"/>
      <c r="Y50" s="1590"/>
      <c r="Z50" s="1466"/>
      <c r="AA50" s="1466"/>
      <c r="AB50" s="1466"/>
      <c r="AC50" s="1466"/>
      <c r="AD50" s="1466"/>
      <c r="AE50" s="1466"/>
      <c r="AF50" s="1466"/>
    </row>
    <row r="51" spans="1:32" s="1420" customFormat="1" hidden="1">
      <c r="A51" s="1359"/>
      <c r="B51" s="1359"/>
      <c r="C51" s="1393"/>
      <c r="D51" s="1406"/>
      <c r="E51" s="1393"/>
      <c r="F51" s="1535"/>
      <c r="G51" s="1535"/>
      <c r="H51" s="1393"/>
      <c r="I51" s="1364"/>
      <c r="J51" s="1364"/>
      <c r="K51" s="1393"/>
      <c r="L51" s="1364"/>
      <c r="M51" s="1391"/>
      <c r="N51" s="1549"/>
      <c r="O51" s="1393"/>
      <c r="P51" s="1365"/>
      <c r="Q51" s="1401">
        <f t="shared" si="6"/>
        <v>0</v>
      </c>
      <c r="R51" s="1369"/>
      <c r="S51" s="1430">
        <f t="shared" si="2"/>
        <v>0</v>
      </c>
      <c r="T51" s="1403"/>
      <c r="U51" s="1722"/>
      <c r="V51" s="1369">
        <f t="shared" si="1"/>
        <v>0</v>
      </c>
      <c r="W51" s="1371">
        <f>(Q51+((S51-0)*R51))*((100-P51)/100)</f>
        <v>0</v>
      </c>
      <c r="X51" s="1417"/>
      <c r="Y51" s="1418"/>
      <c r="Z51" s="1417"/>
      <c r="AA51" s="1419"/>
      <c r="AB51" s="1419"/>
      <c r="AC51" s="1419"/>
      <c r="AD51" s="1419"/>
      <c r="AE51" s="1419"/>
      <c r="AF51" s="1419"/>
    </row>
    <row r="52" spans="1:32" s="1420" customFormat="1" hidden="1">
      <c r="A52" s="1539"/>
      <c r="B52" s="1497"/>
      <c r="C52" s="1591"/>
      <c r="D52" s="1445"/>
      <c r="E52" s="1591"/>
      <c r="F52" s="1592"/>
      <c r="G52" s="1592"/>
      <c r="H52" s="1591"/>
      <c r="I52" s="1543"/>
      <c r="J52" s="1543"/>
      <c r="K52" s="1591"/>
      <c r="L52" s="1562"/>
      <c r="M52" s="1684"/>
      <c r="N52" s="1555"/>
      <c r="O52" s="1591"/>
      <c r="P52" s="1475"/>
      <c r="Q52" s="1401">
        <f t="shared" si="6"/>
        <v>0</v>
      </c>
      <c r="R52" s="1479"/>
      <c r="S52" s="1430">
        <f t="shared" si="2"/>
        <v>0</v>
      </c>
      <c r="T52" s="1403"/>
      <c r="U52" s="1723"/>
      <c r="V52" s="1577">
        <f t="shared" si="1"/>
        <v>0</v>
      </c>
      <c r="W52" s="1490">
        <f>(Q52+((S52-0)*R52))*((100-P52)/100)</f>
        <v>0</v>
      </c>
      <c r="X52" s="1417"/>
      <c r="Y52" s="1418"/>
      <c r="Z52" s="1417"/>
      <c r="AA52" s="1419"/>
      <c r="AB52" s="1419"/>
      <c r="AC52" s="1419"/>
      <c r="AD52" s="1419"/>
      <c r="AE52" s="1419"/>
      <c r="AF52" s="1419"/>
    </row>
    <row r="53" spans="1:32" s="1466" customFormat="1" hidden="1">
      <c r="A53" s="1594"/>
      <c r="B53" s="1434"/>
      <c r="C53" s="1560"/>
      <c r="D53" s="1460"/>
      <c r="E53" s="1560"/>
      <c r="F53" s="1561"/>
      <c r="G53" s="1561"/>
      <c r="H53" s="1560"/>
      <c r="I53" s="1562"/>
      <c r="J53" s="1562"/>
      <c r="K53" s="1563"/>
      <c r="L53" s="1399"/>
      <c r="M53" s="1753"/>
      <c r="N53" s="1486"/>
      <c r="O53" s="1758"/>
      <c r="P53" s="1595"/>
      <c r="Q53" s="1401">
        <f t="shared" si="6"/>
        <v>0</v>
      </c>
      <c r="R53" s="1401"/>
      <c r="S53" s="1430">
        <f t="shared" si="2"/>
        <v>0</v>
      </c>
      <c r="T53" s="1403"/>
      <c r="U53" s="1730"/>
      <c r="V53" s="1464">
        <f t="shared" si="1"/>
        <v>0</v>
      </c>
      <c r="W53" s="1598">
        <f>(Q53+((S53-0)*R53))*((100-P53)/100)</f>
        <v>0</v>
      </c>
      <c r="X53" s="1419"/>
      <c r="Y53" s="1419"/>
      <c r="Z53" s="1419"/>
      <c r="AA53" s="1419"/>
      <c r="AB53" s="1419"/>
      <c r="AC53" s="1419"/>
      <c r="AD53" s="1419"/>
      <c r="AE53" s="1419"/>
      <c r="AF53" s="1419"/>
    </row>
    <row r="54" spans="1:32" s="1420" customFormat="1" hidden="1">
      <c r="A54" s="1599"/>
      <c r="B54" s="1359"/>
      <c r="C54" s="1393"/>
      <c r="D54" s="1362"/>
      <c r="E54" s="1393"/>
      <c r="F54" s="1484"/>
      <c r="G54" s="1484"/>
      <c r="H54" s="1393"/>
      <c r="I54" s="1364"/>
      <c r="J54" s="1364"/>
      <c r="K54" s="1394"/>
      <c r="L54" s="1399"/>
      <c r="M54" s="1753"/>
      <c r="N54" s="1486"/>
      <c r="O54" s="1758"/>
      <c r="P54" s="1600"/>
      <c r="Q54" s="1401">
        <f t="shared" si="6"/>
        <v>0</v>
      </c>
      <c r="R54" s="1401"/>
      <c r="S54" s="1430">
        <f t="shared" si="2"/>
        <v>0</v>
      </c>
      <c r="T54" s="1403"/>
      <c r="U54" s="1730"/>
      <c r="V54" s="1464">
        <f t="shared" si="1"/>
        <v>0</v>
      </c>
      <c r="W54" s="1598">
        <f>(Q54+((S54-8)*R54))*((100-P54)/100)</f>
        <v>0</v>
      </c>
      <c r="X54" s="1419"/>
      <c r="Y54" s="1419"/>
      <c r="Z54" s="1419"/>
      <c r="AA54" s="1419"/>
      <c r="AB54" s="1419"/>
      <c r="AC54" s="1419"/>
      <c r="AD54" s="1419"/>
      <c r="AE54" s="1419"/>
      <c r="AF54" s="1419"/>
    </row>
    <row r="55" spans="1:32" s="1420" customFormat="1" ht="13" hidden="1">
      <c r="A55" s="1497"/>
      <c r="B55" s="1539"/>
      <c r="C55" s="1540"/>
      <c r="D55" s="1475"/>
      <c r="E55" s="1541"/>
      <c r="F55" s="1602"/>
      <c r="G55" s="1602"/>
      <c r="H55" s="1540"/>
      <c r="I55" s="1543"/>
      <c r="J55" s="1543"/>
      <c r="K55" s="1544"/>
      <c r="L55" s="1399"/>
      <c r="M55" s="1814"/>
      <c r="N55" s="1471"/>
      <c r="O55" s="1747"/>
      <c r="P55" s="1498"/>
      <c r="Q55" s="1401">
        <f t="shared" si="6"/>
        <v>0</v>
      </c>
      <c r="R55" s="1401"/>
      <c r="S55" s="1430">
        <f t="shared" si="2"/>
        <v>0</v>
      </c>
      <c r="T55" s="1403"/>
      <c r="U55" s="1731"/>
      <c r="V55" s="1443">
        <f t="shared" si="1"/>
        <v>0</v>
      </c>
      <c r="W55" s="1425">
        <f>(Q55+((S55-0)*R55))*((100-P55)/100)</f>
        <v>0</v>
      </c>
      <c r="X55" s="1417"/>
      <c r="Y55" s="1510">
        <f>W55*((100-P55)/100)</f>
        <v>0</v>
      </c>
      <c r="Z55" s="1417"/>
      <c r="AA55" s="1419"/>
      <c r="AB55" s="1419"/>
      <c r="AC55" s="1419"/>
      <c r="AD55" s="1419"/>
      <c r="AE55" s="1419"/>
      <c r="AF55" s="1419"/>
    </row>
    <row r="56" spans="1:32" s="1420" customFormat="1" hidden="1">
      <c r="A56" s="1360"/>
      <c r="B56" s="1359"/>
      <c r="C56" s="1393"/>
      <c r="D56" s="1362"/>
      <c r="E56" s="1483"/>
      <c r="F56" s="1484"/>
      <c r="G56" s="1485"/>
      <c r="H56" s="1758"/>
      <c r="I56" s="1469"/>
      <c r="J56" s="1364"/>
      <c r="K56" s="1394"/>
      <c r="L56" s="1502"/>
      <c r="M56" s="1860"/>
      <c r="N56" s="1606"/>
      <c r="O56" s="1843"/>
      <c r="P56" s="1505"/>
      <c r="Q56" s="1401">
        <f t="shared" si="6"/>
        <v>0</v>
      </c>
      <c r="R56" s="1508"/>
      <c r="S56" s="1430">
        <f t="shared" si="2"/>
        <v>0</v>
      </c>
      <c r="T56" s="1696"/>
      <c r="U56" s="1452"/>
      <c r="V56" s="1453">
        <f t="shared" si="1"/>
        <v>0</v>
      </c>
      <c r="W56" s="1608">
        <f>Q56+((S56-0)*R56)</f>
        <v>0</v>
      </c>
      <c r="X56" s="1419"/>
      <c r="Y56" s="1473"/>
      <c r="Z56" s="1419"/>
      <c r="AA56" s="1419"/>
      <c r="AB56" s="1419"/>
      <c r="AC56" s="1419"/>
      <c r="AD56" s="1419"/>
      <c r="AE56" s="1419"/>
      <c r="AF56" s="1419"/>
    </row>
    <row r="57" spans="1:32" s="1492" customFormat="1" ht="13" hidden="1">
      <c r="A57" s="1359"/>
      <c r="B57" s="1360"/>
      <c r="C57" s="1361"/>
      <c r="D57" s="1362"/>
      <c r="E57" s="1609"/>
      <c r="F57" s="1363"/>
      <c r="G57" s="1363"/>
      <c r="H57" s="1617"/>
      <c r="I57" s="1364"/>
      <c r="J57" s="1364"/>
      <c r="K57" s="1361"/>
      <c r="L57" s="1435"/>
      <c r="M57" s="1861"/>
      <c r="N57" s="1477"/>
      <c r="O57" s="1540"/>
      <c r="P57" s="1610"/>
      <c r="Q57" s="1401">
        <f t="shared" si="6"/>
        <v>0</v>
      </c>
      <c r="R57" s="1479"/>
      <c r="S57" s="1430">
        <f t="shared" si="2"/>
        <v>0</v>
      </c>
      <c r="T57" s="1415"/>
      <c r="U57" s="1416"/>
      <c r="V57" s="1414">
        <f t="shared" si="1"/>
        <v>0</v>
      </c>
      <c r="W57" s="1371">
        <f t="shared" ref="W57:W62" si="8">(Q57+((S57-0)*R57))*((100-P57)/100)</f>
        <v>0</v>
      </c>
      <c r="X57" s="1417"/>
      <c r="Y57" s="1510">
        <f>W57*((100-P57)/100)</f>
        <v>0</v>
      </c>
      <c r="Z57" s="1417"/>
      <c r="AA57" s="1419"/>
      <c r="AB57" s="1419"/>
      <c r="AC57" s="1419"/>
      <c r="AD57" s="1419"/>
      <c r="AE57" s="1419"/>
      <c r="AF57" s="1419"/>
    </row>
    <row r="58" spans="1:32" s="1420" customFormat="1" ht="14" hidden="1">
      <c r="A58" s="1434"/>
      <c r="B58" s="1448"/>
      <c r="C58" s="1611"/>
      <c r="D58" s="1460"/>
      <c r="E58" s="1612"/>
      <c r="F58" s="1613"/>
      <c r="G58" s="1613"/>
      <c r="H58" s="1611"/>
      <c r="I58" s="1562"/>
      <c r="J58" s="1562"/>
      <c r="K58" s="1614"/>
      <c r="L58" s="1399"/>
      <c r="M58" s="1814"/>
      <c r="N58" s="1471"/>
      <c r="O58" s="1747"/>
      <c r="P58" s="1615"/>
      <c r="Q58" s="1401">
        <f t="shared" si="6"/>
        <v>0</v>
      </c>
      <c r="R58" s="1401"/>
      <c r="S58" s="1430">
        <f t="shared" si="2"/>
        <v>0</v>
      </c>
      <c r="T58" s="1444"/>
      <c r="U58" s="1616"/>
      <c r="V58" s="1443">
        <f t="shared" si="1"/>
        <v>0</v>
      </c>
      <c r="W58" s="1425">
        <f t="shared" si="8"/>
        <v>0</v>
      </c>
      <c r="X58" s="1417"/>
      <c r="Y58" s="1426"/>
      <c r="Z58" s="1417"/>
      <c r="AA58" s="1419"/>
      <c r="AB58" s="1419"/>
      <c r="AC58" s="1419"/>
      <c r="AD58" s="1419"/>
      <c r="AE58" s="1419"/>
      <c r="AF58" s="1419"/>
    </row>
    <row r="59" spans="1:32" s="1420" customFormat="1" ht="13" hidden="1" customHeight="1">
      <c r="A59" s="1359"/>
      <c r="B59" s="1360"/>
      <c r="C59" s="1361"/>
      <c r="D59" s="1362"/>
      <c r="E59" s="1609"/>
      <c r="F59" s="1363"/>
      <c r="G59" s="1363"/>
      <c r="H59" s="1361"/>
      <c r="I59" s="1543"/>
      <c r="J59" s="1543"/>
      <c r="K59" s="1614"/>
      <c r="L59" s="1399"/>
      <c r="M59" s="1814"/>
      <c r="N59" s="1471"/>
      <c r="O59" s="1747"/>
      <c r="P59" s="1615"/>
      <c r="Q59" s="1401">
        <f t="shared" si="6"/>
        <v>0</v>
      </c>
      <c r="R59" s="1401"/>
      <c r="S59" s="1430">
        <f t="shared" si="2"/>
        <v>0</v>
      </c>
      <c r="T59" s="1370"/>
      <c r="U59" s="1534"/>
      <c r="V59" s="1369">
        <f t="shared" si="1"/>
        <v>0</v>
      </c>
      <c r="W59" s="1371">
        <f t="shared" si="8"/>
        <v>0</v>
      </c>
      <c r="X59" s="1417"/>
      <c r="Y59" s="1418"/>
      <c r="Z59" s="1417"/>
      <c r="AA59" s="1419"/>
      <c r="AB59" s="1419"/>
      <c r="AC59" s="1419"/>
      <c r="AD59" s="1419"/>
      <c r="AE59" s="1419"/>
      <c r="AF59" s="1419"/>
    </row>
    <row r="60" spans="1:32" s="1620" customFormat="1" ht="13" hidden="1">
      <c r="A60" s="1427"/>
      <c r="B60" s="1441"/>
      <c r="C60" s="1617"/>
      <c r="D60" s="1408"/>
      <c r="E60" s="1618"/>
      <c r="F60" s="1619"/>
      <c r="G60" s="1619"/>
      <c r="H60" s="1617"/>
      <c r="I60" s="1364"/>
      <c r="J60" s="1364"/>
      <c r="K60" s="1456"/>
      <c r="L60" s="1399"/>
      <c r="M60" s="1814"/>
      <c r="N60" s="1471"/>
      <c r="O60" s="1747"/>
      <c r="P60" s="1399"/>
      <c r="Q60" s="1401">
        <f t="shared" si="6"/>
        <v>0</v>
      </c>
      <c r="R60" s="1401"/>
      <c r="S60" s="1430">
        <f t="shared" si="2"/>
        <v>0</v>
      </c>
      <c r="T60" s="1415"/>
      <c r="U60" s="1416"/>
      <c r="V60" s="1559">
        <f t="shared" si="1"/>
        <v>0</v>
      </c>
      <c r="W60" s="1501">
        <f t="shared" si="8"/>
        <v>0</v>
      </c>
      <c r="X60" s="1417"/>
      <c r="Y60" s="1418"/>
      <c r="Z60" s="1417"/>
      <c r="AA60" s="1419"/>
      <c r="AB60" s="1419"/>
      <c r="AC60" s="1419"/>
      <c r="AD60" s="1419"/>
      <c r="AE60" s="1419"/>
      <c r="AF60" s="1419"/>
    </row>
    <row r="61" spans="1:32" s="1420" customFormat="1" hidden="1">
      <c r="A61" s="1448"/>
      <c r="B61" s="1434"/>
      <c r="C61" s="1560"/>
      <c r="D61" s="1463"/>
      <c r="E61" s="1621"/>
      <c r="F61" s="1622"/>
      <c r="G61" s="1622"/>
      <c r="H61" s="1560"/>
      <c r="I61" s="1543"/>
      <c r="J61" s="1543"/>
      <c r="K61" s="1582"/>
      <c r="L61" s="1623"/>
      <c r="M61" s="1862"/>
      <c r="N61" s="1624"/>
      <c r="O61" s="1844"/>
      <c r="P61" s="1626"/>
      <c r="Q61" s="1401">
        <f t="shared" si="6"/>
        <v>0</v>
      </c>
      <c r="R61" s="1627"/>
      <c r="S61" s="1430">
        <f t="shared" si="2"/>
        <v>0</v>
      </c>
      <c r="T61" s="1444"/>
      <c r="U61" s="1463"/>
      <c r="V61" s="1565">
        <f t="shared" si="1"/>
        <v>0</v>
      </c>
      <c r="W61" s="1566">
        <f t="shared" si="8"/>
        <v>0</v>
      </c>
      <c r="X61" s="1417"/>
      <c r="Y61" s="1431">
        <f>(Q61+((S61-0)*R61))*((100-P61)/100)</f>
        <v>0</v>
      </c>
      <c r="Z61" s="1417"/>
      <c r="AA61" s="1419"/>
      <c r="AB61" s="1419"/>
      <c r="AC61" s="1419"/>
      <c r="AD61" s="1419"/>
      <c r="AE61" s="1419"/>
      <c r="AF61" s="1419"/>
    </row>
    <row r="62" spans="1:32" s="1420" customFormat="1" hidden="1">
      <c r="A62" s="1359"/>
      <c r="B62" s="1359"/>
      <c r="C62" s="1393"/>
      <c r="D62" s="1362"/>
      <c r="E62" s="1483"/>
      <c r="F62" s="1484"/>
      <c r="G62" s="1484"/>
      <c r="H62" s="1393"/>
      <c r="I62" s="1364"/>
      <c r="J62" s="1364"/>
      <c r="K62" s="1394"/>
      <c r="L62" s="1513"/>
      <c r="M62" s="1863"/>
      <c r="N62" s="1629"/>
      <c r="O62" s="1560"/>
      <c r="P62" s="1449"/>
      <c r="Q62" s="1401">
        <f t="shared" si="6"/>
        <v>0</v>
      </c>
      <c r="R62" s="1443"/>
      <c r="S62" s="1430">
        <f t="shared" si="2"/>
        <v>0</v>
      </c>
      <c r="T62" s="1370"/>
      <c r="U62" s="1422"/>
      <c r="V62" s="1369">
        <f t="shared" si="1"/>
        <v>0</v>
      </c>
      <c r="W62" s="1371">
        <f t="shared" si="8"/>
        <v>0</v>
      </c>
      <c r="X62" s="1419"/>
      <c r="Y62" s="1473"/>
      <c r="Z62" s="1419"/>
      <c r="AA62" s="1419"/>
      <c r="AB62" s="1419"/>
      <c r="AC62" s="1419"/>
      <c r="AD62" s="1419"/>
      <c r="AE62" s="1419"/>
      <c r="AF62" s="1419"/>
    </row>
    <row r="63" spans="1:32" s="1420" customFormat="1" hidden="1">
      <c r="A63" s="1631"/>
      <c r="B63" s="1427"/>
      <c r="C63" s="1552"/>
      <c r="D63" s="1408"/>
      <c r="E63" s="1632"/>
      <c r="F63" s="1553"/>
      <c r="G63" s="1553"/>
      <c r="H63" s="1552"/>
      <c r="I63" s="1536"/>
      <c r="J63" s="1536"/>
      <c r="K63" s="1557"/>
      <c r="L63" s="1399"/>
      <c r="M63" s="1753"/>
      <c r="N63" s="1486"/>
      <c r="O63" s="1758"/>
      <c r="P63" s="1633"/>
      <c r="Q63" s="1401">
        <f t="shared" si="6"/>
        <v>0</v>
      </c>
      <c r="R63" s="1401"/>
      <c r="S63" s="1430">
        <f t="shared" si="2"/>
        <v>0</v>
      </c>
      <c r="T63" s="1696"/>
      <c r="U63" s="1635"/>
      <c r="V63" s="1636">
        <f t="shared" si="1"/>
        <v>0</v>
      </c>
      <c r="W63" s="1637">
        <f>Q63+((S63-0)*R63)</f>
        <v>0</v>
      </c>
      <c r="X63" s="1620"/>
      <c r="Y63" s="1638"/>
      <c r="Z63" s="1620"/>
      <c r="AA63" s="1620"/>
      <c r="AB63" s="1620"/>
      <c r="AC63" s="1620"/>
      <c r="AD63" s="1620"/>
      <c r="AE63" s="1620"/>
      <c r="AF63" s="1620"/>
    </row>
    <row r="64" spans="1:32" s="1420" customFormat="1" hidden="1">
      <c r="A64" s="1359"/>
      <c r="B64" s="1359"/>
      <c r="C64" s="1393"/>
      <c r="D64" s="1362"/>
      <c r="E64" s="1483"/>
      <c r="F64" s="1484"/>
      <c r="G64" s="1484"/>
      <c r="H64" s="1393"/>
      <c r="I64" s="1364"/>
      <c r="J64" s="1364"/>
      <c r="K64" s="1394"/>
      <c r="L64" s="1502"/>
      <c r="M64" s="1864"/>
      <c r="N64" s="1606"/>
      <c r="O64" s="1845"/>
      <c r="P64" s="1409"/>
      <c r="Q64" s="1401">
        <f t="shared" si="6"/>
        <v>0</v>
      </c>
      <c r="R64" s="1414"/>
      <c r="S64" s="1430">
        <f t="shared" si="2"/>
        <v>0</v>
      </c>
      <c r="T64" s="1415"/>
      <c r="U64" s="1416"/>
      <c r="V64" s="1559">
        <f t="shared" si="1"/>
        <v>0</v>
      </c>
      <c r="W64" s="1501">
        <f>(Q64+((S64-0)*R64))*((100-P64)/100)</f>
        <v>0</v>
      </c>
      <c r="X64" s="1641"/>
      <c r="Y64" s="1431">
        <f>(Q64+((S64-0)*R64))*((100-P64)/100)</f>
        <v>0</v>
      </c>
      <c r="Z64" s="1417"/>
      <c r="AA64" s="1419"/>
      <c r="AB64" s="1419"/>
      <c r="AC64" s="1419"/>
      <c r="AD64" s="1419"/>
      <c r="AE64" s="1419"/>
      <c r="AF64" s="1419"/>
    </row>
    <row r="65" spans="1:32" s="1420" customFormat="1" hidden="1">
      <c r="A65" s="1448"/>
      <c r="B65" s="1434"/>
      <c r="C65" s="1560"/>
      <c r="D65" s="1460"/>
      <c r="E65" s="1621"/>
      <c r="F65" s="1561"/>
      <c r="G65" s="1561"/>
      <c r="H65" s="1560"/>
      <c r="I65" s="1562"/>
      <c r="J65" s="1562"/>
      <c r="K65" s="1563"/>
      <c r="L65" s="1514"/>
      <c r="M65" s="1863"/>
      <c r="N65" s="1515"/>
      <c r="O65" s="1846"/>
      <c r="P65" s="1449"/>
      <c r="Q65" s="1401">
        <f t="shared" si="6"/>
        <v>0</v>
      </c>
      <c r="R65" s="1443"/>
      <c r="S65" s="1430">
        <f t="shared" si="2"/>
        <v>0</v>
      </c>
      <c r="T65" s="1444"/>
      <c r="U65" s="1564"/>
      <c r="V65" s="1565">
        <f t="shared" si="1"/>
        <v>0</v>
      </c>
      <c r="W65" s="1482">
        <f>(Q65+((S65-0)*R65))*((100-P65)/100)</f>
        <v>0</v>
      </c>
      <c r="X65" s="1419"/>
      <c r="Y65" s="1440">
        <f>(Q65+((S65-0)*R65))*((100-P65)/100)</f>
        <v>0</v>
      </c>
      <c r="Z65" s="1419"/>
      <c r="AA65" s="1419"/>
      <c r="AB65" s="1419"/>
      <c r="AC65" s="1419"/>
      <c r="AD65" s="1419"/>
      <c r="AE65" s="1419"/>
      <c r="AF65" s="1419"/>
    </row>
    <row r="66" spans="1:32" s="1420" customFormat="1" hidden="1">
      <c r="A66" s="1360"/>
      <c r="B66" s="1359"/>
      <c r="C66" s="1393"/>
      <c r="D66" s="1362"/>
      <c r="E66" s="1483"/>
      <c r="F66" s="1484"/>
      <c r="G66" s="1484"/>
      <c r="H66" s="1393"/>
      <c r="I66" s="1644"/>
      <c r="J66" s="1644"/>
      <c r="K66" s="1394"/>
      <c r="L66" s="1399"/>
      <c r="M66" s="1815"/>
      <c r="N66" s="1646"/>
      <c r="O66" s="1758"/>
      <c r="P66" s="1468"/>
      <c r="Q66" s="1401">
        <f t="shared" si="6"/>
        <v>0</v>
      </c>
      <c r="R66" s="1401"/>
      <c r="S66" s="1430">
        <f t="shared" si="2"/>
        <v>0</v>
      </c>
      <c r="T66" s="1444"/>
      <c r="U66" s="1463"/>
      <c r="V66" s="1464">
        <f t="shared" si="1"/>
        <v>0</v>
      </c>
      <c r="W66" s="1425">
        <f>V66</f>
        <v>0</v>
      </c>
      <c r="X66" s="1417"/>
      <c r="Y66" s="1426"/>
      <c r="Z66" s="1417"/>
      <c r="AA66" s="1491"/>
      <c r="AB66" s="1491"/>
      <c r="AC66" s="1491"/>
      <c r="AD66" s="1491"/>
      <c r="AE66" s="1491"/>
      <c r="AF66" s="1491"/>
    </row>
    <row r="67" spans="1:32" s="1420" customFormat="1" hidden="1">
      <c r="A67" s="1427"/>
      <c r="B67" s="1427"/>
      <c r="C67" s="1552"/>
      <c r="D67" s="1409"/>
      <c r="E67" s="1648"/>
      <c r="F67" s="1552"/>
      <c r="G67" s="1552"/>
      <c r="H67" s="1851"/>
      <c r="I67" s="1536"/>
      <c r="J67" s="1536"/>
      <c r="K67" s="1557"/>
      <c r="L67" s="1399"/>
      <c r="M67" s="1753"/>
      <c r="N67" s="1486"/>
      <c r="O67" s="1758"/>
      <c r="P67" s="1399"/>
      <c r="Q67" s="1401">
        <f t="shared" si="6"/>
        <v>0</v>
      </c>
      <c r="R67" s="1650"/>
      <c r="S67" s="1430">
        <f t="shared" si="2"/>
        <v>0</v>
      </c>
      <c r="T67" s="1696"/>
      <c r="U67" s="1473"/>
      <c r="V67" s="1401">
        <f t="shared" si="1"/>
        <v>0</v>
      </c>
      <c r="W67" s="1431">
        <f>(Q67+((S67-0)*R67))*((100-P67)/100)</f>
        <v>0</v>
      </c>
      <c r="X67" s="1419"/>
      <c r="Y67" s="1473"/>
      <c r="Z67" s="1419"/>
      <c r="AA67" s="1419"/>
      <c r="AB67" s="1419"/>
      <c r="AC67" s="1419"/>
      <c r="AD67" s="1419"/>
      <c r="AE67" s="1419"/>
      <c r="AF67" s="1419"/>
    </row>
    <row r="68" spans="1:32" s="1420" customFormat="1" hidden="1">
      <c r="A68" s="1359"/>
      <c r="B68" s="1359"/>
      <c r="C68" s="1393"/>
      <c r="D68" s="1362"/>
      <c r="E68" s="1483"/>
      <c r="F68" s="1484"/>
      <c r="G68" s="1485"/>
      <c r="H68" s="1758"/>
      <c r="I68" s="1469"/>
      <c r="J68" s="1364"/>
      <c r="K68" s="1394"/>
      <c r="L68" s="1511"/>
      <c r="M68" s="1865"/>
      <c r="N68" s="1624"/>
      <c r="O68" s="1847"/>
      <c r="P68" s="1511"/>
      <c r="Q68" s="1401">
        <f t="shared" si="6"/>
        <v>0</v>
      </c>
      <c r="R68" s="1500"/>
      <c r="S68" s="1430">
        <f t="shared" si="2"/>
        <v>0</v>
      </c>
      <c r="T68" s="1696"/>
      <c r="U68" s="1653"/>
      <c r="V68" s="1500">
        <f t="shared" si="1"/>
        <v>0</v>
      </c>
      <c r="W68" s="1654">
        <f>(Q68+((S68-0)*R68))*((100-P68)/100)</f>
        <v>0</v>
      </c>
      <c r="X68" s="1419"/>
      <c r="Y68" s="1440">
        <f>(Q68+((S68-0)*R68))*((100-P68)/100)</f>
        <v>0</v>
      </c>
      <c r="Z68" s="1419"/>
      <c r="AA68" s="1419"/>
      <c r="AB68" s="1419"/>
      <c r="AC68" s="1419"/>
      <c r="AD68" s="1419"/>
      <c r="AE68" s="1419"/>
      <c r="AF68" s="1419"/>
    </row>
    <row r="69" spans="1:32" s="1420" customFormat="1" hidden="1">
      <c r="A69" s="1360"/>
      <c r="B69" s="1359"/>
      <c r="C69" s="1393"/>
      <c r="D69" s="1362"/>
      <c r="E69" s="1483"/>
      <c r="F69" s="1484"/>
      <c r="G69" s="1484"/>
      <c r="H69" s="1552"/>
      <c r="I69" s="1364"/>
      <c r="J69" s="1364"/>
      <c r="K69" s="1394"/>
      <c r="L69" s="1399"/>
      <c r="M69" s="1753"/>
      <c r="N69" s="1486"/>
      <c r="O69" s="1758"/>
      <c r="P69" s="1468"/>
      <c r="Q69" s="1401">
        <f t="shared" si="6"/>
        <v>0</v>
      </c>
      <c r="R69" s="1650"/>
      <c r="S69" s="1430">
        <f t="shared" si="2"/>
        <v>0</v>
      </c>
      <c r="T69" s="1696"/>
      <c r="U69" s="1452"/>
      <c r="V69" s="1453">
        <f t="shared" si="1"/>
        <v>0</v>
      </c>
      <c r="W69" s="1431">
        <f>V69</f>
        <v>0</v>
      </c>
      <c r="X69" s="1419"/>
      <c r="Y69" s="1419"/>
      <c r="Z69" s="1419"/>
      <c r="AA69" s="1419"/>
      <c r="AB69" s="1419"/>
      <c r="AC69" s="1419"/>
      <c r="AD69" s="1419"/>
      <c r="AE69" s="1419"/>
      <c r="AF69" s="1419"/>
    </row>
    <row r="70" spans="1:32" s="1420" customFormat="1" hidden="1">
      <c r="A70" s="1655"/>
      <c r="B70" s="1359"/>
      <c r="C70" s="1393"/>
      <c r="D70" s="1362"/>
      <c r="E70" s="1483"/>
      <c r="F70" s="1484"/>
      <c r="G70" s="1484"/>
      <c r="H70" s="1393"/>
      <c r="I70" s="1364"/>
      <c r="J70" s="1364"/>
      <c r="K70" s="1393"/>
      <c r="L70" s="1409"/>
      <c r="M70" s="1855"/>
      <c r="N70" s="1570"/>
      <c r="O70" s="1552"/>
      <c r="P70" s="1656"/>
      <c r="Q70" s="1401">
        <f t="shared" si="6"/>
        <v>0</v>
      </c>
      <c r="R70" s="1437"/>
      <c r="S70" s="1430">
        <f t="shared" si="2"/>
        <v>0</v>
      </c>
      <c r="T70" s="1696"/>
      <c r="U70" s="1657"/>
      <c r="V70" s="1658">
        <f t="shared" si="1"/>
        <v>0</v>
      </c>
      <c r="W70" s="1431">
        <f>V70</f>
        <v>0</v>
      </c>
      <c r="X70" s="1417"/>
      <c r="Y70" s="1440">
        <f>(Q70+((S70-0)*R70))*((100-P70)/100)</f>
        <v>0</v>
      </c>
      <c r="Z70" s="1417"/>
      <c r="AA70" s="1419"/>
      <c r="AB70" s="1419"/>
      <c r="AC70" s="1419"/>
      <c r="AD70" s="1419"/>
      <c r="AE70" s="1419"/>
      <c r="AF70" s="1419"/>
    </row>
    <row r="71" spans="1:32" s="1420" customFormat="1" ht="29.15" hidden="1" customHeight="1">
      <c r="A71" s="1359"/>
      <c r="B71" s="1359"/>
      <c r="C71" s="1393"/>
      <c r="D71" s="1362"/>
      <c r="E71" s="1483"/>
      <c r="F71" s="1484"/>
      <c r="G71" s="1484"/>
      <c r="H71" s="1393"/>
      <c r="I71" s="1364"/>
      <c r="J71" s="1364"/>
      <c r="K71" s="1393"/>
      <c r="L71" s="1365"/>
      <c r="M71" s="1391"/>
      <c r="N71" s="1549"/>
      <c r="O71" s="1393"/>
      <c r="P71" s="1365"/>
      <c r="Q71" s="1401">
        <f t="shared" si="6"/>
        <v>0</v>
      </c>
      <c r="R71" s="1443"/>
      <c r="S71" s="1430">
        <f t="shared" si="2"/>
        <v>0</v>
      </c>
      <c r="T71" s="1480"/>
      <c r="U71" s="1481"/>
      <c r="V71" s="1479">
        <f t="shared" ref="V71:V87" si="9">S71*R71*(100-P71)/100</f>
        <v>0</v>
      </c>
      <c r="W71" s="1490">
        <f>(Q71+((S71-8)*R71))*((100-P71)/100)</f>
        <v>0</v>
      </c>
      <c r="X71" s="1419"/>
      <c r="Y71" s="1431">
        <f>(Q71+((S71-0)*R71))*((100-P71)/100)</f>
        <v>0</v>
      </c>
      <c r="Z71" s="1419"/>
      <c r="AA71" s="1419"/>
      <c r="AB71" s="1419"/>
      <c r="AC71" s="1419"/>
      <c r="AD71" s="1419"/>
      <c r="AE71" s="1419"/>
      <c r="AF71" s="1419"/>
    </row>
    <row r="72" spans="1:32" s="1420" customFormat="1" ht="13" hidden="1">
      <c r="A72" s="1359"/>
      <c r="B72" s="1359"/>
      <c r="C72" s="1393"/>
      <c r="D72" s="1362"/>
      <c r="E72" s="1659"/>
      <c r="F72" s="1484"/>
      <c r="G72" s="1484"/>
      <c r="H72" s="1393"/>
      <c r="I72" s="1364"/>
      <c r="J72" s="1364"/>
      <c r="K72" s="1393"/>
      <c r="L72" s="1365"/>
      <c r="M72" s="1391"/>
      <c r="N72" s="1660"/>
      <c r="O72" s="1393"/>
      <c r="P72" s="1661"/>
      <c r="Q72" s="1401">
        <f t="shared" si="6"/>
        <v>0</v>
      </c>
      <c r="R72" s="1650"/>
      <c r="S72" s="1430">
        <f t="shared" ref="S72:S87" si="10">(G72-F72)/100</f>
        <v>0</v>
      </c>
      <c r="T72" s="1696"/>
      <c r="U72" s="1473"/>
      <c r="V72" s="1658">
        <f t="shared" si="9"/>
        <v>0</v>
      </c>
      <c r="W72" s="1454">
        <f>(Q72+((S72-8)*R72))*((100-P72)/100)</f>
        <v>0</v>
      </c>
      <c r="X72" s="1419"/>
      <c r="Y72" s="1431">
        <f>(Q72+((S72-0)*R72))*((100-P72)/100)</f>
        <v>0</v>
      </c>
      <c r="Z72" s="1419"/>
      <c r="AA72" s="1419"/>
      <c r="AB72" s="1419"/>
      <c r="AC72" s="1419"/>
      <c r="AD72" s="1419"/>
      <c r="AE72" s="1419"/>
      <c r="AF72" s="1419"/>
    </row>
    <row r="73" spans="1:32" s="1420" customFormat="1" ht="13" hidden="1">
      <c r="A73" s="1359"/>
      <c r="B73" s="1359"/>
      <c r="C73" s="1393"/>
      <c r="D73" s="1362"/>
      <c r="E73" s="1392"/>
      <c r="F73" s="1484"/>
      <c r="G73" s="1484"/>
      <c r="H73" s="1393"/>
      <c r="I73" s="1364"/>
      <c r="J73" s="1364"/>
      <c r="K73" s="1391"/>
      <c r="L73" s="1449"/>
      <c r="M73" s="1391"/>
      <c r="N73" s="1662"/>
      <c r="O73" s="1391"/>
      <c r="P73" s="1663"/>
      <c r="Q73" s="1401">
        <f t="shared" si="6"/>
        <v>0</v>
      </c>
      <c r="R73" s="1650"/>
      <c r="S73" s="1430">
        <f t="shared" si="10"/>
        <v>0</v>
      </c>
      <c r="T73" s="1696"/>
      <c r="U73" s="1473"/>
      <c r="V73" s="1658">
        <f t="shared" si="9"/>
        <v>0</v>
      </c>
      <c r="W73" s="1454">
        <f>(Q73+((S73-8)*R73))*((100-P73)/100)</f>
        <v>0</v>
      </c>
      <c r="X73" s="1419"/>
      <c r="Y73" s="1431">
        <f>(Q73+((S73-0)*R73))*((100-P73)/100)</f>
        <v>0</v>
      </c>
      <c r="Z73" s="1419"/>
      <c r="AA73" s="1419"/>
      <c r="AB73" s="1419"/>
      <c r="AC73" s="1419"/>
      <c r="AD73" s="1419"/>
      <c r="AE73" s="1419"/>
      <c r="AF73" s="1419"/>
    </row>
    <row r="74" spans="1:32" s="1405" customFormat="1" hidden="1">
      <c r="A74" s="1359"/>
      <c r="B74" s="1359"/>
      <c r="C74" s="1393"/>
      <c r="D74" s="1362"/>
      <c r="E74" s="1483"/>
      <c r="F74" s="1484"/>
      <c r="G74" s="1484"/>
      <c r="H74" s="1393"/>
      <c r="I74" s="1364"/>
      <c r="J74" s="1364"/>
      <c r="K74" s="1394"/>
      <c r="L74" s="1399"/>
      <c r="M74" s="1866"/>
      <c r="N74" s="1549"/>
      <c r="O74" s="1393"/>
      <c r="P74" s="1365"/>
      <c r="Q74" s="1401">
        <f t="shared" si="6"/>
        <v>0</v>
      </c>
      <c r="R74" s="1664"/>
      <c r="S74" s="1430">
        <f t="shared" si="10"/>
        <v>0</v>
      </c>
      <c r="T74" s="1696"/>
      <c r="U74" s="1473"/>
      <c r="V74" s="1401">
        <f t="shared" si="9"/>
        <v>0</v>
      </c>
      <c r="W74" s="1431">
        <f>V74</f>
        <v>0</v>
      </c>
      <c r="X74" s="1419"/>
      <c r="Y74" s="1419"/>
      <c r="Z74" s="1419"/>
      <c r="AA74" s="1419"/>
      <c r="AB74" s="1419"/>
      <c r="AC74" s="1419"/>
      <c r="AD74" s="1419"/>
      <c r="AE74" s="1419"/>
      <c r="AF74" s="1419"/>
    </row>
    <row r="75" spans="1:32" s="1420" customFormat="1" ht="13" hidden="1">
      <c r="A75" s="1359"/>
      <c r="B75" s="1359"/>
      <c r="C75" s="1393"/>
      <c r="D75" s="1362"/>
      <c r="E75" s="1392"/>
      <c r="F75" s="1484"/>
      <c r="G75" s="1484"/>
      <c r="H75" s="1393"/>
      <c r="I75" s="1364"/>
      <c r="J75" s="1364"/>
      <c r="K75" s="1391"/>
      <c r="L75" s="1409"/>
      <c r="M75" s="1391"/>
      <c r="N75" s="1662"/>
      <c r="O75" s="1391"/>
      <c r="P75" s="1365"/>
      <c r="Q75" s="1401">
        <f t="shared" si="6"/>
        <v>0</v>
      </c>
      <c r="R75" s="1369"/>
      <c r="S75" s="1430">
        <f t="shared" si="10"/>
        <v>0</v>
      </c>
      <c r="T75" s="1415"/>
      <c r="U75" s="1558"/>
      <c r="V75" s="1414">
        <f t="shared" si="9"/>
        <v>0</v>
      </c>
      <c r="W75" s="1459">
        <f>(Q75+((S75-0)*R75))*((100-P75)/100)</f>
        <v>0</v>
      </c>
      <c r="X75" s="1419"/>
      <c r="Y75" s="1419"/>
      <c r="Z75" s="1419"/>
      <c r="AA75" s="1419"/>
      <c r="AB75" s="1419"/>
      <c r="AC75" s="1419"/>
      <c r="AD75" s="1419"/>
      <c r="AE75" s="1419"/>
      <c r="AF75" s="1419"/>
    </row>
    <row r="76" spans="1:32" s="1420" customFormat="1" ht="13" hidden="1">
      <c r="A76" s="1427"/>
      <c r="B76" s="1427"/>
      <c r="C76" s="1552"/>
      <c r="D76" s="1408"/>
      <c r="E76" s="1665"/>
      <c r="F76" s="1553"/>
      <c r="G76" s="1553"/>
      <c r="H76" s="1552"/>
      <c r="I76" s="1536"/>
      <c r="J76" s="1536"/>
      <c r="K76" s="1666"/>
      <c r="L76" s="1409"/>
      <c r="M76" s="1855"/>
      <c r="N76" s="1667"/>
      <c r="O76" s="1845"/>
      <c r="P76" s="1409"/>
      <c r="Q76" s="1401">
        <f t="shared" si="6"/>
        <v>0</v>
      </c>
      <c r="R76" s="1559"/>
      <c r="S76" s="1430">
        <f t="shared" si="10"/>
        <v>0</v>
      </c>
      <c r="T76" s="1480"/>
      <c r="U76" s="1481"/>
      <c r="V76" s="1437">
        <f t="shared" si="9"/>
        <v>0</v>
      </c>
      <c r="W76" s="1501">
        <f>(Q76+((S76-0)*R76))*((100-P76)/100)</f>
        <v>0</v>
      </c>
      <c r="X76" s="1419"/>
      <c r="Y76" s="1431">
        <f>(Q76+((S76-0)*R76))*((100-P76)/100)</f>
        <v>0</v>
      </c>
      <c r="Z76" s="1419"/>
      <c r="AA76" s="1419"/>
      <c r="AB76" s="1419"/>
      <c r="AC76" s="1419"/>
      <c r="AD76" s="1419"/>
      <c r="AE76" s="1419"/>
      <c r="AF76" s="1419"/>
    </row>
    <row r="77" spans="1:32" s="1420" customFormat="1" ht="13" hidden="1">
      <c r="A77" s="1359"/>
      <c r="B77" s="1359"/>
      <c r="C77" s="1393"/>
      <c r="D77" s="1362"/>
      <c r="E77" s="1392"/>
      <c r="F77" s="1484"/>
      <c r="G77" s="1484"/>
      <c r="H77" s="1393"/>
      <c r="I77" s="1364"/>
      <c r="J77" s="1364"/>
      <c r="K77" s="1668"/>
      <c r="L77" s="1502"/>
      <c r="M77" s="1391"/>
      <c r="N77" s="1669"/>
      <c r="O77" s="1848"/>
      <c r="P77" s="1365"/>
      <c r="Q77" s="1401">
        <f t="shared" si="6"/>
        <v>0</v>
      </c>
      <c r="R77" s="1472"/>
      <c r="S77" s="1430">
        <f t="shared" si="10"/>
        <v>0</v>
      </c>
      <c r="T77" s="1696"/>
      <c r="U77" s="1473"/>
      <c r="V77" s="1401">
        <f t="shared" si="9"/>
        <v>0</v>
      </c>
      <c r="W77" s="1431">
        <f>(Q77+((S77-0)*R77))*((100-P77)/100)</f>
        <v>0</v>
      </c>
      <c r="X77" s="1419"/>
      <c r="Y77" s="1431">
        <f>(Q77+((S77-0)*R77))*((100-P77)/100)</f>
        <v>0</v>
      </c>
      <c r="Z77" s="1419"/>
      <c r="AA77" s="1419"/>
      <c r="AB77" s="1419"/>
      <c r="AC77" s="1419"/>
      <c r="AD77" s="1419"/>
      <c r="AE77" s="1419"/>
      <c r="AF77" s="1419"/>
    </row>
    <row r="78" spans="1:32" s="1420" customFormat="1" ht="13" hidden="1">
      <c r="A78" s="1359"/>
      <c r="B78" s="1359"/>
      <c r="C78" s="1393"/>
      <c r="D78" s="1362"/>
      <c r="E78" s="1392"/>
      <c r="F78" s="1484"/>
      <c r="G78" s="1484"/>
      <c r="H78" s="1393"/>
      <c r="I78" s="1364"/>
      <c r="J78" s="1364"/>
      <c r="K78" s="1668"/>
      <c r="L78" s="1399"/>
      <c r="M78" s="1391"/>
      <c r="N78" s="1669"/>
      <c r="O78" s="1848"/>
      <c r="P78" s="1365"/>
      <c r="Q78" s="1401">
        <f t="shared" si="6"/>
        <v>0</v>
      </c>
      <c r="R78" s="1672"/>
      <c r="S78" s="1430">
        <f t="shared" si="10"/>
        <v>0</v>
      </c>
      <c r="T78" s="1415"/>
      <c r="U78" s="1558"/>
      <c r="V78" s="1559">
        <f t="shared" si="9"/>
        <v>0</v>
      </c>
      <c r="W78" s="1501">
        <f>Q78+((S78-0)*R78)</f>
        <v>0</v>
      </c>
      <c r="X78" s="1419"/>
      <c r="Y78" s="1419"/>
      <c r="Z78" s="1419"/>
      <c r="AA78" s="1419"/>
      <c r="AB78" s="1419"/>
      <c r="AC78" s="1419"/>
      <c r="AD78" s="1419"/>
      <c r="AE78" s="1419"/>
      <c r="AF78" s="1419"/>
    </row>
    <row r="79" spans="1:32" s="1420" customFormat="1" ht="13" hidden="1">
      <c r="A79" s="1359"/>
      <c r="B79" s="1359"/>
      <c r="C79" s="1393"/>
      <c r="D79" s="1362"/>
      <c r="E79" s="1659"/>
      <c r="F79" s="1484"/>
      <c r="G79" s="1484"/>
      <c r="H79" s="1393"/>
      <c r="I79" s="1364"/>
      <c r="J79" s="1364"/>
      <c r="K79" s="1394"/>
      <c r="L79" s="1365"/>
      <c r="M79" s="1391"/>
      <c r="N79" s="1669"/>
      <c r="O79" s="1849"/>
      <c r="P79" s="1365"/>
      <c r="Q79" s="1401">
        <f t="shared" si="6"/>
        <v>0</v>
      </c>
      <c r="R79" s="1672"/>
      <c r="S79" s="1430">
        <f t="shared" si="10"/>
        <v>0</v>
      </c>
      <c r="T79" s="1370"/>
      <c r="U79" s="1422"/>
      <c r="V79" s="1674">
        <f t="shared" si="9"/>
        <v>0</v>
      </c>
      <c r="W79" s="1431">
        <f>(Q79+((S79-0)*R79))*((100-P79)/100)</f>
        <v>0</v>
      </c>
      <c r="X79" s="1419"/>
      <c r="Y79" s="1419"/>
      <c r="Z79" s="1419"/>
      <c r="AA79" s="1419"/>
      <c r="AB79" s="1419"/>
      <c r="AC79" s="1419"/>
      <c r="AD79" s="1419"/>
      <c r="AE79" s="1419"/>
      <c r="AF79" s="1419"/>
    </row>
    <row r="80" spans="1:32" s="1420" customFormat="1" ht="13" hidden="1">
      <c r="A80" s="1359"/>
      <c r="B80" s="1359"/>
      <c r="C80" s="1393"/>
      <c r="D80" s="1362"/>
      <c r="E80" s="1659"/>
      <c r="F80" s="1484"/>
      <c r="G80" s="1484"/>
      <c r="H80" s="1393"/>
      <c r="I80" s="1364"/>
      <c r="J80" s="1364"/>
      <c r="K80" s="1394"/>
      <c r="L80" s="1365"/>
      <c r="M80" s="1391"/>
      <c r="N80" s="1660"/>
      <c r="O80" s="1849"/>
      <c r="P80" s="1365"/>
      <c r="Q80" s="1401">
        <f t="shared" si="6"/>
        <v>0</v>
      </c>
      <c r="R80" s="1675"/>
      <c r="S80" s="1430">
        <f t="shared" si="10"/>
        <v>0</v>
      </c>
      <c r="T80" s="1370"/>
      <c r="U80" s="1422"/>
      <c r="V80" s="1674">
        <f t="shared" si="9"/>
        <v>0</v>
      </c>
      <c r="W80" s="1431">
        <f>Q80+((S80-4)*R80)</f>
        <v>0</v>
      </c>
      <c r="X80" s="1419"/>
      <c r="Y80" s="1419"/>
      <c r="Z80" s="1419"/>
      <c r="AA80" s="1419"/>
      <c r="AB80" s="1419"/>
      <c r="AC80" s="1419"/>
      <c r="AD80" s="1419"/>
      <c r="AE80" s="1419"/>
      <c r="AF80" s="1419"/>
    </row>
    <row r="81" spans="1:32" s="1420" customFormat="1" ht="17.25" hidden="1" customHeight="1">
      <c r="A81" s="1359"/>
      <c r="B81" s="1359"/>
      <c r="C81" s="1393"/>
      <c r="D81" s="1365"/>
      <c r="E81" s="1659"/>
      <c r="F81" s="1484"/>
      <c r="G81" s="1484"/>
      <c r="H81" s="1393"/>
      <c r="I81" s="1676"/>
      <c r="J81" s="1676"/>
      <c r="K81" s="1677"/>
      <c r="L81" s="1365"/>
      <c r="M81" s="1391"/>
      <c r="N81" s="1678"/>
      <c r="O81" s="1850"/>
      <c r="P81" s="1365"/>
      <c r="Q81" s="1401">
        <f t="shared" si="6"/>
        <v>0</v>
      </c>
      <c r="R81" s="1675"/>
      <c r="S81" s="1430">
        <f t="shared" si="10"/>
        <v>0</v>
      </c>
      <c r="T81" s="1370"/>
      <c r="U81" s="1534"/>
      <c r="V81" s="1674">
        <f t="shared" si="9"/>
        <v>0</v>
      </c>
      <c r="W81" s="1431">
        <f>Q81+((S81-4)*R81)</f>
        <v>0</v>
      </c>
      <c r="X81" s="1417"/>
      <c r="Y81" s="1431">
        <f>(Q81+((S81-0)*R81))*((100-P81)/100)</f>
        <v>0</v>
      </c>
      <c r="Z81" s="1417"/>
      <c r="AA81" s="1419"/>
      <c r="AB81" s="1419"/>
      <c r="AC81" s="1419"/>
      <c r="AD81" s="1419"/>
      <c r="AE81" s="1419"/>
      <c r="AF81" s="1419"/>
    </row>
    <row r="82" spans="1:32" s="1420" customFormat="1" ht="13" hidden="1">
      <c r="A82" s="1359"/>
      <c r="B82" s="1390"/>
      <c r="C82" s="1390"/>
      <c r="D82" s="1365"/>
      <c r="E82" s="1659"/>
      <c r="F82" s="1393"/>
      <c r="G82" s="1393"/>
      <c r="H82" s="1393"/>
      <c r="I82" s="1670"/>
      <c r="J82" s="1364"/>
      <c r="K82" s="1668"/>
      <c r="L82" s="1502"/>
      <c r="M82" s="1753"/>
      <c r="N82" s="1667"/>
      <c r="O82" s="1848"/>
      <c r="P82" s="1365"/>
      <c r="Q82" s="1401">
        <f t="shared" si="6"/>
        <v>0</v>
      </c>
      <c r="R82" s="1672"/>
      <c r="S82" s="1430">
        <f t="shared" si="10"/>
        <v>0</v>
      </c>
      <c r="T82" s="1370"/>
      <c r="U82" s="1422"/>
      <c r="V82" s="1674">
        <f t="shared" si="9"/>
        <v>0</v>
      </c>
      <c r="W82" s="1431">
        <f>(Q82+((S82-8)*R82))*((100-P82)/100)</f>
        <v>0</v>
      </c>
      <c r="X82" s="1419"/>
      <c r="Y82" s="1431">
        <f>(Q82+((S82-0)*R82))*((100-P82)/100)</f>
        <v>0</v>
      </c>
      <c r="Z82" s="1419"/>
      <c r="AA82" s="1419"/>
      <c r="AB82" s="1419"/>
      <c r="AC82" s="1419"/>
      <c r="AD82" s="1419"/>
      <c r="AE82" s="1419"/>
      <c r="AF82" s="1419"/>
    </row>
    <row r="83" spans="1:32" s="1420" customFormat="1" ht="13" hidden="1">
      <c r="A83" s="1359"/>
      <c r="B83" s="1390"/>
      <c r="C83" s="1390"/>
      <c r="D83" s="1365"/>
      <c r="E83" s="1659"/>
      <c r="F83" s="1393"/>
      <c r="G83" s="1393"/>
      <c r="H83" s="1484"/>
      <c r="I83" s="1670"/>
      <c r="J83" s="1364"/>
      <c r="K83" s="1668"/>
      <c r="L83" s="1399"/>
      <c r="M83" s="1668"/>
      <c r="N83" s="1669"/>
      <c r="O83" s="1848"/>
      <c r="P83" s="1365"/>
      <c r="Q83" s="1401">
        <f t="shared" si="6"/>
        <v>0</v>
      </c>
      <c r="R83" s="1672"/>
      <c r="S83" s="1430">
        <f t="shared" si="10"/>
        <v>0</v>
      </c>
      <c r="T83" s="1370"/>
      <c r="U83" s="1422"/>
      <c r="V83" s="1674">
        <f t="shared" si="9"/>
        <v>0</v>
      </c>
      <c r="W83" s="1431">
        <f>(Q83+((S83-0)*R83))*((100-P83)/100)</f>
        <v>0</v>
      </c>
      <c r="X83" s="1419"/>
      <c r="Y83" s="1431">
        <f>(Q83+((S83-0)*R83))*((100-P83)/100)</f>
        <v>0</v>
      </c>
      <c r="Z83" s="1419"/>
      <c r="AA83" s="1419"/>
      <c r="AB83" s="1419"/>
      <c r="AC83" s="1419"/>
      <c r="AD83" s="1419"/>
      <c r="AE83" s="1419"/>
      <c r="AF83" s="1419"/>
    </row>
    <row r="84" spans="1:32" s="1420" customFormat="1" ht="13" hidden="1">
      <c r="A84" s="1359"/>
      <c r="B84" s="1390"/>
      <c r="C84" s="1390"/>
      <c r="D84" s="1365"/>
      <c r="E84" s="1659"/>
      <c r="F84" s="1393"/>
      <c r="G84" s="1393"/>
      <c r="H84" s="1852"/>
      <c r="I84" s="1670"/>
      <c r="J84" s="1364"/>
      <c r="K84" s="1668"/>
      <c r="L84" s="1399"/>
      <c r="M84" s="1391"/>
      <c r="N84" s="1669"/>
      <c r="O84" s="1848"/>
      <c r="P84" s="1365"/>
      <c r="Q84" s="1401">
        <f t="shared" si="6"/>
        <v>0</v>
      </c>
      <c r="R84" s="1672"/>
      <c r="S84" s="1430">
        <f t="shared" si="10"/>
        <v>0</v>
      </c>
      <c r="T84" s="1370"/>
      <c r="U84" s="1422"/>
      <c r="V84" s="1674">
        <f t="shared" si="9"/>
        <v>0</v>
      </c>
      <c r="W84" s="1431">
        <f>Q84+((S84-0)*R84)</f>
        <v>0</v>
      </c>
      <c r="X84" s="1419"/>
      <c r="Y84" s="1419"/>
      <c r="Z84" s="1419"/>
      <c r="AA84" s="1419"/>
      <c r="AB84" s="1419"/>
      <c r="AC84" s="1419"/>
      <c r="AD84" s="1419"/>
      <c r="AE84" s="1419"/>
      <c r="AF84" s="1419"/>
    </row>
    <row r="85" spans="1:32" s="1420" customFormat="1" ht="13" hidden="1">
      <c r="A85" s="1359"/>
      <c r="B85" s="1359"/>
      <c r="C85" s="1391"/>
      <c r="D85" s="1364"/>
      <c r="E85" s="1392"/>
      <c r="F85" s="1484"/>
      <c r="G85" s="1484"/>
      <c r="H85" s="1391"/>
      <c r="I85" s="1364"/>
      <c r="J85" s="1364"/>
      <c r="K85" s="1668"/>
      <c r="L85" s="1399"/>
      <c r="M85" s="1753"/>
      <c r="N85" s="1669"/>
      <c r="O85" s="1848"/>
      <c r="P85" s="1365"/>
      <c r="Q85" s="1401">
        <f t="shared" si="6"/>
        <v>0</v>
      </c>
      <c r="R85" s="1672"/>
      <c r="S85" s="1430">
        <f t="shared" si="10"/>
        <v>0</v>
      </c>
      <c r="T85" s="1370"/>
      <c r="U85" s="1422"/>
      <c r="V85" s="1674">
        <f t="shared" si="9"/>
        <v>0</v>
      </c>
      <c r="W85" s="1402">
        <f>Q85+((S85-0)*R85)</f>
        <v>0</v>
      </c>
      <c r="X85" s="1419"/>
      <c r="Y85" s="1431">
        <f>(Q85+((S85-0)*R85))*((100-P85)/100)</f>
        <v>0</v>
      </c>
      <c r="Z85" s="1419"/>
      <c r="AA85" s="1419"/>
      <c r="AB85" s="1419"/>
      <c r="AC85" s="1419"/>
      <c r="AD85" s="1419"/>
      <c r="AE85" s="1419"/>
      <c r="AF85" s="1419"/>
    </row>
    <row r="86" spans="1:32" s="1420" customFormat="1" ht="13" hidden="1">
      <c r="A86" s="1359"/>
      <c r="B86" s="1359"/>
      <c r="C86" s="1391"/>
      <c r="D86" s="1364"/>
      <c r="E86" s="1392"/>
      <c r="F86" s="1484"/>
      <c r="G86" s="1484"/>
      <c r="H86" s="1391"/>
      <c r="I86" s="1364"/>
      <c r="J86" s="1364"/>
      <c r="K86" s="1668"/>
      <c r="L86" s="1399"/>
      <c r="M86" s="1753"/>
      <c r="N86" s="1669"/>
      <c r="O86" s="1848"/>
      <c r="P86" s="1365"/>
      <c r="Q86" s="1401">
        <f t="shared" si="6"/>
        <v>0</v>
      </c>
      <c r="R86" s="1672"/>
      <c r="S86" s="1430">
        <f t="shared" si="10"/>
        <v>0</v>
      </c>
      <c r="T86" s="1370"/>
      <c r="U86" s="1422"/>
      <c r="V86" s="1674">
        <f t="shared" si="9"/>
        <v>0</v>
      </c>
      <c r="W86" s="1402">
        <f>Q86+((S86-0)*R86)</f>
        <v>0</v>
      </c>
      <c r="X86" s="1419"/>
      <c r="Y86" s="1431">
        <f>(Q86+((S86-0)*R86))*((100-P86)/100)</f>
        <v>0</v>
      </c>
      <c r="Z86" s="1419"/>
      <c r="AA86" s="1419"/>
      <c r="AB86" s="1419"/>
      <c r="AC86" s="1419"/>
      <c r="AD86" s="1419"/>
      <c r="AE86" s="1419"/>
      <c r="AF86" s="1419"/>
    </row>
    <row r="87" spans="1:32" s="1420" customFormat="1" ht="13" hidden="1">
      <c r="A87" s="1434"/>
      <c r="B87" s="1434"/>
      <c r="C87" s="1684"/>
      <c r="D87" s="1562"/>
      <c r="E87" s="1685"/>
      <c r="F87" s="1561"/>
      <c r="G87" s="1561"/>
      <c r="H87" s="1684"/>
      <c r="I87" s="1562"/>
      <c r="J87" s="1562"/>
      <c r="K87" s="1686"/>
      <c r="L87" s="1513"/>
      <c r="M87" s="1853"/>
      <c r="N87" s="1687"/>
      <c r="O87" s="1846"/>
      <c r="P87" s="1449"/>
      <c r="Q87" s="1495">
        <f t="shared" si="6"/>
        <v>0</v>
      </c>
      <c r="R87" s="1688"/>
      <c r="S87" s="1892">
        <f t="shared" si="10"/>
        <v>0</v>
      </c>
      <c r="T87" s="1444"/>
      <c r="U87" s="1567"/>
      <c r="V87" s="1689">
        <f t="shared" si="9"/>
        <v>0</v>
      </c>
      <c r="W87" s="1690">
        <f>Q87+((S87-0)*R87)</f>
        <v>0</v>
      </c>
      <c r="X87" s="1419"/>
      <c r="Y87" s="1419"/>
      <c r="Z87" s="1419"/>
      <c r="AA87" s="1419"/>
      <c r="AB87" s="1419"/>
      <c r="AC87" s="1419"/>
      <c r="AD87" s="1419"/>
      <c r="AE87" s="1419"/>
      <c r="AF87" s="1419"/>
    </row>
    <row r="88" spans="1:32" s="1064" customFormat="1" ht="13">
      <c r="A88" s="1590"/>
      <c r="B88" s="1590"/>
      <c r="C88" s="1590"/>
      <c r="D88" s="1590"/>
      <c r="E88" s="1590"/>
      <c r="F88" s="1590"/>
      <c r="G88" s="1590"/>
      <c r="H88" s="1590"/>
      <c r="I88" s="312"/>
      <c r="J88" s="312"/>
      <c r="K88" s="1883"/>
      <c r="L88" s="1590"/>
      <c r="M88" s="1590"/>
      <c r="N88" s="1590"/>
      <c r="O88" s="1590"/>
      <c r="P88" s="1750"/>
      <c r="Q88" s="1834"/>
      <c r="R88" s="1834"/>
      <c r="S88" s="1590"/>
      <c r="T88" s="1884" t="s">
        <v>1252</v>
      </c>
      <c r="U88" s="1590"/>
      <c r="V88" s="1885">
        <f>SUBTOTAL(109,V7:V87)</f>
        <v>12630000</v>
      </c>
      <c r="W88" s="1886">
        <f>SUBTOTAL(109,W7:W87)</f>
        <v>8330000</v>
      </c>
      <c r="Z88" s="1067">
        <f>W88*1.1</f>
        <v>9163000</v>
      </c>
    </row>
    <row r="89" spans="1:32" s="1825" customFormat="1" ht="13">
      <c r="A89" s="104"/>
      <c r="B89" s="104"/>
      <c r="C89" s="104"/>
      <c r="D89" s="104"/>
      <c r="E89" s="104"/>
      <c r="F89" s="104"/>
      <c r="G89" s="104"/>
      <c r="H89" s="104"/>
      <c r="I89" s="160"/>
      <c r="J89" s="160"/>
      <c r="K89" s="104"/>
      <c r="L89" s="104"/>
      <c r="M89" s="104"/>
      <c r="N89" s="104"/>
      <c r="O89" s="104"/>
      <c r="P89" s="104"/>
      <c r="Q89" s="1824"/>
      <c r="R89" s="104"/>
      <c r="S89" s="104"/>
      <c r="T89" s="104"/>
      <c r="U89" s="104"/>
      <c r="V89" s="104"/>
      <c r="W89" s="1824"/>
      <c r="X89" s="104"/>
      <c r="Y89" s="104"/>
      <c r="Z89" s="104"/>
      <c r="AA89" s="104"/>
      <c r="AB89" s="104"/>
      <c r="AC89" s="104"/>
      <c r="AD89" s="104"/>
      <c r="AE89" s="104"/>
      <c r="AF89" s="104"/>
    </row>
    <row r="90" spans="1:32">
      <c r="A90" s="68"/>
      <c r="B90" s="68"/>
      <c r="C90" s="68"/>
      <c r="D90" s="68"/>
      <c r="E90" s="68"/>
      <c r="F90" s="68"/>
      <c r="G90" s="68"/>
      <c r="H90" s="68"/>
      <c r="I90" s="59"/>
      <c r="J90" s="59"/>
      <c r="K90" s="68"/>
      <c r="L90" s="68"/>
      <c r="M90" s="68"/>
      <c r="N90" s="68"/>
      <c r="O90" s="68"/>
      <c r="P90" s="68"/>
      <c r="Q90" s="1782"/>
      <c r="R90" s="68"/>
      <c r="S90" s="68"/>
      <c r="T90" s="68"/>
      <c r="U90" s="68"/>
      <c r="V90" s="68" t="s">
        <v>1253</v>
      </c>
      <c r="W90" s="1826"/>
      <c r="X90" s="68"/>
      <c r="Y90" s="68"/>
      <c r="Z90" s="68"/>
      <c r="AA90" s="68"/>
      <c r="AB90" s="68"/>
      <c r="AC90" s="68"/>
      <c r="AD90" s="68"/>
      <c r="AE90" s="68"/>
      <c r="AF90" s="68"/>
    </row>
    <row r="91" spans="1:32">
      <c r="A91" s="68"/>
      <c r="B91" s="68"/>
      <c r="C91" s="68"/>
      <c r="D91" s="68"/>
      <c r="E91" s="68"/>
      <c r="F91" s="68"/>
      <c r="G91" s="68"/>
      <c r="H91" s="68"/>
      <c r="I91" s="59"/>
      <c r="J91" s="59"/>
      <c r="K91" s="68"/>
      <c r="L91" s="68"/>
      <c r="M91" s="68"/>
      <c r="N91" s="68"/>
      <c r="O91" s="68"/>
      <c r="P91" s="68"/>
      <c r="Q91" s="1782"/>
      <c r="R91" s="1826"/>
      <c r="S91" s="68"/>
      <c r="T91" s="68"/>
      <c r="U91" s="68"/>
      <c r="V91" s="68" t="s">
        <v>1254</v>
      </c>
      <c r="W91" s="1705">
        <f>W88-W90</f>
        <v>8330000</v>
      </c>
      <c r="X91" s="68"/>
      <c r="Y91" s="68"/>
      <c r="Z91" s="68"/>
      <c r="AA91" s="68"/>
      <c r="AB91" s="68"/>
      <c r="AC91" s="68"/>
      <c r="AD91" s="68"/>
      <c r="AE91" s="68"/>
      <c r="AF91" s="68"/>
    </row>
    <row r="92" spans="1:32">
      <c r="A92" s="68"/>
      <c r="B92" s="68"/>
      <c r="C92" s="68"/>
      <c r="D92" s="68"/>
      <c r="E92" s="68"/>
      <c r="F92" s="68"/>
      <c r="G92" s="68"/>
      <c r="H92" s="68"/>
      <c r="I92" s="59"/>
      <c r="J92" s="59"/>
      <c r="K92" s="68"/>
      <c r="L92" s="68"/>
      <c r="M92" s="68"/>
      <c r="N92" s="68"/>
      <c r="O92" s="68"/>
      <c r="P92" s="68"/>
      <c r="Q92" s="68"/>
      <c r="R92" s="1826"/>
      <c r="S92" s="68"/>
      <c r="T92" s="68"/>
      <c r="U92" s="68"/>
      <c r="V92" s="1826"/>
      <c r="W92" s="68"/>
      <c r="X92" s="68"/>
      <c r="Y92" s="68"/>
      <c r="Z92" s="68"/>
      <c r="AA92" s="68"/>
      <c r="AB92" s="68"/>
      <c r="AC92" s="68"/>
      <c r="AD92" s="68"/>
      <c r="AE92" s="68"/>
      <c r="AF92" s="68"/>
    </row>
    <row r="93" spans="1:32">
      <c r="A93" s="68"/>
      <c r="B93" s="68"/>
      <c r="C93" s="68"/>
      <c r="D93" s="68"/>
      <c r="E93" s="68"/>
      <c r="F93" s="68"/>
      <c r="G93" s="68"/>
      <c r="H93" s="68"/>
      <c r="I93" s="59"/>
      <c r="J93" s="59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 t="s">
        <v>1184</v>
      </c>
      <c r="V93" s="1826"/>
      <c r="W93" s="68"/>
      <c r="X93" s="1827">
        <f>Q38+R38*((S38*(100-P38)/100)-4)</f>
        <v>-1500000</v>
      </c>
      <c r="Y93" s="68"/>
      <c r="Z93" s="68"/>
      <c r="AA93" s="68"/>
      <c r="AB93" s="68"/>
      <c r="AC93" s="68"/>
      <c r="AD93" s="68"/>
      <c r="AE93" s="68"/>
      <c r="AF93" s="68"/>
    </row>
    <row r="94" spans="1:32">
      <c r="A94" s="68"/>
      <c r="B94" s="68"/>
      <c r="C94" s="68"/>
      <c r="D94" s="68"/>
      <c r="E94" s="68"/>
      <c r="F94" s="68"/>
      <c r="G94" s="68"/>
      <c r="H94" s="68"/>
      <c r="I94" s="59"/>
      <c r="J94" s="59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  <c r="AD94" s="68"/>
      <c r="AE94" s="68"/>
      <c r="AF94" s="68"/>
    </row>
    <row r="95" spans="1:32">
      <c r="A95" s="68"/>
      <c r="B95" s="68"/>
      <c r="C95" s="68"/>
      <c r="D95" s="68"/>
      <c r="E95" s="68"/>
      <c r="F95" s="68"/>
      <c r="G95" s="68"/>
      <c r="H95" s="68"/>
      <c r="I95" s="59"/>
      <c r="J95" s="59"/>
      <c r="K95" s="68"/>
      <c r="L95" s="68"/>
      <c r="M95" s="68"/>
      <c r="N95" s="68"/>
      <c r="O95" s="68"/>
      <c r="P95" s="68"/>
      <c r="Q95" s="1782"/>
      <c r="R95" s="68"/>
      <c r="S95" s="68"/>
      <c r="T95" s="68"/>
      <c r="U95" s="68"/>
      <c r="V95" s="68"/>
      <c r="W95" s="1782"/>
      <c r="X95" s="68"/>
      <c r="Y95" s="68"/>
      <c r="Z95" s="68"/>
      <c r="AA95" s="68"/>
      <c r="AB95" s="68"/>
      <c r="AC95" s="68"/>
      <c r="AD95" s="68"/>
      <c r="AE95" s="68"/>
      <c r="AF95" s="68"/>
    </row>
    <row r="96" spans="1:32">
      <c r="A96" s="68"/>
      <c r="B96" s="68"/>
      <c r="C96" s="68"/>
      <c r="D96" s="68"/>
      <c r="E96" s="68"/>
      <c r="F96" s="68"/>
      <c r="G96" s="68"/>
      <c r="H96" s="68"/>
      <c r="I96" s="59"/>
      <c r="J96" s="59"/>
      <c r="K96" s="68"/>
      <c r="L96" s="68"/>
      <c r="M96" s="68"/>
      <c r="N96" s="68" t="s">
        <v>1185</v>
      </c>
      <c r="O96" s="68"/>
      <c r="P96" s="68"/>
      <c r="Q96" s="1782"/>
      <c r="R96" s="68"/>
      <c r="S96" s="68"/>
      <c r="T96" s="68"/>
      <c r="U96" s="68"/>
      <c r="V96" s="68"/>
      <c r="W96" s="1782"/>
      <c r="X96" s="68"/>
      <c r="Y96" s="68"/>
      <c r="Z96" s="68"/>
      <c r="AA96" s="68"/>
      <c r="AB96" s="68"/>
      <c r="AC96" s="68"/>
      <c r="AD96" s="68"/>
      <c r="AE96" s="68"/>
      <c r="AF96" s="68"/>
    </row>
    <row r="97" spans="1:32">
      <c r="A97" s="68"/>
      <c r="B97" s="68"/>
      <c r="C97" s="68"/>
      <c r="D97" s="68"/>
      <c r="E97" s="68"/>
      <c r="F97" s="68"/>
      <c r="G97" s="68"/>
      <c r="H97" s="68"/>
      <c r="I97" s="59"/>
      <c r="J97" s="59"/>
      <c r="K97" s="68"/>
      <c r="L97" s="68"/>
      <c r="M97" s="68"/>
      <c r="N97" s="68" t="s">
        <v>1186</v>
      </c>
      <c r="O97" s="68"/>
      <c r="P97" s="68"/>
      <c r="Q97" s="1782"/>
      <c r="R97" s="68"/>
      <c r="S97" s="68"/>
      <c r="T97" s="68"/>
      <c r="U97" s="68"/>
      <c r="V97" s="68"/>
      <c r="W97" s="1782"/>
      <c r="X97" s="68"/>
      <c r="Y97" s="68"/>
      <c r="Z97" s="68"/>
      <c r="AA97" s="68"/>
      <c r="AB97" s="68"/>
      <c r="AC97" s="68"/>
      <c r="AD97" s="68"/>
      <c r="AE97" s="68"/>
      <c r="AF97" s="68"/>
    </row>
    <row r="98" spans="1:32">
      <c r="A98" s="68"/>
      <c r="B98" s="68"/>
      <c r="C98" s="68"/>
      <c r="D98" s="68"/>
      <c r="E98" s="68"/>
      <c r="F98" s="68"/>
      <c r="G98" s="68"/>
      <c r="H98" s="68"/>
      <c r="I98" s="59"/>
      <c r="J98" s="59"/>
      <c r="K98" s="68"/>
      <c r="L98" s="68"/>
      <c r="M98" s="68"/>
      <c r="N98" s="68"/>
      <c r="O98" s="68"/>
      <c r="P98" s="68"/>
      <c r="Q98" s="1782"/>
      <c r="R98" s="68"/>
      <c r="S98" s="68"/>
      <c r="T98" s="68"/>
      <c r="U98" s="68"/>
      <c r="V98" s="68"/>
      <c r="W98" s="1782"/>
      <c r="X98" s="68"/>
      <c r="Y98" s="68"/>
      <c r="Z98" s="68"/>
      <c r="AA98" s="68"/>
      <c r="AB98" s="68"/>
      <c r="AC98" s="68"/>
      <c r="AD98" s="68"/>
      <c r="AE98" s="68"/>
      <c r="AF98" s="68"/>
    </row>
    <row r="99" spans="1:32">
      <c r="A99" s="68"/>
      <c r="B99" s="68"/>
      <c r="C99" s="68"/>
      <c r="D99" s="68"/>
      <c r="E99" s="68"/>
      <c r="F99" s="68"/>
      <c r="G99" s="68"/>
      <c r="H99" s="68"/>
      <c r="I99" s="59"/>
      <c r="J99" s="59"/>
      <c r="K99" s="68"/>
      <c r="L99" s="68"/>
      <c r="M99" s="68"/>
      <c r="N99" s="68"/>
      <c r="O99" s="68"/>
      <c r="P99" s="68"/>
      <c r="Q99" s="1782"/>
      <c r="R99" s="68"/>
      <c r="S99" s="68"/>
      <c r="T99" s="68"/>
      <c r="U99" s="68"/>
      <c r="V99" s="68"/>
      <c r="W99" s="1782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2">
      <c r="A100" s="68"/>
      <c r="B100" s="68"/>
      <c r="C100" s="68"/>
      <c r="D100" s="68"/>
      <c r="E100" s="68"/>
      <c r="F100" s="68"/>
      <c r="G100" s="68"/>
      <c r="H100" s="68"/>
      <c r="I100" s="59"/>
      <c r="J100" s="59"/>
      <c r="K100" s="68"/>
      <c r="L100" s="68"/>
      <c r="M100" s="68"/>
      <c r="N100" s="68"/>
      <c r="O100" s="68"/>
      <c r="P100" s="68"/>
      <c r="Q100" s="1782"/>
      <c r="R100" s="68"/>
      <c r="S100" s="68"/>
      <c r="T100" s="68"/>
      <c r="U100" s="68"/>
      <c r="V100" s="68"/>
      <c r="W100" s="1782"/>
      <c r="X100" s="68"/>
      <c r="Y100" s="68"/>
      <c r="Z100" s="68"/>
      <c r="AA100" s="68"/>
      <c r="AB100" s="68"/>
      <c r="AC100" s="68"/>
      <c r="AD100" s="68"/>
      <c r="AE100" s="68"/>
      <c r="AF100" s="68"/>
    </row>
    <row r="1048576" spans="4:4">
      <c r="D1048576" s="1362" t="s">
        <v>43</v>
      </c>
    </row>
  </sheetData>
  <autoFilter ref="A6:AF87" xr:uid="{1028D278-910A-4D41-890F-0D5DC76C3F25}">
    <filterColumn colId="12">
      <filters>
        <filter val="CHANEL"/>
      </filters>
    </filterColumn>
    <filterColumn colId="14">
      <filters>
        <filter val="APPROVED"/>
      </filters>
    </filterColumn>
  </autoFilter>
  <pageMargins left="0.7" right="0.7" top="0.75" bottom="0.75" header="0.3" footer="0.3"/>
  <pageSetup scale="27" fitToHeight="0"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f4a6973-fb1f-48b1-8b14-66c0c5662c13">
      <Terms xmlns="http://schemas.microsoft.com/office/infopath/2007/PartnerControls"/>
    </lcf76f155ced4ddcb4097134ff3c332f>
    <TaxCatchAll xmlns="f0d02afc-2cf3-45a3-81f7-143f41ae398b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68155C8EEF194584DE8F5DBC599B0C" ma:contentTypeVersion="15" ma:contentTypeDescription="Create a new document." ma:contentTypeScope="" ma:versionID="ba8fcba8b4a9e2e7cb53701d74d865cd">
  <xsd:schema xmlns:xsd="http://www.w3.org/2001/XMLSchema" xmlns:xs="http://www.w3.org/2001/XMLSchema" xmlns:p="http://schemas.microsoft.com/office/2006/metadata/properties" xmlns:ns2="5f4a6973-fb1f-48b1-8b14-66c0c5662c13" xmlns:ns3="f0d02afc-2cf3-45a3-81f7-143f41ae398b" targetNamespace="http://schemas.microsoft.com/office/2006/metadata/properties" ma:root="true" ma:fieldsID="80f71405245a8f1befafa9f1e204e3e1" ns2:_="" ns3:_="">
    <xsd:import namespace="5f4a6973-fb1f-48b1-8b14-66c0c5662c13"/>
    <xsd:import namespace="f0d02afc-2cf3-45a3-81f7-143f41ae39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f4a6973-fb1f-48b1-8b14-66c0c5662c1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2b4ebc5f-3e50-4640-97a7-c4aa684962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2afc-2cf3-45a3-81f7-143f41ae398b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586b446-a11f-467f-a11c-c91bfd9e6f8b}" ma:internalName="TaxCatchAll" ma:showField="CatchAllData" ma:web="f0d02afc-2cf3-45a3-81f7-143f41ae39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A14093-340B-402C-AA89-4177899665D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DB79952-3045-4651-A68A-010D810F693E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F0E4E8A-D6EA-498C-9B62-540FA2F16291}">
  <ds:schemaRefs>
    <ds:schemaRef ds:uri="http://schemas.microsoft.com/office/2006/metadata/properties"/>
    <ds:schemaRef ds:uri="http://schemas.microsoft.com/office/infopath/2007/PartnerControls"/>
    <ds:schemaRef ds:uri="5f4a6973-fb1f-48b1-8b14-66c0c5662c13"/>
    <ds:schemaRef ds:uri="f0d02afc-2cf3-45a3-81f7-143f41ae398b"/>
  </ds:schemaRefs>
</ds:datastoreItem>
</file>

<file path=customXml/itemProps4.xml><?xml version="1.0" encoding="utf-8"?>
<ds:datastoreItem xmlns:ds="http://schemas.openxmlformats.org/officeDocument/2006/customXml" ds:itemID="{DDC743E3-A425-4E76-AB3F-24113059A1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f4a6973-fb1f-48b1-8b14-66c0c5662c13"/>
    <ds:schemaRef ds:uri="f0d02afc-2cf3-45a3-81f7-143f41ae39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2</vt:i4>
      </vt:variant>
    </vt:vector>
  </HeadingPairs>
  <TitlesOfParts>
    <vt:vector size="35" baseType="lpstr">
      <vt:lpstr>MAR 23</vt:lpstr>
      <vt:lpstr>FEB 23 </vt:lpstr>
      <vt:lpstr>JAN 23</vt:lpstr>
      <vt:lpstr>Jan 2023</vt:lpstr>
      <vt:lpstr>Feb 2023 Ngan</vt:lpstr>
      <vt:lpstr>march 2023 ngan</vt:lpstr>
      <vt:lpstr>Apr 23 Ngan</vt:lpstr>
      <vt:lpstr>APR'23</vt:lpstr>
      <vt:lpstr>APR 23</vt:lpstr>
      <vt:lpstr>May Ngan 23</vt:lpstr>
      <vt:lpstr>JUN 23 NGAN</vt:lpstr>
      <vt:lpstr>MAY'23</vt:lpstr>
      <vt:lpstr>JUN'23</vt:lpstr>
      <vt:lpstr>AUG'23 CHECKING</vt:lpstr>
      <vt:lpstr>JUL'23</vt:lpstr>
      <vt:lpstr>AUG'23 </vt:lpstr>
      <vt:lpstr>Sep 23 Ngan</vt:lpstr>
      <vt:lpstr>Oct 23 Ngan</vt:lpstr>
      <vt:lpstr>JULY 2024</vt:lpstr>
      <vt:lpstr>JUN24 - GG</vt:lpstr>
      <vt:lpstr>JUN24</vt:lpstr>
      <vt:lpstr>MAY'24</vt:lpstr>
      <vt:lpstr>JAN'24</vt:lpstr>
      <vt:lpstr>FEB'24</vt:lpstr>
      <vt:lpstr>DEC'23</vt:lpstr>
      <vt:lpstr>NOV'23 </vt:lpstr>
      <vt:lpstr>Nov 23 Ngan</vt:lpstr>
      <vt:lpstr>OCT'23 </vt:lpstr>
      <vt:lpstr>Dec 23 Ngan</vt:lpstr>
      <vt:lpstr>SEP'23 </vt:lpstr>
      <vt:lpstr>MAR'24</vt:lpstr>
      <vt:lpstr>Sheet3</vt:lpstr>
      <vt:lpstr>APR'24</vt:lpstr>
      <vt:lpstr>'AUG''23 '!ExternalData_1</vt:lpstr>
      <vt:lpstr>'AUG''23 '!ExternalData_2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Truong Thi Thanh Tu - KLOUD</dc:creator>
  <cp:keywords/>
  <dc:description/>
  <cp:lastModifiedBy>Vo Phuong Anh [RE]</cp:lastModifiedBy>
  <cp:revision/>
  <cp:lastPrinted>2024-06-24T11:00:26Z</cp:lastPrinted>
  <dcterms:created xsi:type="dcterms:W3CDTF">2018-03-04T12:39:34Z</dcterms:created>
  <dcterms:modified xsi:type="dcterms:W3CDTF">2024-06-24T11:00:43Z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0x0101004D68155C8EEF194584DE8F5DBC599B0C</vt:lpwstr>
  </property>
  <property fmtid="{D5CDD505-2E9C-101B-9397-08002B2CF9AE}" pid="3" name="MediaServiceImageTags">
    <vt:lpwstr/>
  </property>
</Properties>
</file>